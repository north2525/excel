
<file path=[Content_Types].xml><?xml version="1.0" encoding="utf-8"?>
<Types xmlns="http://schemas.openxmlformats.org/package/2006/content-types">
  <Default Extension="bin" ContentType="application/vnd.openxmlformats-officedocument.spreadsheetml.printerSettings"/>
  <Default Extension="gif" ContentType="image/gi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drawings/drawing1.xml" ContentType="application/vnd.openxmlformats-officedocument.drawing+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drawings/drawing2.xml" ContentType="application/vnd.openxmlformats-officedocument.drawing+xml"/>
  <Override PartName="/xl/comments10.xml" ContentType="application/vnd.openxmlformats-officedocument.spreadsheetml.comments+xml"/>
  <Override PartName="/xl/comments1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327" codeName="{37A63EE7-654F-3FA9-A528-636911D70600}"/>
  <workbookPr updateLinks="never" codeName="ThisWorkbook"/>
  <mc:AlternateContent xmlns:mc="http://schemas.openxmlformats.org/markup-compatibility/2006">
    <mc:Choice Requires="x15">
      <x15ac:absPath xmlns:x15ac="http://schemas.microsoft.com/office/spreadsheetml/2010/11/ac" url="C:\Users\user\Box Sync\chatGPT\月報資料\愛宕山PREX\2023年度\"/>
    </mc:Choice>
  </mc:AlternateContent>
  <xr:revisionPtr revIDLastSave="0" documentId="13_ncr:1_{01322EB1-A163-46B8-BC6E-89BE187DE797}" xr6:coauthVersionLast="47" xr6:coauthVersionMax="47" xr10:uidLastSave="{00000000-0000-0000-0000-000000000000}"/>
  <bookViews>
    <workbookView xWindow="384" yWindow="672" windowWidth="9576" windowHeight="12288" tabRatio="814" xr2:uid="{00000000-000D-0000-FFFF-FFFF00000000}"/>
  </bookViews>
  <sheets>
    <sheet name="SBM表紙" sheetId="147" r:id="rId1"/>
    <sheet name="SBM目次" sheetId="148" r:id="rId2"/>
    <sheet name="所見" sheetId="146" r:id="rId3"/>
    <sheet name="SBM管理概要①" sheetId="183" r:id="rId4"/>
    <sheet name="SBM管理概要②" sheetId="184" r:id="rId5"/>
    <sheet name="SBM管理概要③" sheetId="185" r:id="rId6"/>
    <sheet name="SBM管理概要④" sheetId="201" r:id="rId7"/>
    <sheet name="SBM管理概要⑤、その他⑥" sheetId="187" r:id="rId8"/>
    <sheet name="水道光熱使用量" sheetId="108" r:id="rId9"/>
    <sheet name="来月度作業予定" sheetId="188" r:id="rId10"/>
    <sheet name="(基準年度)2022年度管理計画　(業者)" sheetId="190" r:id="rId11"/>
    <sheet name="(基準年度)2022年度管理計画　(設備)" sheetId="191" r:id="rId12"/>
    <sheet name="管理業務スケジュール表(基準年度)" sheetId="193" r:id="rId13"/>
    <sheet name="各種データ" sheetId="197" r:id="rId14"/>
  </sheets>
  <definedNames>
    <definedName name="_xlnm._FilterDatabase" localSheetId="3" hidden="1">SBM管理概要①!$A$6:$X$38</definedName>
    <definedName name="_xlnm._FilterDatabase" localSheetId="12" hidden="1">'管理業務スケジュール表(基準年度)'!$A$27:$AH$147</definedName>
    <definedName name="_xlnm._FilterDatabase" localSheetId="9" hidden="1">来月度作業予定!$A$1:$AF$41</definedName>
    <definedName name="_Key1" hidden="1">#N/A</definedName>
    <definedName name="_Order1" hidden="1">255</definedName>
    <definedName name="_Order2" hidden="1">0</definedName>
    <definedName name="_Sort" hidden="1">#N/A</definedName>
    <definedName name="_xlnm.Print_Area" localSheetId="0">SBM表紙!$A$1:$P$26</definedName>
    <definedName name="レポート" hidden="1">#N/A</definedName>
  </definedNames>
  <calcPr calcId="181029"/>
</workbook>
</file>

<file path=xl/calcChain.xml><?xml version="1.0" encoding="utf-8"?>
<calcChain xmlns="http://schemas.openxmlformats.org/spreadsheetml/2006/main">
  <c r="B7" i="201" l="1"/>
  <c r="A9" i="201"/>
  <c r="B9" i="201" s="1"/>
  <c r="A11" i="201" l="1"/>
  <c r="B11" i="201" s="1"/>
  <c r="A13" i="201"/>
  <c r="A15" i="201" l="1"/>
  <c r="B13" i="201"/>
  <c r="B15" i="201" l="1"/>
  <c r="A17" i="201"/>
  <c r="B17" i="201" l="1"/>
  <c r="A19" i="201"/>
  <c r="A21" i="201" l="1"/>
  <c r="B19" i="201"/>
  <c r="B21" i="201" l="1"/>
  <c r="A23" i="201"/>
  <c r="B23" i="201" l="1"/>
  <c r="A25" i="201"/>
  <c r="A27" i="201" l="1"/>
  <c r="B25" i="201"/>
  <c r="B27" i="201" l="1"/>
  <c r="A29" i="201"/>
  <c r="B29" i="201" l="1"/>
  <c r="A31" i="201"/>
  <c r="A33" i="201" l="1"/>
  <c r="B31" i="201"/>
  <c r="B33" i="201" l="1"/>
  <c r="A35" i="201"/>
  <c r="B35" i="201" l="1"/>
  <c r="L7" i="201"/>
  <c r="M7" i="201" l="1"/>
  <c r="L9" i="201"/>
  <c r="L11" i="201" l="1"/>
  <c r="M9" i="201"/>
  <c r="M11" i="201" l="1"/>
  <c r="L13" i="201"/>
  <c r="M13" i="201" l="1"/>
  <c r="L15" i="201"/>
  <c r="L17" i="201" l="1"/>
  <c r="M15" i="201"/>
  <c r="M17" i="201" l="1"/>
  <c r="L19" i="201"/>
  <c r="M19" i="201" l="1"/>
  <c r="L21" i="201"/>
  <c r="L23" i="201" l="1"/>
  <c r="M21" i="201"/>
  <c r="M23" i="201" l="1"/>
  <c r="L25" i="201"/>
  <c r="M25" i="201" l="1"/>
  <c r="L27" i="201"/>
  <c r="L29" i="201" l="1"/>
  <c r="M27" i="201"/>
  <c r="M29" i="201" l="1"/>
  <c r="L31" i="201"/>
  <c r="M31" i="201" l="1"/>
  <c r="L33" i="201"/>
  <c r="L35" i="201" l="1"/>
  <c r="M35" i="201" s="1"/>
  <c r="M33" i="201"/>
  <c r="D16" i="108" l="1"/>
  <c r="D15" i="108"/>
  <c r="D14" i="108"/>
  <c r="D13" i="108"/>
  <c r="D12" i="108"/>
  <c r="D11" i="108"/>
  <c r="D10" i="108"/>
  <c r="D9" i="108"/>
  <c r="D8" i="108"/>
  <c r="D7" i="108"/>
  <c r="D6" i="108"/>
  <c r="D5" i="108"/>
  <c r="I16" i="108"/>
  <c r="I15" i="108"/>
  <c r="I14" i="108"/>
  <c r="I13" i="108"/>
  <c r="I12" i="108"/>
  <c r="I11" i="108"/>
  <c r="I10" i="108"/>
  <c r="I9" i="108"/>
  <c r="I8" i="108"/>
  <c r="I7" i="108"/>
  <c r="I6" i="108"/>
  <c r="I5" i="108"/>
  <c r="G17" i="108" l="1"/>
  <c r="B17" i="108"/>
  <c r="J8" i="108" l="1"/>
  <c r="E8" i="193" l="1"/>
  <c r="C17" i="108" l="1"/>
  <c r="D17" i="108" s="1"/>
  <c r="J11" i="108" l="1"/>
  <c r="J7" i="108" l="1"/>
  <c r="H17" i="108" l="1"/>
  <c r="I17" i="108" s="1"/>
  <c r="D28" i="108"/>
  <c r="J16" i="108"/>
  <c r="J15" i="108"/>
  <c r="J14" i="108"/>
  <c r="J13" i="108"/>
  <c r="J12" i="108"/>
  <c r="J10" i="108"/>
  <c r="J9" i="108"/>
  <c r="J6" i="108"/>
  <c r="J5" i="108"/>
  <c r="I28" i="108"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kanda6</author>
  </authors>
  <commentList>
    <comment ref="A4" authorId="0" shapeId="0" xr:uid="{00000000-0006-0000-0300-000001000000}">
      <text>
        <r>
          <rPr>
            <b/>
            <sz val="9"/>
            <color indexed="12"/>
            <rFont val="ＭＳ Ｐゴシック"/>
            <family val="3"/>
            <charset val="128"/>
          </rPr>
          <t>業者作業の内容を入力する（定期・不定期含む）</t>
        </r>
        <r>
          <rPr>
            <sz val="9"/>
            <color indexed="81"/>
            <rFont val="ＭＳ Ｐゴシック"/>
            <family val="3"/>
            <charset val="128"/>
          </rPr>
          <t xml:space="preserve">
　・自社作業は管理概要②へ入力
　・設備月次点検は管理概要③へ入力
　・清掃月次業務は管理概要④へ入力
　・事故・故障は管理概要⑤へ入力
　・その他報告事項は管理概要⑥へ入力</t>
        </r>
      </text>
    </comment>
    <comment ref="J6" authorId="0" shapeId="0" xr:uid="{00000000-0006-0000-0300-000002000000}">
      <text>
        <r>
          <rPr>
            <b/>
            <sz val="9"/>
            <color indexed="12"/>
            <rFont val="ＭＳ Ｐゴシック"/>
            <family val="3"/>
            <charset val="128"/>
          </rPr>
          <t>「良」又は「否」で入力</t>
        </r>
      </text>
    </comment>
    <comment ref="V6" authorId="0" shapeId="0" xr:uid="{00000000-0006-0000-0300-000003000000}">
      <text>
        <r>
          <rPr>
            <b/>
            <sz val="9"/>
            <color indexed="12"/>
            <rFont val="ＭＳ Ｐゴシック"/>
            <family val="3"/>
            <charset val="128"/>
          </rPr>
          <t>「良」又は「否」で入力</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kanda6</author>
    <author>*</author>
  </authors>
  <commentList>
    <comment ref="A4" authorId="0" shapeId="0" xr:uid="{00000000-0006-0000-0400-000001000000}">
      <text>
        <r>
          <rPr>
            <b/>
            <sz val="9"/>
            <color indexed="12"/>
            <rFont val="ＭＳ Ｐゴシック"/>
            <family val="3"/>
            <charset val="128"/>
          </rPr>
          <t>業者作業の内容を入力する（定期・不定期含む）</t>
        </r>
        <r>
          <rPr>
            <sz val="9"/>
            <color indexed="81"/>
            <rFont val="ＭＳ Ｐゴシック"/>
            <family val="3"/>
            <charset val="128"/>
          </rPr>
          <t xml:space="preserve">
　・自社作業は管理概要②へ入力
　・設備月次点検は管理概要③へ入力
　・清掃月次業務は管理概要④へ入力
　・事故・故障は管理概要⑤へ入力
　・その他報告事項は管理概要⑥へ入力</t>
        </r>
      </text>
    </comment>
    <comment ref="E6" authorId="1" shapeId="0" xr:uid="{00000000-0006-0000-0400-000002000000}">
      <text>
        <r>
          <rPr>
            <b/>
            <sz val="9"/>
            <color indexed="81"/>
            <rFont val="ＭＳ Ｐゴシック"/>
            <family val="3"/>
            <charset val="128"/>
          </rPr>
          <t>テナントからの要望で作業した場合は
（テナント要望）
と記載する</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kanda6</author>
  </authors>
  <commentList>
    <comment ref="A4" authorId="0" shapeId="0" xr:uid="{00000000-0006-0000-0500-000001000000}">
      <text>
        <r>
          <rPr>
            <b/>
            <sz val="9"/>
            <color indexed="12"/>
            <rFont val="ＭＳ Ｐゴシック"/>
            <family val="3"/>
            <charset val="128"/>
          </rPr>
          <t>設備月次点検の内容を入力する（定期・不定期含む）</t>
        </r>
        <r>
          <rPr>
            <sz val="9"/>
            <color indexed="81"/>
            <rFont val="ＭＳ Ｐゴシック"/>
            <family val="3"/>
            <charset val="128"/>
          </rPr>
          <t xml:space="preserve">
　・業者作業は管理概要①へ入力
　・自社作業は管理概要②へ入力
　・清掃月次業務は管理概要④へ入力
　・事故・故障は管理概要⑤へ入力
　・その他報告事項は管理概要⑥へ入力</t>
        </r>
      </text>
    </comment>
    <comment ref="K6" authorId="0" shapeId="0" xr:uid="{00000000-0006-0000-0500-000002000000}">
      <text>
        <r>
          <rPr>
            <b/>
            <sz val="9"/>
            <color indexed="12"/>
            <rFont val="ＭＳ Ｐゴシック"/>
            <family val="3"/>
            <charset val="128"/>
          </rPr>
          <t>「良」又は「否」で入力</t>
        </r>
      </text>
    </comment>
    <comment ref="V6" authorId="0" shapeId="0" xr:uid="{00000000-0006-0000-0500-000003000000}">
      <text>
        <r>
          <rPr>
            <b/>
            <sz val="9"/>
            <color indexed="12"/>
            <rFont val="ＭＳ Ｐゴシック"/>
            <family val="3"/>
            <charset val="128"/>
          </rPr>
          <t>「良」又は「否」で入力</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kanda6</author>
  </authors>
  <commentList>
    <comment ref="A4" authorId="0" shapeId="0" xr:uid="{00000000-0006-0000-0600-000001000000}">
      <text>
        <r>
          <rPr>
            <b/>
            <sz val="9"/>
            <color indexed="12"/>
            <rFont val="ＭＳ Ｐゴシック"/>
            <family val="3"/>
            <charset val="128"/>
          </rPr>
          <t>清掃業務月次の内容を入力する（定期・不定期含む）</t>
        </r>
        <r>
          <rPr>
            <sz val="9"/>
            <color indexed="81"/>
            <rFont val="ＭＳ Ｐゴシック"/>
            <family val="3"/>
            <charset val="128"/>
          </rPr>
          <t xml:space="preserve">
　・業者作業は管理概要①へ入力
　・自社作業は管理概要②へ入力
　・設備月次点検は管理概要③へ入力
　・事故・故障は管理概要⑤へ入力
　・その他報告事項はその他⑥へ入力</t>
        </r>
      </text>
    </comment>
    <comment ref="K6" authorId="0" shapeId="0" xr:uid="{00000000-0006-0000-0600-000002000000}">
      <text>
        <r>
          <rPr>
            <b/>
            <sz val="9"/>
            <color indexed="12"/>
            <rFont val="ＭＳ Ｐゴシック"/>
            <family val="3"/>
            <charset val="128"/>
          </rPr>
          <t>「良」又は「否」で入力</t>
        </r>
      </text>
    </comment>
    <comment ref="V6" authorId="0" shapeId="0" xr:uid="{00000000-0006-0000-0600-000003000000}">
      <text>
        <r>
          <rPr>
            <b/>
            <sz val="9"/>
            <color indexed="12"/>
            <rFont val="ＭＳ Ｐゴシック"/>
            <family val="3"/>
            <charset val="128"/>
          </rPr>
          <t>「良」又は「否」で入力</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kanda6</author>
    <author>植原　和浩</author>
  </authors>
  <commentList>
    <comment ref="A4" authorId="0" shapeId="0" xr:uid="{00000000-0006-0000-0700-000001000000}">
      <text>
        <r>
          <rPr>
            <b/>
            <sz val="9"/>
            <color indexed="12"/>
            <rFont val="ＭＳ Ｐゴシック"/>
            <family val="3"/>
            <charset val="128"/>
          </rPr>
          <t xml:space="preserve">事故・故障の内容を入力する
</t>
        </r>
        <r>
          <rPr>
            <b/>
            <sz val="9"/>
            <color indexed="10"/>
            <rFont val="ＭＳ Ｐゴシック"/>
            <family val="3"/>
            <charset val="128"/>
          </rPr>
          <t>※特に注釈が必要な場合は「備考」欄へ入力する</t>
        </r>
        <r>
          <rPr>
            <sz val="9"/>
            <color indexed="81"/>
            <rFont val="ＭＳ Ｐゴシック"/>
            <family val="3"/>
            <charset val="128"/>
          </rPr>
          <t xml:space="preserve">
　・業者作業は管理概要①へ入力
　・自社作業は管理概要②へ入力
　・設備月次点検は管理概要③へ入力
　・清掃月次業務は管理概要④へ入力
　・その他報告事項は管理概要⑥へ入力</t>
        </r>
      </text>
    </comment>
    <comment ref="K6" authorId="1" shapeId="0" xr:uid="{00000000-0006-0000-0700-000002000000}">
      <text>
        <r>
          <rPr>
            <b/>
            <sz val="9"/>
            <color indexed="12"/>
            <rFont val="ＭＳ Ｐゴシック"/>
            <family val="3"/>
            <charset val="128"/>
          </rPr>
          <t>枠欄に収まらない場合は「備考」欄に入力する</t>
        </r>
      </text>
    </comment>
    <comment ref="N6" authorId="1" shapeId="0" xr:uid="{00000000-0006-0000-0700-000003000000}">
      <text>
        <r>
          <rPr>
            <b/>
            <sz val="9"/>
            <color indexed="12"/>
            <rFont val="ＭＳ Ｐゴシック"/>
            <family val="3"/>
            <charset val="128"/>
          </rPr>
          <t>「未」又は「済」で入力</t>
        </r>
      </text>
    </comment>
    <comment ref="Y6" authorId="1" shapeId="0" xr:uid="{00000000-0006-0000-0700-000004000000}">
      <text>
        <r>
          <rPr>
            <b/>
            <sz val="9"/>
            <color indexed="12"/>
            <rFont val="ＭＳ Ｐゴシック"/>
            <family val="3"/>
            <charset val="128"/>
          </rPr>
          <t>枠欄に収まらない場合は「備考」欄に入力する</t>
        </r>
      </text>
    </comment>
    <comment ref="AB6" authorId="1" shapeId="0" xr:uid="{00000000-0006-0000-0700-000005000000}">
      <text>
        <r>
          <rPr>
            <b/>
            <sz val="9"/>
            <color indexed="12"/>
            <rFont val="ＭＳ Ｐゴシック"/>
            <family val="3"/>
            <charset val="128"/>
          </rPr>
          <t>「未」又は「済」で入力</t>
        </r>
      </text>
    </comment>
    <comment ref="A41" authorId="0" shapeId="0" xr:uid="{00000000-0006-0000-0700-000006000000}">
      <text>
        <r>
          <rPr>
            <b/>
            <sz val="9"/>
            <color indexed="12"/>
            <rFont val="ＭＳ Ｐゴシック"/>
            <family val="3"/>
            <charset val="128"/>
          </rPr>
          <t xml:space="preserve">その他報告事項の内容を入力する
</t>
        </r>
        <r>
          <rPr>
            <b/>
            <sz val="9"/>
            <color indexed="10"/>
            <rFont val="ＭＳ Ｐゴシック"/>
            <family val="3"/>
            <charset val="128"/>
          </rPr>
          <t>※特にない場合は不要</t>
        </r>
        <r>
          <rPr>
            <b/>
            <sz val="9"/>
            <color indexed="12"/>
            <rFont val="ＭＳ Ｐゴシック"/>
            <family val="3"/>
            <charset val="128"/>
          </rPr>
          <t xml:space="preserve">
</t>
        </r>
      </text>
    </comment>
    <comment ref="A55" authorId="0" shapeId="0" xr:uid="{00000000-0006-0000-0700-000007000000}">
      <text>
        <r>
          <rPr>
            <b/>
            <sz val="9"/>
            <color indexed="12"/>
            <rFont val="ＭＳ Ｐゴシック"/>
            <family val="3"/>
            <charset val="128"/>
          </rPr>
          <t xml:space="preserve">上記「⑥事故・故障」の内容に関わる注釈を入力する
</t>
        </r>
        <r>
          <rPr>
            <b/>
            <sz val="9"/>
            <color indexed="10"/>
            <rFont val="ＭＳ Ｐゴシック"/>
            <family val="3"/>
            <charset val="128"/>
          </rPr>
          <t>※特に注釈が必要ない場合は不要</t>
        </r>
        <r>
          <rPr>
            <b/>
            <sz val="9"/>
            <color indexed="12"/>
            <rFont val="ＭＳ Ｐゴシック"/>
            <family val="3"/>
            <charset val="128"/>
          </rPr>
          <t xml:space="preserve">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kanda6</author>
  </authors>
  <commentList>
    <comment ref="A1" authorId="0" shapeId="0" xr:uid="{00000000-0006-0000-0800-000001000000}">
      <text>
        <r>
          <rPr>
            <b/>
            <sz val="9"/>
            <color indexed="12"/>
            <rFont val="ＭＳ Ｐゴシック"/>
            <family val="3"/>
            <charset val="128"/>
          </rPr>
          <t>検針表を参照し入力</t>
        </r>
        <r>
          <rPr>
            <b/>
            <sz val="9"/>
            <color indexed="81"/>
            <rFont val="ＭＳ Ｐゴシック"/>
            <family val="3"/>
            <charset val="128"/>
          </rPr>
          <t xml:space="preserve">
</t>
        </r>
        <r>
          <rPr>
            <b/>
            <sz val="9"/>
            <color indexed="10"/>
            <rFont val="ＭＳ Ｐゴシック"/>
            <family val="3"/>
            <charset val="128"/>
          </rPr>
          <t>※対前年比が許容範囲外（１３０％以上又は７０％未満）の場合は「備考」欄に理由を入力</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kanda6</author>
  </authors>
  <commentList>
    <comment ref="A1" authorId="0" shapeId="0" xr:uid="{00000000-0006-0000-0900-000001000000}">
      <text>
        <r>
          <rPr>
            <b/>
            <sz val="10"/>
            <color indexed="12"/>
            <rFont val="ＭＳ Ｐゴシック"/>
            <family val="3"/>
            <charset val="128"/>
          </rPr>
          <t>来月の自社作業及び業者作業の内容を作成時点で判明している範囲で入力</t>
        </r>
        <r>
          <rPr>
            <b/>
            <sz val="10"/>
            <color indexed="81"/>
            <rFont val="ＭＳ Ｐゴシック"/>
            <family val="3"/>
            <charset val="128"/>
          </rPr>
          <t xml:space="preserve">
</t>
        </r>
        <r>
          <rPr>
            <b/>
            <sz val="10"/>
            <color indexed="10"/>
            <rFont val="ＭＳ Ｐゴシック"/>
            <family val="3"/>
            <charset val="128"/>
          </rPr>
          <t>※特に重要な項目は「重点項目」欄に入力</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hataya</author>
  </authors>
  <commentList>
    <comment ref="AC15" authorId="0" shapeId="0" xr:uid="{00000000-0006-0000-0A00-000001000000}">
      <text>
        <r>
          <rPr>
            <b/>
            <sz val="9"/>
            <color indexed="81"/>
            <rFont val="MS P ゴシック"/>
            <family val="2"/>
            <charset val="128"/>
          </rPr>
          <t>8</t>
        </r>
        <r>
          <rPr>
            <b/>
            <sz val="9"/>
            <color indexed="81"/>
            <rFont val="ＭＳ Ｐゴシック"/>
            <family val="3"/>
            <charset val="128"/>
          </rPr>
          <t>月・</t>
        </r>
        <r>
          <rPr>
            <b/>
            <sz val="9"/>
            <color indexed="81"/>
            <rFont val="MS P ゴシック"/>
            <family val="2"/>
            <charset val="128"/>
          </rPr>
          <t>2</t>
        </r>
        <r>
          <rPr>
            <b/>
            <sz val="9"/>
            <color indexed="81"/>
            <rFont val="ＭＳ Ｐゴシック"/>
            <family val="3"/>
            <charset val="128"/>
          </rPr>
          <t>月</t>
        </r>
        <r>
          <rPr>
            <b/>
            <sz val="9"/>
            <color indexed="81"/>
            <rFont val="MS P ゴシック"/>
            <family val="2"/>
            <charset val="128"/>
          </rPr>
          <t xml:space="preserve"> </t>
        </r>
        <r>
          <rPr>
            <b/>
            <sz val="9"/>
            <color indexed="81"/>
            <rFont val="ＭＳ Ｐゴシック"/>
            <family val="3"/>
            <charset val="128"/>
          </rPr>
          <t>点検</t>
        </r>
        <r>
          <rPr>
            <sz val="9"/>
            <color indexed="81"/>
            <rFont val="MS P ゴシック"/>
            <family val="2"/>
            <charset val="128"/>
          </rPr>
          <t xml:space="preserve">
</t>
        </r>
      </text>
    </comment>
    <comment ref="AC16" authorId="0" shapeId="0" xr:uid="{00000000-0006-0000-0A00-000002000000}">
      <text>
        <r>
          <rPr>
            <b/>
            <sz val="9"/>
            <color indexed="81"/>
            <rFont val="ＭＳ Ｐゴシック"/>
            <family val="3"/>
            <charset val="128"/>
          </rPr>
          <t>ｱﾌﾀｰｻｰﾋﾞｽ点検（</t>
        </r>
        <r>
          <rPr>
            <b/>
            <sz val="9"/>
            <color indexed="81"/>
            <rFont val="MS P ゴシック"/>
            <family val="2"/>
            <charset val="128"/>
          </rPr>
          <t>2021.10</t>
        </r>
        <r>
          <rPr>
            <b/>
            <sz val="9"/>
            <color indexed="81"/>
            <rFont val="ＭＳ Ｐゴシック"/>
            <family val="3"/>
            <charset val="128"/>
          </rPr>
          <t>～</t>
        </r>
        <r>
          <rPr>
            <b/>
            <sz val="9"/>
            <color indexed="81"/>
            <rFont val="MS P ゴシック"/>
            <family val="2"/>
            <charset val="128"/>
          </rPr>
          <t>2022.01</t>
        </r>
        <r>
          <rPr>
            <b/>
            <sz val="9"/>
            <color indexed="81"/>
            <rFont val="ＭＳ Ｐゴシック"/>
            <family val="3"/>
            <charset val="128"/>
          </rPr>
          <t>）</t>
        </r>
      </text>
    </comment>
    <comment ref="AC18" authorId="0" shapeId="0" xr:uid="{00000000-0006-0000-0A00-000003000000}">
      <text>
        <r>
          <rPr>
            <b/>
            <sz val="9"/>
            <color indexed="81"/>
            <rFont val="MS P ゴシック"/>
            <family val="2"/>
            <charset val="128"/>
          </rPr>
          <t>12</t>
        </r>
        <r>
          <rPr>
            <b/>
            <sz val="9"/>
            <color indexed="81"/>
            <rFont val="ＭＳ Ｐゴシック"/>
            <family val="3"/>
            <charset val="128"/>
          </rPr>
          <t>月から隔月
◎年次点検（停電作業：</t>
        </r>
        <r>
          <rPr>
            <b/>
            <sz val="9"/>
            <color indexed="81"/>
            <rFont val="MS P ゴシック"/>
            <family val="2"/>
            <charset val="128"/>
          </rPr>
          <t>2024</t>
        </r>
        <r>
          <rPr>
            <b/>
            <sz val="9"/>
            <color indexed="81"/>
            <rFont val="ＭＳ Ｐゴシック"/>
            <family val="3"/>
            <charset val="128"/>
          </rPr>
          <t>年</t>
        </r>
        <r>
          <rPr>
            <b/>
            <sz val="9"/>
            <color indexed="81"/>
            <rFont val="MS P ゴシック"/>
            <family val="2"/>
            <charset val="128"/>
          </rPr>
          <t>11</t>
        </r>
        <r>
          <rPr>
            <b/>
            <sz val="9"/>
            <color indexed="81"/>
            <rFont val="ＭＳ Ｐゴシック"/>
            <family val="3"/>
            <charset val="128"/>
          </rPr>
          <t>月第</t>
        </r>
        <r>
          <rPr>
            <b/>
            <sz val="9"/>
            <color indexed="81"/>
            <rFont val="MS P ゴシック"/>
            <family val="2"/>
            <charset val="128"/>
          </rPr>
          <t>2</t>
        </r>
        <r>
          <rPr>
            <b/>
            <sz val="9"/>
            <color indexed="81"/>
            <rFont val="ＭＳ Ｐゴシック"/>
            <family val="3"/>
            <charset val="128"/>
          </rPr>
          <t>土曜予定</t>
        </r>
        <r>
          <rPr>
            <b/>
            <sz val="9"/>
            <color indexed="81"/>
            <rFont val="MS P ゴシック"/>
            <family val="2"/>
            <charset val="128"/>
          </rPr>
          <t xml:space="preserve"> → 8月へ変更</t>
        </r>
        <r>
          <rPr>
            <b/>
            <sz val="9"/>
            <color indexed="81"/>
            <rFont val="ＭＳ Ｐゴシック"/>
            <family val="3"/>
            <charset val="128"/>
          </rPr>
          <t>）　</t>
        </r>
      </text>
    </comment>
    <comment ref="AC20" authorId="0" shapeId="0" xr:uid="{00000000-0006-0000-0A00-000004000000}">
      <text>
        <r>
          <rPr>
            <b/>
            <sz val="9"/>
            <color indexed="81"/>
            <rFont val="MS P ゴシック"/>
            <family val="2"/>
            <charset val="128"/>
          </rPr>
          <t>5</t>
        </r>
        <r>
          <rPr>
            <b/>
            <sz val="9"/>
            <color indexed="81"/>
            <rFont val="ＭＳ Ｐゴシック"/>
            <family val="3"/>
            <charset val="128"/>
          </rPr>
          <t>・</t>
        </r>
        <r>
          <rPr>
            <b/>
            <sz val="9"/>
            <color indexed="81"/>
            <rFont val="MS P ゴシック"/>
            <family val="2"/>
            <charset val="128"/>
          </rPr>
          <t>11</t>
        </r>
        <r>
          <rPr>
            <b/>
            <sz val="9"/>
            <color indexed="81"/>
            <rFont val="ＭＳ Ｐゴシック"/>
            <family val="3"/>
            <charset val="128"/>
          </rPr>
          <t>月</t>
        </r>
      </text>
    </comment>
    <comment ref="AC21" authorId="0" shapeId="0" xr:uid="{00000000-0006-0000-0A00-000005000000}">
      <text>
        <r>
          <rPr>
            <sz val="9"/>
            <color indexed="81"/>
            <rFont val="MS P ゴシック"/>
            <family val="2"/>
            <charset val="128"/>
          </rPr>
          <t>4</t>
        </r>
        <r>
          <rPr>
            <sz val="9"/>
            <color indexed="81"/>
            <rFont val="ＭＳ Ｐゴシック"/>
            <family val="3"/>
            <charset val="128"/>
          </rPr>
          <t>・</t>
        </r>
        <r>
          <rPr>
            <sz val="9"/>
            <color indexed="81"/>
            <rFont val="MS P ゴシック"/>
            <family val="2"/>
            <charset val="128"/>
          </rPr>
          <t>7</t>
        </r>
        <r>
          <rPr>
            <sz val="9"/>
            <color indexed="81"/>
            <rFont val="ＭＳ Ｐゴシック"/>
            <family val="3"/>
            <charset val="128"/>
          </rPr>
          <t>・</t>
        </r>
        <r>
          <rPr>
            <sz val="9"/>
            <color indexed="81"/>
            <rFont val="MS P ゴシック"/>
            <family val="2"/>
            <charset val="128"/>
          </rPr>
          <t>10</t>
        </r>
        <r>
          <rPr>
            <sz val="9"/>
            <color indexed="81"/>
            <rFont val="ＭＳ Ｐゴシック"/>
            <family val="3"/>
            <charset val="128"/>
          </rPr>
          <t>・</t>
        </r>
        <r>
          <rPr>
            <sz val="9"/>
            <color indexed="81"/>
            <rFont val="MS P ゴシック"/>
            <family val="2"/>
            <charset val="128"/>
          </rPr>
          <t>1</t>
        </r>
        <r>
          <rPr>
            <sz val="9"/>
            <color indexed="81"/>
            <rFont val="ＭＳ Ｐゴシック"/>
            <family val="3"/>
            <charset val="128"/>
          </rPr>
          <t>月</t>
        </r>
      </text>
    </comment>
    <comment ref="AC22" authorId="0" shapeId="0" xr:uid="{00000000-0006-0000-0A00-000006000000}">
      <text>
        <r>
          <rPr>
            <sz val="9"/>
            <color indexed="81"/>
            <rFont val="MS P ゴシック"/>
            <family val="2"/>
            <charset val="128"/>
          </rPr>
          <t>5</t>
        </r>
        <r>
          <rPr>
            <sz val="9"/>
            <color indexed="81"/>
            <rFont val="ＭＳ Ｐゴシック"/>
            <family val="3"/>
            <charset val="128"/>
          </rPr>
          <t>・</t>
        </r>
        <r>
          <rPr>
            <sz val="9"/>
            <color indexed="81"/>
            <rFont val="MS P ゴシック"/>
            <family val="2"/>
            <charset val="128"/>
          </rPr>
          <t>7</t>
        </r>
        <r>
          <rPr>
            <sz val="9"/>
            <color indexed="81"/>
            <rFont val="ＭＳ Ｐゴシック"/>
            <family val="3"/>
            <charset val="128"/>
          </rPr>
          <t>・</t>
        </r>
        <r>
          <rPr>
            <sz val="9"/>
            <color indexed="81"/>
            <rFont val="MS P ゴシック"/>
            <family val="2"/>
            <charset val="128"/>
          </rPr>
          <t>9</t>
        </r>
        <r>
          <rPr>
            <sz val="9"/>
            <color indexed="81"/>
            <rFont val="ＭＳ Ｐゴシック"/>
            <family val="3"/>
            <charset val="128"/>
          </rPr>
          <t>・</t>
        </r>
        <r>
          <rPr>
            <sz val="9"/>
            <color indexed="81"/>
            <rFont val="MS P ゴシック"/>
            <family val="2"/>
            <charset val="128"/>
          </rPr>
          <t>11</t>
        </r>
        <r>
          <rPr>
            <sz val="9"/>
            <color indexed="81"/>
            <rFont val="ＭＳ Ｐゴシック"/>
            <family val="3"/>
            <charset val="128"/>
          </rPr>
          <t>・</t>
        </r>
        <r>
          <rPr>
            <sz val="9"/>
            <color indexed="81"/>
            <rFont val="MS P ゴシック"/>
            <family val="2"/>
            <charset val="128"/>
          </rPr>
          <t>1</t>
        </r>
        <r>
          <rPr>
            <sz val="9"/>
            <color indexed="81"/>
            <rFont val="ＭＳ Ｐゴシック"/>
            <family val="3"/>
            <charset val="128"/>
          </rPr>
          <t>・</t>
        </r>
        <r>
          <rPr>
            <sz val="9"/>
            <color indexed="81"/>
            <rFont val="MS P ゴシック"/>
            <family val="2"/>
            <charset val="128"/>
          </rPr>
          <t>3</t>
        </r>
        <r>
          <rPr>
            <sz val="9"/>
            <color indexed="81"/>
            <rFont val="ＭＳ Ｐゴシック"/>
            <family val="3"/>
            <charset val="128"/>
          </rPr>
          <t>月</t>
        </r>
      </text>
    </comment>
    <comment ref="AC23" authorId="0" shapeId="0" xr:uid="{00000000-0006-0000-0A00-000007000000}">
      <text>
        <r>
          <rPr>
            <b/>
            <sz val="9"/>
            <color indexed="81"/>
            <rFont val="MS P ゴシック"/>
            <family val="2"/>
            <charset val="128"/>
          </rPr>
          <t>2022年8月のみ実施</t>
        </r>
      </text>
    </comment>
    <comment ref="AC26" authorId="0" shapeId="0" xr:uid="{00000000-0006-0000-0A00-000008000000}">
      <text>
        <r>
          <rPr>
            <sz val="9"/>
            <color indexed="81"/>
            <rFont val="ＭＳ Ｐゴシック"/>
            <family val="3"/>
            <charset val="128"/>
          </rPr>
          <t>総合点検（</t>
        </r>
        <r>
          <rPr>
            <sz val="9"/>
            <color indexed="81"/>
            <rFont val="MS P ゴシック"/>
            <family val="2"/>
            <charset val="128"/>
          </rPr>
          <t>10</t>
        </r>
        <r>
          <rPr>
            <sz val="9"/>
            <color indexed="81"/>
            <rFont val="ＭＳ Ｐゴシック"/>
            <family val="3"/>
            <charset val="128"/>
          </rPr>
          <t>月）・機器点検（</t>
        </r>
        <r>
          <rPr>
            <sz val="9"/>
            <color indexed="81"/>
            <rFont val="MS P ゴシック"/>
            <family val="2"/>
            <charset val="128"/>
          </rPr>
          <t>4</t>
        </r>
        <r>
          <rPr>
            <sz val="9"/>
            <color indexed="81"/>
            <rFont val="ＭＳ Ｐゴシック"/>
            <family val="3"/>
            <charset val="128"/>
          </rPr>
          <t>月）</t>
        </r>
      </text>
    </comment>
    <comment ref="AC29" authorId="0" shapeId="0" xr:uid="{00000000-0006-0000-0A00-000009000000}">
      <text>
        <r>
          <rPr>
            <sz val="9"/>
            <color indexed="81"/>
            <rFont val="MS P ゴシック"/>
            <family val="2"/>
            <charset val="128"/>
          </rPr>
          <t>4</t>
        </r>
        <r>
          <rPr>
            <sz val="9"/>
            <color indexed="81"/>
            <rFont val="ＭＳ Ｐゴシック"/>
            <family val="3"/>
            <charset val="128"/>
          </rPr>
          <t>・</t>
        </r>
        <r>
          <rPr>
            <sz val="9"/>
            <color indexed="81"/>
            <rFont val="MS P ゴシック"/>
            <family val="2"/>
            <charset val="128"/>
          </rPr>
          <t>8</t>
        </r>
        <r>
          <rPr>
            <sz val="9"/>
            <color indexed="81"/>
            <rFont val="ＭＳ Ｐゴシック"/>
            <family val="3"/>
            <charset val="128"/>
          </rPr>
          <t>・</t>
        </r>
        <r>
          <rPr>
            <sz val="9"/>
            <color indexed="81"/>
            <rFont val="MS P ゴシック"/>
            <family val="2"/>
            <charset val="128"/>
          </rPr>
          <t>12</t>
        </r>
        <r>
          <rPr>
            <sz val="9"/>
            <color indexed="81"/>
            <rFont val="ＭＳ Ｐゴシック"/>
            <family val="3"/>
            <charset val="128"/>
          </rPr>
          <t>月</t>
        </r>
      </text>
    </comment>
    <comment ref="AC31" authorId="0" shapeId="0" xr:uid="{00000000-0006-0000-0A00-00000A000000}">
      <text>
        <r>
          <rPr>
            <sz val="9"/>
            <color indexed="81"/>
            <rFont val="ＭＳ Ｐゴシック"/>
            <family val="3"/>
            <charset val="128"/>
          </rPr>
          <t>※</t>
        </r>
        <r>
          <rPr>
            <sz val="9"/>
            <color indexed="81"/>
            <rFont val="MS P ゴシック"/>
            <family val="2"/>
            <charset val="128"/>
          </rPr>
          <t>9</t>
        </r>
        <r>
          <rPr>
            <sz val="9"/>
            <color indexed="81"/>
            <rFont val="ＭＳ Ｐゴシック"/>
            <family val="3"/>
            <charset val="128"/>
          </rPr>
          <t>月、◎</t>
        </r>
        <r>
          <rPr>
            <sz val="9"/>
            <color indexed="81"/>
            <rFont val="MS P ゴシック"/>
            <family val="2"/>
            <charset val="128"/>
          </rPr>
          <t>3</t>
        </r>
        <r>
          <rPr>
            <sz val="9"/>
            <color indexed="81"/>
            <rFont val="ＭＳ Ｐゴシック"/>
            <family val="3"/>
            <charset val="128"/>
          </rPr>
          <t>月</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SumitomoCorporationGroup</author>
  </authors>
  <commentList>
    <comment ref="B23" authorId="0" shapeId="0" xr:uid="{00000000-0006-0000-0B00-000001000000}">
      <text>
        <r>
          <rPr>
            <b/>
            <sz val="12"/>
            <color indexed="81"/>
            <rFont val="ＭＳ Ｐゴシック"/>
            <family val="3"/>
            <charset val="128"/>
          </rPr>
          <t>・電気温水器
・大、小便器
・手洗い、SK、パントリー
・水栓、ハンドドライヤー
・オストメイト
・ＩHクッキングヒーター
・レンジフード</t>
        </r>
      </text>
    </comment>
    <comment ref="B30" authorId="0" shapeId="0" xr:uid="{00000000-0006-0000-0B00-000002000000}">
      <text>
        <r>
          <rPr>
            <b/>
            <sz val="12"/>
            <color indexed="81"/>
            <rFont val="ＭＳ Ｐゴシック"/>
            <family val="3"/>
            <charset val="128"/>
          </rPr>
          <t>・スプリンクラーポンプ
・ポンプ始動盤
・消火水槽、消防補助水槽</t>
        </r>
      </text>
    </comment>
    <comment ref="B32" authorId="0" shapeId="0" xr:uid="{00000000-0006-0000-0B00-000003000000}">
      <text>
        <r>
          <rPr>
            <b/>
            <sz val="12"/>
            <color indexed="81"/>
            <rFont val="ＭＳ Ｐゴシック"/>
            <family val="3"/>
            <charset val="128"/>
          </rPr>
          <t>外装</t>
        </r>
        <r>
          <rPr>
            <sz val="12"/>
            <color indexed="81"/>
            <rFont val="ＭＳ Ｐゴシック"/>
            <family val="3"/>
            <charset val="128"/>
          </rPr>
          <t xml:space="preserve">
・防水層、パラペット、手摺、タラップ
・避雷突針
・壁
・床
</t>
        </r>
        <r>
          <rPr>
            <b/>
            <sz val="12"/>
            <color indexed="81"/>
            <rFont val="ＭＳ Ｐゴシック"/>
            <family val="3"/>
            <charset val="128"/>
          </rPr>
          <t>バルコニー</t>
        </r>
        <r>
          <rPr>
            <sz val="12"/>
            <color indexed="81"/>
            <rFont val="ＭＳ Ｐゴシック"/>
            <family val="3"/>
            <charset val="128"/>
          </rPr>
          <t xml:space="preserve">
・避難バルコニー
・避難ハシゴ（2階）
・避難ハッチ
</t>
        </r>
        <r>
          <rPr>
            <b/>
            <sz val="12"/>
            <color indexed="81"/>
            <rFont val="ＭＳ Ｐゴシック"/>
            <family val="3"/>
            <charset val="128"/>
          </rPr>
          <t>内装</t>
        </r>
        <r>
          <rPr>
            <sz val="12"/>
            <color indexed="81"/>
            <rFont val="ＭＳ Ｐゴシック"/>
            <family val="3"/>
            <charset val="128"/>
          </rPr>
          <t xml:space="preserve">
・床
・天井、壁
・扉
・電気錠
・階段（屋内、屋外）
・外構
・排水枡、マンホール、側溝
</t>
        </r>
      </text>
    </comment>
    <comment ref="B34" authorId="0" shapeId="0" xr:uid="{00000000-0006-0000-0B00-000004000000}">
      <text>
        <r>
          <rPr>
            <b/>
            <sz val="12"/>
            <color indexed="81"/>
            <rFont val="ＭＳ Ｐゴシック"/>
            <family val="3"/>
            <charset val="128"/>
          </rPr>
          <t xml:space="preserve">・駐車場シャッター
・シートシャッター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SumitomoCorporationGroup</author>
  </authors>
  <commentList>
    <comment ref="C99" authorId="0" shapeId="0" xr:uid="{00000000-0006-0000-0C00-000001000000}">
      <text>
        <r>
          <rPr>
            <sz val="10"/>
            <color indexed="81"/>
            <rFont val="ＭＳ Ｐゴシック"/>
            <family val="3"/>
            <charset val="128"/>
          </rPr>
          <t>技術管理室：　
「定期報告書、中長期計画書」は、技術管理室として取り纏めの上、SC（単体）で届出している場合は、該当「無」（グレーアウト）とする。
なお、管理組合代表としてSCが届出している場合は記載する。</t>
        </r>
      </text>
    </comment>
    <comment ref="C109" authorId="0" shapeId="0" xr:uid="{00000000-0006-0000-0C00-000002000000}">
      <text>
        <r>
          <rPr>
            <sz val="10"/>
            <color indexed="81"/>
            <rFont val="ＭＳ ゴシック"/>
            <family val="3"/>
            <charset val="128"/>
          </rPr>
          <t>技術管理室：　
大阪：特定給食施設栄養管理報告書
　　　毎年5月及び11月実績を翌々月15日まで報告
東京：栄養管理報告書
　　　毎年5月及び11月実績を翌月15日まで報告</t>
        </r>
      </text>
    </comment>
    <comment ref="N109" authorId="0" shapeId="0" xr:uid="{00000000-0006-0000-0C00-000003000000}">
      <text>
        <r>
          <rPr>
            <sz val="10"/>
            <color indexed="81"/>
            <rFont val="ＭＳ Ｐゴシック"/>
            <family val="3"/>
            <charset val="128"/>
          </rPr>
          <t>技術管理室：　
東京：5月分→6/15まで、11月分→12/15まで
大阪：5月分→7/15まで、11月分→1/15まで
エリアに提出期限が異なるので、適宜修正願います。</t>
        </r>
      </text>
    </comment>
    <comment ref="B147" authorId="0" shapeId="0" xr:uid="{00000000-0006-0000-0C00-000004000000}">
      <text>
        <r>
          <rPr>
            <sz val="10"/>
            <color indexed="81"/>
            <rFont val="ＭＳ Ｐゴシック"/>
            <family val="3"/>
            <charset val="128"/>
          </rPr>
          <t>技術管理室：　上記に不足している法定業務項目がありましたら、こちらに記載願います。</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satoshi fukutomi</author>
  </authors>
  <commentList>
    <comment ref="B6" authorId="0" shapeId="0" xr:uid="{00000000-0006-0000-0D00-000001000000}">
      <text>
        <r>
          <rPr>
            <b/>
            <sz val="9"/>
            <color indexed="81"/>
            <rFont val="ＭＳ Ｐゴシック"/>
            <family val="3"/>
            <charset val="128"/>
          </rPr>
          <t>入力は半角数値のみ。
月、日に</t>
        </r>
        <r>
          <rPr>
            <b/>
            <sz val="9"/>
            <color indexed="81"/>
            <rFont val="MS P ゴシック"/>
            <family val="3"/>
            <charset val="128"/>
          </rPr>
          <t>0</t>
        </r>
        <r>
          <rPr>
            <b/>
            <sz val="9"/>
            <color indexed="81"/>
            <rFont val="ＭＳ Ｐゴシック"/>
            <family val="3"/>
            <charset val="128"/>
          </rPr>
          <t>は入れない。
入力例
〇</t>
        </r>
        <r>
          <rPr>
            <b/>
            <sz val="9"/>
            <color indexed="81"/>
            <rFont val="MS P ゴシック"/>
            <family val="3"/>
            <charset val="128"/>
          </rPr>
          <t xml:space="preserve">2023/5/5
</t>
        </r>
        <r>
          <rPr>
            <b/>
            <sz val="9"/>
            <color indexed="81"/>
            <rFont val="ＭＳ Ｐゴシック"/>
            <family val="3"/>
            <charset val="128"/>
          </rPr>
          <t>✖</t>
        </r>
        <r>
          <rPr>
            <b/>
            <sz val="9"/>
            <color indexed="81"/>
            <rFont val="MS P ゴシック"/>
            <family val="3"/>
            <charset val="128"/>
          </rPr>
          <t>2023/05/05</t>
        </r>
      </text>
    </comment>
    <comment ref="D6" authorId="0" shapeId="0" xr:uid="{00000000-0006-0000-0D00-000002000000}">
      <text>
        <r>
          <rPr>
            <b/>
            <sz val="9"/>
            <color indexed="81"/>
            <rFont val="MS P ゴシック"/>
            <family val="3"/>
            <charset val="128"/>
          </rPr>
          <t>表に空白セルを作らない！</t>
        </r>
        <r>
          <rPr>
            <sz val="9"/>
            <color indexed="81"/>
            <rFont val="MS P ゴシック"/>
            <family val="3"/>
            <charset val="128"/>
          </rPr>
          <t xml:space="preserve">
</t>
        </r>
      </text>
    </comment>
  </commentList>
</comments>
</file>

<file path=xl/sharedStrings.xml><?xml version="1.0" encoding="utf-8"?>
<sst xmlns="http://schemas.openxmlformats.org/spreadsheetml/2006/main" count="2022" uniqueCount="720">
  <si>
    <t>【水道使用量】</t>
    <rPh sb="1" eb="3">
      <t>スイドウ</t>
    </rPh>
    <rPh sb="3" eb="6">
      <t>シヨウリョウ</t>
    </rPh>
    <phoneticPr fontId="8"/>
  </si>
  <si>
    <t>【電気使用量】</t>
    <rPh sb="1" eb="3">
      <t>デンキ</t>
    </rPh>
    <rPh sb="3" eb="6">
      <t>シヨウリョウ</t>
    </rPh>
    <phoneticPr fontId="8"/>
  </si>
  <si>
    <t>検針月累計</t>
    <rPh sb="0" eb="2">
      <t>ケンシン</t>
    </rPh>
    <rPh sb="2" eb="3">
      <t>ヅキ</t>
    </rPh>
    <rPh sb="3" eb="5">
      <t>ルイケイ</t>
    </rPh>
    <phoneticPr fontId="8"/>
  </si>
  <si>
    <t>備　考：</t>
    <rPh sb="0" eb="1">
      <t>ビ</t>
    </rPh>
    <rPh sb="2" eb="3">
      <t>コウ</t>
    </rPh>
    <phoneticPr fontId="8"/>
  </si>
  <si>
    <t>重点項目</t>
    <rPh sb="0" eb="2">
      <t>ジュウテン</t>
    </rPh>
    <rPh sb="2" eb="4">
      <t>コウモク</t>
    </rPh>
    <phoneticPr fontId="8"/>
  </si>
  <si>
    <t>日</t>
    <rPh sb="0" eb="1">
      <t>ヒヅケ</t>
    </rPh>
    <phoneticPr fontId="8"/>
  </si>
  <si>
    <t>曜</t>
    <rPh sb="0" eb="1">
      <t>ヨウ</t>
    </rPh>
    <phoneticPr fontId="8"/>
  </si>
  <si>
    <t>設備区分</t>
    <rPh sb="0" eb="2">
      <t>セツビ</t>
    </rPh>
    <rPh sb="2" eb="4">
      <t>クブン</t>
    </rPh>
    <phoneticPr fontId="8"/>
  </si>
  <si>
    <t>施　　工　　内　　容</t>
    <rPh sb="0" eb="4">
      <t>セコウ</t>
    </rPh>
    <rPh sb="6" eb="10">
      <t>ナイヨウ</t>
    </rPh>
    <phoneticPr fontId="8"/>
  </si>
  <si>
    <t>施工会社</t>
    <rPh sb="0" eb="2">
      <t>セコウ</t>
    </rPh>
    <rPh sb="2" eb="4">
      <t>カイシャ</t>
    </rPh>
    <phoneticPr fontId="8"/>
  </si>
  <si>
    <t>日</t>
  </si>
  <si>
    <t>事故・故障の内容</t>
    <rPh sb="0" eb="2">
      <t>ジコ</t>
    </rPh>
    <rPh sb="3" eb="5">
      <t>コショウ</t>
    </rPh>
    <rPh sb="6" eb="8">
      <t>ナイヨウ</t>
    </rPh>
    <phoneticPr fontId="8"/>
  </si>
  <si>
    <t>対　　応</t>
    <rPh sb="0" eb="1">
      <t>タイショ</t>
    </rPh>
    <rPh sb="3" eb="4">
      <t>オウ</t>
    </rPh>
    <phoneticPr fontId="8"/>
  </si>
  <si>
    <t>確認</t>
    <rPh sb="0" eb="2">
      <t>カクニン</t>
    </rPh>
    <phoneticPr fontId="8"/>
  </si>
  <si>
    <t>曜</t>
  </si>
  <si>
    <t>業　　　務　　　内　　　容</t>
  </si>
  <si>
    <t>結果</t>
  </si>
  <si>
    <t>備　　　考</t>
    <rPh sb="0" eb="1">
      <t>ソナエ</t>
    </rPh>
    <rPh sb="4" eb="5">
      <t>コウ</t>
    </rPh>
    <phoneticPr fontId="8"/>
  </si>
  <si>
    <t>対前年比</t>
    <rPh sb="0" eb="1">
      <t>タイ</t>
    </rPh>
    <rPh sb="1" eb="4">
      <t>ゼンネンヒ</t>
    </rPh>
    <phoneticPr fontId="8"/>
  </si>
  <si>
    <t>管理概要　</t>
    <phoneticPr fontId="8"/>
  </si>
  <si>
    <t>前年度使用量</t>
    <rPh sb="0" eb="3">
      <t>ゼンネンド</t>
    </rPh>
    <rPh sb="3" eb="6">
      <t>シヨウリョウ</t>
    </rPh>
    <phoneticPr fontId="8"/>
  </si>
  <si>
    <t>本年度使用量</t>
    <rPh sb="0" eb="3">
      <t>ホンネンド</t>
    </rPh>
    <rPh sb="3" eb="6">
      <t>シヨウリョウ</t>
    </rPh>
    <phoneticPr fontId="8"/>
  </si>
  <si>
    <t>空調</t>
    <rPh sb="0" eb="2">
      <t>クウチョウ</t>
    </rPh>
    <phoneticPr fontId="8"/>
  </si>
  <si>
    <t>その他</t>
    <rPh sb="2" eb="3">
      <t>タ</t>
    </rPh>
    <phoneticPr fontId="8"/>
  </si>
  <si>
    <t>消防</t>
    <rPh sb="0" eb="2">
      <t>ショウボウ</t>
    </rPh>
    <phoneticPr fontId="8"/>
  </si>
  <si>
    <t>業 務 内 容</t>
  </si>
  <si>
    <t>10　月</t>
  </si>
  <si>
    <t>11　月</t>
  </si>
  <si>
    <t>12　月</t>
  </si>
  <si>
    <t>備　考</t>
  </si>
  <si>
    <t>予</t>
  </si>
  <si>
    <t>実</t>
  </si>
  <si>
    <t>（委託業者）</t>
    <rPh sb="1" eb="3">
      <t>イタク</t>
    </rPh>
    <rPh sb="3" eb="5">
      <t>ギョウシャ</t>
    </rPh>
    <phoneticPr fontId="8"/>
  </si>
  <si>
    <t>毎日</t>
    <rPh sb="0" eb="2">
      <t>マイニチ</t>
    </rPh>
    <phoneticPr fontId="8"/>
  </si>
  <si>
    <t>○</t>
  </si>
  <si>
    <t>保安業務</t>
    <rPh sb="0" eb="2">
      <t>ホアン</t>
    </rPh>
    <rPh sb="2" eb="4">
      <t>ギョウム</t>
    </rPh>
    <phoneticPr fontId="8"/>
  </si>
  <si>
    <t>機械警備及び遠隔監視</t>
    <rPh sb="0" eb="2">
      <t>キカイ</t>
    </rPh>
    <rPh sb="2" eb="4">
      <t>ケイビ</t>
    </rPh>
    <rPh sb="4" eb="5">
      <t>オヨ</t>
    </rPh>
    <rPh sb="6" eb="8">
      <t>エンカク</t>
    </rPh>
    <rPh sb="8" eb="10">
      <t>カンシ</t>
    </rPh>
    <phoneticPr fontId="8"/>
  </si>
  <si>
    <t>建築</t>
    <rPh sb="0" eb="2">
      <t>ケンチク</t>
    </rPh>
    <phoneticPr fontId="8"/>
  </si>
  <si>
    <t>建築設備定期検査</t>
    <rPh sb="0" eb="2">
      <t>ケンチク</t>
    </rPh>
    <rPh sb="2" eb="4">
      <t>セツビ</t>
    </rPh>
    <rPh sb="4" eb="6">
      <t>テイキ</t>
    </rPh>
    <rPh sb="6" eb="8">
      <t>ケンサ</t>
    </rPh>
    <phoneticPr fontId="8"/>
  </si>
  <si>
    <t>自動扉保守</t>
    <rPh sb="0" eb="2">
      <t>ジドウ</t>
    </rPh>
    <rPh sb="2" eb="3">
      <t>トビラ</t>
    </rPh>
    <rPh sb="3" eb="5">
      <t>ホシュ</t>
    </rPh>
    <phoneticPr fontId="8"/>
  </si>
  <si>
    <t>エレベーター保守</t>
    <rPh sb="6" eb="8">
      <t>ホシュ</t>
    </rPh>
    <phoneticPr fontId="8"/>
  </si>
  <si>
    <t>電気</t>
    <rPh sb="0" eb="2">
      <t>デンキ</t>
    </rPh>
    <phoneticPr fontId="8"/>
  </si>
  <si>
    <t>電気工作物保守</t>
    <rPh sb="0" eb="2">
      <t>デンキ</t>
    </rPh>
    <rPh sb="2" eb="5">
      <t>コウサクブツ</t>
    </rPh>
    <rPh sb="5" eb="7">
      <t>ホシュ</t>
    </rPh>
    <phoneticPr fontId="8"/>
  </si>
  <si>
    <t>空調設備保守</t>
    <rPh sb="0" eb="2">
      <t>クウチョウ</t>
    </rPh>
    <rPh sb="2" eb="4">
      <t>セツビ</t>
    </rPh>
    <rPh sb="4" eb="6">
      <t>ホシュ</t>
    </rPh>
    <phoneticPr fontId="8"/>
  </si>
  <si>
    <t>空調機フィルター清掃</t>
    <rPh sb="0" eb="2">
      <t>クウチョウ</t>
    </rPh>
    <rPh sb="2" eb="3">
      <t>キ</t>
    </rPh>
    <rPh sb="8" eb="10">
      <t>セイソウ</t>
    </rPh>
    <phoneticPr fontId="8"/>
  </si>
  <si>
    <t>消防設備点検</t>
    <rPh sb="0" eb="2">
      <t>ショウボウ</t>
    </rPh>
    <rPh sb="2" eb="4">
      <t>セツビ</t>
    </rPh>
    <rPh sb="4" eb="6">
      <t>テンケン</t>
    </rPh>
    <phoneticPr fontId="8"/>
  </si>
  <si>
    <t>連結送水管耐圧試験</t>
    <rPh sb="0" eb="2">
      <t>レンケツ</t>
    </rPh>
    <rPh sb="2" eb="3">
      <t>ソウ</t>
    </rPh>
    <rPh sb="3" eb="5">
      <t>スイカン</t>
    </rPh>
    <rPh sb="5" eb="7">
      <t>タイアツ</t>
    </rPh>
    <rPh sb="7" eb="9">
      <t>シケン</t>
    </rPh>
    <phoneticPr fontId="8"/>
  </si>
  <si>
    <t>ガラス清掃業務</t>
    <rPh sb="3" eb="5">
      <t>セイソウ</t>
    </rPh>
    <rPh sb="5" eb="7">
      <t>ギョウム</t>
    </rPh>
    <phoneticPr fontId="8"/>
  </si>
  <si>
    <t>植栽管理業務</t>
    <rPh sb="0" eb="2">
      <t>ショクサイ</t>
    </rPh>
    <rPh sb="2" eb="4">
      <t>カンリ</t>
    </rPh>
    <rPh sb="4" eb="6">
      <t>ギョウム</t>
    </rPh>
    <phoneticPr fontId="8"/>
  </si>
  <si>
    <t>業 務 内 容</t>
    <rPh sb="0" eb="1">
      <t>ギョウ</t>
    </rPh>
    <rPh sb="2" eb="3">
      <t>ツトム</t>
    </rPh>
    <rPh sb="4" eb="5">
      <t>ウチ</t>
    </rPh>
    <rPh sb="6" eb="7">
      <t>カタチ</t>
    </rPh>
    <phoneticPr fontId="8"/>
  </si>
  <si>
    <t>実施回数</t>
    <rPh sb="0" eb="2">
      <t>ジッシ</t>
    </rPh>
    <rPh sb="2" eb="4">
      <t>カイスウ</t>
    </rPh>
    <phoneticPr fontId="8"/>
  </si>
  <si>
    <t>４　月</t>
    <rPh sb="2" eb="3">
      <t>ガツ</t>
    </rPh>
    <phoneticPr fontId="8"/>
  </si>
  <si>
    <t>５　月</t>
    <rPh sb="2" eb="3">
      <t>ガツ</t>
    </rPh>
    <phoneticPr fontId="8"/>
  </si>
  <si>
    <t>６　月</t>
    <rPh sb="2" eb="3">
      <t>ガツ</t>
    </rPh>
    <phoneticPr fontId="8"/>
  </si>
  <si>
    <t>７　月</t>
    <rPh sb="2" eb="3">
      <t>ガツ</t>
    </rPh>
    <phoneticPr fontId="8"/>
  </si>
  <si>
    <t>８　月</t>
    <rPh sb="2" eb="3">
      <t>ガツ</t>
    </rPh>
    <phoneticPr fontId="8"/>
  </si>
  <si>
    <t>９　月</t>
    <rPh sb="2" eb="3">
      <t>ガツ</t>
    </rPh>
    <phoneticPr fontId="8"/>
  </si>
  <si>
    <t>２　月</t>
    <rPh sb="2" eb="3">
      <t>ガツ</t>
    </rPh>
    <phoneticPr fontId="8"/>
  </si>
  <si>
    <t>３　月</t>
    <rPh sb="2" eb="3">
      <t>ガツ</t>
    </rPh>
    <phoneticPr fontId="8"/>
  </si>
  <si>
    <t>備　考</t>
    <rPh sb="0" eb="1">
      <t>ビ</t>
    </rPh>
    <rPh sb="2" eb="3">
      <t>コウ</t>
    </rPh>
    <phoneticPr fontId="8"/>
  </si>
  <si>
    <t>予</t>
    <rPh sb="0" eb="1">
      <t>ヨ</t>
    </rPh>
    <phoneticPr fontId="8"/>
  </si>
  <si>
    <t>実</t>
    <rPh sb="0" eb="1">
      <t>ジツ</t>
    </rPh>
    <phoneticPr fontId="8"/>
  </si>
  <si>
    <t>加湿器点検</t>
    <rPh sb="0" eb="2">
      <t>カシツ</t>
    </rPh>
    <rPh sb="2" eb="3">
      <t>キ</t>
    </rPh>
    <rPh sb="3" eb="5">
      <t>テンケン</t>
    </rPh>
    <phoneticPr fontId="8"/>
  </si>
  <si>
    <t>定期清掃業務</t>
    <rPh sb="0" eb="2">
      <t>テイキ</t>
    </rPh>
    <rPh sb="2" eb="4">
      <t>セイソウ</t>
    </rPh>
    <rPh sb="4" eb="6">
      <t>ギョウム</t>
    </rPh>
    <phoneticPr fontId="8"/>
  </si>
  <si>
    <t>１０　月</t>
    <rPh sb="3" eb="4">
      <t>ガツ</t>
    </rPh>
    <phoneticPr fontId="8"/>
  </si>
  <si>
    <t>１１　月</t>
    <rPh sb="3" eb="4">
      <t>ガツ</t>
    </rPh>
    <phoneticPr fontId="8"/>
  </si>
  <si>
    <t>１２　月</t>
    <rPh sb="3" eb="4">
      <t>ガツ</t>
    </rPh>
    <phoneticPr fontId="8"/>
  </si>
  <si>
    <t>１　月</t>
    <rPh sb="2" eb="3">
      <t>ガツ</t>
    </rPh>
    <phoneticPr fontId="8"/>
  </si>
  <si>
    <t>電　気</t>
    <rPh sb="0" eb="1">
      <t>デン</t>
    </rPh>
    <rPh sb="2" eb="3">
      <t>キ</t>
    </rPh>
    <phoneticPr fontId="8"/>
  </si>
  <si>
    <t>弱電盤点検</t>
    <rPh sb="0" eb="2">
      <t>ジャクデン</t>
    </rPh>
    <rPh sb="2" eb="3">
      <t>バン</t>
    </rPh>
    <rPh sb="3" eb="5">
      <t>テンケン</t>
    </rPh>
    <phoneticPr fontId="8"/>
  </si>
  <si>
    <t>1回/年</t>
    <rPh sb="1" eb="2">
      <t>ネン</t>
    </rPh>
    <phoneticPr fontId="8"/>
  </si>
  <si>
    <t>ITV設備点検</t>
    <rPh sb="3" eb="5">
      <t>セツビ</t>
    </rPh>
    <rPh sb="5" eb="7">
      <t>テンケン</t>
    </rPh>
    <phoneticPr fontId="8"/>
  </si>
  <si>
    <t>毎月</t>
    <rPh sb="0" eb="1">
      <t>マイツキ</t>
    </rPh>
    <phoneticPr fontId="8"/>
  </si>
  <si>
    <t>空　調</t>
    <rPh sb="0" eb="1">
      <t>ゾラ</t>
    </rPh>
    <rPh sb="2" eb="3">
      <t>チョウ</t>
    </rPh>
    <phoneticPr fontId="8"/>
  </si>
  <si>
    <r>
      <t>空調設備点検</t>
    </r>
    <r>
      <rPr>
        <sz val="10"/>
        <rFont val="ＭＳ Ｐゴシック"/>
        <family val="3"/>
        <charset val="128"/>
      </rPr>
      <t>（室外機）</t>
    </r>
    <rPh sb="0" eb="2">
      <t>クウチョウ</t>
    </rPh>
    <rPh sb="2" eb="4">
      <t>セツビ</t>
    </rPh>
    <rPh sb="4" eb="6">
      <t>テンケン</t>
    </rPh>
    <rPh sb="7" eb="8">
      <t>シツ</t>
    </rPh>
    <rPh sb="8" eb="9">
      <t>ガイ</t>
    </rPh>
    <rPh sb="9" eb="10">
      <t>キ</t>
    </rPh>
    <phoneticPr fontId="8"/>
  </si>
  <si>
    <t>1回/3ヶ月</t>
    <rPh sb="1" eb="2">
      <t>カイ</t>
    </rPh>
    <rPh sb="5" eb="6">
      <t>ゲツ</t>
    </rPh>
    <phoneticPr fontId="8"/>
  </si>
  <si>
    <t>1回/年</t>
    <rPh sb="1" eb="2">
      <t>カイ</t>
    </rPh>
    <rPh sb="3" eb="4">
      <t>ネン</t>
    </rPh>
    <phoneticPr fontId="8"/>
  </si>
  <si>
    <t>衛　生</t>
    <rPh sb="0" eb="1">
      <t>マモル</t>
    </rPh>
    <rPh sb="2" eb="3">
      <t>ショウ</t>
    </rPh>
    <phoneticPr fontId="8"/>
  </si>
  <si>
    <t>直結増圧ポンプ点検</t>
    <rPh sb="0" eb="2">
      <t>チョッケツ</t>
    </rPh>
    <rPh sb="2" eb="4">
      <t>ゾウアツ</t>
    </rPh>
    <rPh sb="7" eb="9">
      <t>テンケン</t>
    </rPh>
    <phoneticPr fontId="8"/>
  </si>
  <si>
    <t>散水設備点検</t>
    <rPh sb="0" eb="1">
      <t>サンスイ</t>
    </rPh>
    <rPh sb="1" eb="3">
      <t>セツビ</t>
    </rPh>
    <rPh sb="3" eb="5">
      <t>テンケン</t>
    </rPh>
    <phoneticPr fontId="8"/>
  </si>
  <si>
    <t>水道メーター検針</t>
    <rPh sb="0" eb="1">
      <t>スイドウ</t>
    </rPh>
    <rPh sb="5" eb="7">
      <t>ケンシン</t>
    </rPh>
    <phoneticPr fontId="8"/>
  </si>
  <si>
    <t>消　防</t>
    <rPh sb="0" eb="1">
      <t>ケ</t>
    </rPh>
    <rPh sb="2" eb="3">
      <t>ボウ</t>
    </rPh>
    <phoneticPr fontId="8"/>
  </si>
  <si>
    <t>自火報盤点検</t>
    <rPh sb="0" eb="1">
      <t>ジ</t>
    </rPh>
    <rPh sb="1" eb="2">
      <t>カ</t>
    </rPh>
    <rPh sb="2" eb="3">
      <t>ホウ</t>
    </rPh>
    <rPh sb="3" eb="4">
      <t>バン</t>
    </rPh>
    <rPh sb="4" eb="6">
      <t>テンケン</t>
    </rPh>
    <phoneticPr fontId="8"/>
  </si>
  <si>
    <t>1回/6ヶ月</t>
    <rPh sb="1" eb="2">
      <t>カイ</t>
    </rPh>
    <rPh sb="5" eb="6">
      <t>ゲツ</t>
    </rPh>
    <phoneticPr fontId="8"/>
  </si>
  <si>
    <t>連結送水管点検</t>
    <rPh sb="0" eb="2">
      <t>レンケツ</t>
    </rPh>
    <rPh sb="2" eb="5">
      <t>ソウスイカン</t>
    </rPh>
    <rPh sb="5" eb="7">
      <t>テンケン</t>
    </rPh>
    <phoneticPr fontId="8"/>
  </si>
  <si>
    <t>消火器点検</t>
    <rPh sb="0" eb="3">
      <t>ショウカキ</t>
    </rPh>
    <rPh sb="3" eb="5">
      <t>テンケン</t>
    </rPh>
    <phoneticPr fontId="8"/>
  </si>
  <si>
    <t>1回/6ヶ月</t>
  </si>
  <si>
    <t>誘導灯設備点検</t>
    <rPh sb="0" eb="3">
      <t>ユウドウトウ</t>
    </rPh>
    <rPh sb="3" eb="5">
      <t>セツビ</t>
    </rPh>
    <rPh sb="5" eb="7">
      <t>テンケン</t>
    </rPh>
    <phoneticPr fontId="8"/>
  </si>
  <si>
    <t>建築設備点検</t>
    <rPh sb="0" eb="2">
      <t>ケンチク</t>
    </rPh>
    <rPh sb="2" eb="4">
      <t>セツビ</t>
    </rPh>
    <rPh sb="4" eb="6">
      <t>テンケン</t>
    </rPh>
    <phoneticPr fontId="8"/>
  </si>
  <si>
    <t>給水ポンプ点検</t>
    <rPh sb="0" eb="2">
      <t>キュウスイ</t>
    </rPh>
    <rPh sb="5" eb="7">
      <t>テンケン</t>
    </rPh>
    <phoneticPr fontId="8"/>
  </si>
  <si>
    <t>防火設備定期検査</t>
    <rPh sb="0" eb="2">
      <t>ボウカ</t>
    </rPh>
    <rPh sb="2" eb="4">
      <t>セツビ</t>
    </rPh>
    <rPh sb="4" eb="6">
      <t>テイキ</t>
    </rPh>
    <rPh sb="6" eb="8">
      <t>ケンサ</t>
    </rPh>
    <phoneticPr fontId="8"/>
  </si>
  <si>
    <t>衛生</t>
    <rPh sb="0" eb="2">
      <t>エイセイ</t>
    </rPh>
    <phoneticPr fontId="8"/>
  </si>
  <si>
    <t>5月</t>
  </si>
  <si>
    <t>6月</t>
  </si>
  <si>
    <t>7月</t>
  </si>
  <si>
    <t>8月</t>
  </si>
  <si>
    <t>9月</t>
  </si>
  <si>
    <t>10月</t>
  </si>
  <si>
    <t>11月</t>
  </si>
  <si>
    <t>12月</t>
  </si>
  <si>
    <t>2月</t>
    <rPh sb="1" eb="2">
      <t>ガツ</t>
    </rPh>
    <phoneticPr fontId="8"/>
  </si>
  <si>
    <t>⑤　事故・故障報告</t>
    <rPh sb="2" eb="4">
      <t>ジコ</t>
    </rPh>
    <rPh sb="5" eb="7">
      <t>コショウ</t>
    </rPh>
    <rPh sb="7" eb="9">
      <t>ホウコク</t>
    </rPh>
    <phoneticPr fontId="8"/>
  </si>
  <si>
    <t>日常</t>
    <rPh sb="0" eb="2">
      <t>ニチジョウ</t>
    </rPh>
    <phoneticPr fontId="8"/>
  </si>
  <si>
    <t>保全業務</t>
    <rPh sb="0" eb="2">
      <t>ホゼン</t>
    </rPh>
    <rPh sb="2" eb="4">
      <t>ギョウム</t>
    </rPh>
    <phoneticPr fontId="8"/>
  </si>
  <si>
    <t>清掃業務</t>
    <rPh sb="0" eb="2">
      <t>セイソウ</t>
    </rPh>
    <rPh sb="2" eb="4">
      <t>ギョウム</t>
    </rPh>
    <phoneticPr fontId="8"/>
  </si>
  <si>
    <t>塵芥処理</t>
    <rPh sb="0" eb="2">
      <t>ジンカイ</t>
    </rPh>
    <rPh sb="2" eb="4">
      <t>ショリ</t>
    </rPh>
    <phoneticPr fontId="8"/>
  </si>
  <si>
    <t>④　清掃業務月次報告</t>
    <rPh sb="2" eb="4">
      <t>セイソウ</t>
    </rPh>
    <rPh sb="4" eb="6">
      <t>ギョウム</t>
    </rPh>
    <rPh sb="6" eb="8">
      <t>ゲツジ</t>
    </rPh>
    <rPh sb="8" eb="10">
      <t>ホウコク</t>
    </rPh>
    <phoneticPr fontId="8"/>
  </si>
  <si>
    <t>備考</t>
    <rPh sb="0" eb="2">
      <t>ビコウ</t>
    </rPh>
    <phoneticPr fontId="8"/>
  </si>
  <si>
    <t>関東電気保安協会</t>
    <rPh sb="0" eb="2">
      <t>カントウ</t>
    </rPh>
    <rPh sb="2" eb="4">
      <t>デンキ</t>
    </rPh>
    <rPh sb="4" eb="6">
      <t>ホアン</t>
    </rPh>
    <rPh sb="6" eb="8">
      <t>キョウカイ</t>
    </rPh>
    <phoneticPr fontId="8"/>
  </si>
  <si>
    <t>１回/年</t>
    <rPh sb="1" eb="2">
      <t>カイ</t>
    </rPh>
    <rPh sb="3" eb="4">
      <t>ネン</t>
    </rPh>
    <phoneticPr fontId="8"/>
  </si>
  <si>
    <t>ホルムアルデヒド測定</t>
    <rPh sb="8" eb="10">
      <t>ソクテイ</t>
    </rPh>
    <phoneticPr fontId="8"/>
  </si>
  <si>
    <t>未定</t>
    <rPh sb="0" eb="2">
      <t>ミテイ</t>
    </rPh>
    <phoneticPr fontId="8"/>
  </si>
  <si>
    <t>３．水道光熱使用量</t>
    <rPh sb="2" eb="4">
      <t>スイドウ</t>
    </rPh>
    <rPh sb="4" eb="6">
      <t>コウネツ</t>
    </rPh>
    <rPh sb="6" eb="9">
      <t>シヨウリョウ</t>
    </rPh>
    <phoneticPr fontId="8"/>
  </si>
  <si>
    <t>４．月間点検作業予定と重点項目</t>
    <rPh sb="8" eb="10">
      <t>ヨテイ</t>
    </rPh>
    <rPh sb="11" eb="13">
      <t>ジュウテン</t>
    </rPh>
    <rPh sb="13" eb="15">
      <t>コウモク</t>
    </rPh>
    <phoneticPr fontId="8"/>
  </si>
  <si>
    <t>①　定期保守業務</t>
    <rPh sb="4" eb="6">
      <t>ホシュ</t>
    </rPh>
    <rPh sb="6" eb="8">
      <t>ギョウム</t>
    </rPh>
    <phoneticPr fontId="8"/>
  </si>
  <si>
    <t>保守作業</t>
    <rPh sb="0" eb="2">
      <t>ホシュ</t>
    </rPh>
    <rPh sb="2" eb="4">
      <t>サギョウ</t>
    </rPh>
    <phoneticPr fontId="8"/>
  </si>
  <si>
    <t>巡回業務</t>
    <rPh sb="0" eb="2">
      <t>ジュンカイ</t>
    </rPh>
    <rPh sb="2" eb="4">
      <t>ギョウム</t>
    </rPh>
    <phoneticPr fontId="8"/>
  </si>
  <si>
    <t>③　設備巡回業務月次点検報告</t>
    <rPh sb="2" eb="4">
      <t>セツビ</t>
    </rPh>
    <rPh sb="4" eb="6">
      <t>ジュンカイ</t>
    </rPh>
    <rPh sb="6" eb="8">
      <t>ギョウム</t>
    </rPh>
    <rPh sb="8" eb="10">
      <t>ゲツジ</t>
    </rPh>
    <rPh sb="10" eb="12">
      <t>テンケン</t>
    </rPh>
    <rPh sb="12" eb="14">
      <t>ホウコク</t>
    </rPh>
    <phoneticPr fontId="8"/>
  </si>
  <si>
    <t>3月</t>
    <phoneticPr fontId="8"/>
  </si>
  <si>
    <t>検針月累計</t>
    <phoneticPr fontId="8"/>
  </si>
  <si>
    <t>②スポット対応、テナント対応業務</t>
    <rPh sb="5" eb="7">
      <t>タイオウ</t>
    </rPh>
    <rPh sb="12" eb="14">
      <t>タイオウ</t>
    </rPh>
    <rPh sb="14" eb="16">
      <t>ギョウム</t>
    </rPh>
    <phoneticPr fontId="8"/>
  </si>
  <si>
    <t>メーター有効期限確認</t>
    <rPh sb="4" eb="6">
      <t>ユウコウ</t>
    </rPh>
    <rPh sb="6" eb="8">
      <t>キゲン</t>
    </rPh>
    <rPh sb="8" eb="10">
      <t>カクニン</t>
    </rPh>
    <phoneticPr fontId="8"/>
  </si>
  <si>
    <t>５　月</t>
  </si>
  <si>
    <t>６　月</t>
  </si>
  <si>
    <t>７　月</t>
  </si>
  <si>
    <t>８　月</t>
  </si>
  <si>
    <t>９　月</t>
  </si>
  <si>
    <t>２　月</t>
  </si>
  <si>
    <t>３　月</t>
  </si>
  <si>
    <t>○</t>
    <phoneticPr fontId="8"/>
  </si>
  <si>
    <t>1回/年</t>
    <phoneticPr fontId="8"/>
  </si>
  <si>
    <t>インターホン点検</t>
    <phoneticPr fontId="8"/>
  </si>
  <si>
    <t>電力メーター読み合わせ</t>
    <rPh sb="0" eb="2">
      <t>デンリョク</t>
    </rPh>
    <rPh sb="6" eb="7">
      <t>ヨ</t>
    </rPh>
    <rPh sb="8" eb="9">
      <t>ア</t>
    </rPh>
    <phoneticPr fontId="8"/>
  </si>
  <si>
    <t>1回/年</t>
    <rPh sb="0" eb="1">
      <t>カイ</t>
    </rPh>
    <rPh sb="2" eb="3">
      <t>ツキ</t>
    </rPh>
    <rPh sb="3" eb="4">
      <t>ネン</t>
    </rPh>
    <phoneticPr fontId="8"/>
  </si>
  <si>
    <t>給排気ファン設備点検</t>
    <rPh sb="0" eb="1">
      <t>キュウ</t>
    </rPh>
    <rPh sb="1" eb="3">
      <t>ハイキ</t>
    </rPh>
    <rPh sb="6" eb="8">
      <t>セツビ</t>
    </rPh>
    <rPh sb="8" eb="10">
      <t>テンケン</t>
    </rPh>
    <phoneticPr fontId="8"/>
  </si>
  <si>
    <r>
      <t>空調設備点検</t>
    </r>
    <r>
      <rPr>
        <sz val="10"/>
        <rFont val="ＭＳ Ｐゴシック"/>
        <family val="3"/>
        <charset val="128"/>
      </rPr>
      <t>（室内機）</t>
    </r>
    <rPh sb="0" eb="2">
      <t>クウチョウ</t>
    </rPh>
    <rPh sb="2" eb="4">
      <t>セツビ</t>
    </rPh>
    <rPh sb="4" eb="6">
      <t>テンケン</t>
    </rPh>
    <rPh sb="7" eb="9">
      <t>シツナイ</t>
    </rPh>
    <rPh sb="9" eb="10">
      <t>キ</t>
    </rPh>
    <phoneticPr fontId="8"/>
  </si>
  <si>
    <t>全熱交換器点検</t>
    <rPh sb="0" eb="1">
      <t>ゼン</t>
    </rPh>
    <rPh sb="1" eb="2">
      <t>ネツ</t>
    </rPh>
    <rPh sb="2" eb="4">
      <t>コウカン</t>
    </rPh>
    <rPh sb="4" eb="5">
      <t>キ</t>
    </rPh>
    <rPh sb="5" eb="7">
      <t>テンケン</t>
    </rPh>
    <phoneticPr fontId="8"/>
  </si>
  <si>
    <t>1回/3ヶ月</t>
    <phoneticPr fontId="8"/>
  </si>
  <si>
    <t>監視装置
（コントローラー）点検</t>
    <rPh sb="0" eb="2">
      <t>カンシ</t>
    </rPh>
    <rPh sb="2" eb="4">
      <t>ソウチ</t>
    </rPh>
    <rPh sb="14" eb="16">
      <t>テンケン</t>
    </rPh>
    <phoneticPr fontId="8"/>
  </si>
  <si>
    <t>ﾎﾟﾝﾌﾟ制御盤・
動力盤点検</t>
    <rPh sb="4" eb="6">
      <t>セイギョ</t>
    </rPh>
    <rPh sb="6" eb="7">
      <t>バン</t>
    </rPh>
    <rPh sb="7" eb="8">
      <t xml:space="preserve">
</t>
    </rPh>
    <rPh sb="8" eb="11">
      <t>ドウリョクバン</t>
    </rPh>
    <rPh sb="11" eb="13">
      <t>テンケン</t>
    </rPh>
    <phoneticPr fontId="8"/>
  </si>
  <si>
    <t>毎月</t>
    <phoneticPr fontId="8"/>
  </si>
  <si>
    <t>1回/2ヶ月</t>
    <rPh sb="0" eb="1">
      <t>カイ</t>
    </rPh>
    <rPh sb="4" eb="5">
      <t>ゲツ</t>
    </rPh>
    <phoneticPr fontId="8"/>
  </si>
  <si>
    <r>
      <t xml:space="preserve">トイレ・給湯廻り設備点検
</t>
    </r>
    <r>
      <rPr>
        <sz val="10"/>
        <rFont val="ＭＳ Ｐゴシック"/>
        <family val="3"/>
        <charset val="128"/>
      </rPr>
      <t>（ＩＨヒーター、ﾚﾝｼﾞﾌｰﾄﾞ含む）</t>
    </r>
    <rPh sb="3" eb="5">
      <t>キュウトウ</t>
    </rPh>
    <rPh sb="6" eb="7">
      <t>マワ</t>
    </rPh>
    <rPh sb="8" eb="10">
      <t>セツビ</t>
    </rPh>
    <rPh sb="9" eb="11">
      <t>テンケン</t>
    </rPh>
    <rPh sb="29" eb="30">
      <t>フク</t>
    </rPh>
    <phoneticPr fontId="8"/>
  </si>
  <si>
    <t>1回/6ヶ月</t>
    <phoneticPr fontId="8"/>
  </si>
  <si>
    <t>水道メーター読み合わせ</t>
    <rPh sb="0" eb="2">
      <t>スイドウ</t>
    </rPh>
    <rPh sb="6" eb="7">
      <t>ヨ</t>
    </rPh>
    <rPh sb="8" eb="9">
      <t>ア</t>
    </rPh>
    <phoneticPr fontId="8"/>
  </si>
  <si>
    <t>スプリンクラー設備点検</t>
    <rPh sb="7" eb="9">
      <t>セツビ</t>
    </rPh>
    <rPh sb="9" eb="11">
      <t>テンケン</t>
    </rPh>
    <phoneticPr fontId="8"/>
  </si>
  <si>
    <t>建築・その他</t>
    <rPh sb="0" eb="2">
      <t>ケンチク</t>
    </rPh>
    <rPh sb="5" eb="6">
      <t>タ</t>
    </rPh>
    <phoneticPr fontId="8"/>
  </si>
  <si>
    <t>自動ドア点検</t>
    <phoneticPr fontId="8"/>
  </si>
  <si>
    <t>防火シャッター設備点検
（ｼｰﾄ含）</t>
    <phoneticPr fontId="8"/>
  </si>
  <si>
    <t>排煙窓・開放装置点検</t>
    <rPh sb="0" eb="2">
      <t>ハイエン</t>
    </rPh>
    <rPh sb="2" eb="3">
      <t>マド</t>
    </rPh>
    <rPh sb="4" eb="6">
      <t>カイホウ</t>
    </rPh>
    <rPh sb="6" eb="8">
      <t>ソウチ</t>
    </rPh>
    <rPh sb="8" eb="10">
      <t>テンケン</t>
    </rPh>
    <phoneticPr fontId="8"/>
  </si>
  <si>
    <t>最大需要電力
（デマンド値）</t>
    <rPh sb="12" eb="13">
      <t>チ</t>
    </rPh>
    <phoneticPr fontId="8"/>
  </si>
  <si>
    <t>入力用</t>
    <rPh sb="0" eb="2">
      <t>ニュウリョク</t>
    </rPh>
    <rPh sb="2" eb="3">
      <t>ヨウ</t>
    </rPh>
    <phoneticPr fontId="8"/>
  </si>
  <si>
    <t xml:space="preserve">御成門ＰＲＥＸの契約電力について
当ビルは実量制で契約電力が決定しております。
実量制の契約電力は、当月を含む過去１年間の各月の最大需要電力（デマンド値）のうちで最も大きい値となります。 
ただし、電気使用開始から１年間の各月の契約電力は、電気使用開始月からその月までの最大需要電力
のうち最も大きい値となります。
※最大需要電力（デマンド値）は３０分毎の平均使用電力のうち、月間で最も大きい値を最大需要電力といいます。この値は、同時にお使いになる負荷設備が多いほど、大きくなります。
電気料金の計算方法
毎月の電気料金は、契約電力にもとづいて計算された基本料金と、使用電力量によって計算された電力量料金に、
再生可能エネルギー発電促進賦課金を加えたものになります。
 電力量料金は、燃料費の変動に応じて、燃料費調整額を加算あるいは差し引いて計算します。
電気料金の計算式
基本料金
基本料金単価(税込)×契約電力×(185－力率)/100 
電力量料金
電力量料金単価(税込)×使用電力量±燃料費調整額 
合計
基本料金＋電力量料金＋再生可能エネルギー発電促進賦課金 
</t>
    <rPh sb="0" eb="3">
      <t>オナリモン</t>
    </rPh>
    <rPh sb="17" eb="18">
      <t>トウ</t>
    </rPh>
    <rPh sb="75" eb="76">
      <t>チ</t>
    </rPh>
    <phoneticPr fontId="8"/>
  </si>
  <si>
    <t>□トラブルについて</t>
    <phoneticPr fontId="8"/>
  </si>
  <si>
    <t>1)</t>
    <phoneticPr fontId="8"/>
  </si>
  <si>
    <t>□エネルギー使用について</t>
    <rPh sb="6" eb="8">
      <t>シヨウ</t>
    </rPh>
    <phoneticPr fontId="8"/>
  </si>
  <si>
    <t>□その他</t>
    <rPh sb="3" eb="4">
      <t>タ</t>
    </rPh>
    <phoneticPr fontId="8"/>
  </si>
  <si>
    <t>エス・シー・ビルサービス株式会社</t>
    <rPh sb="12" eb="16">
      <t>カブシキガイシャ</t>
    </rPh>
    <phoneticPr fontId="8"/>
  </si>
  <si>
    <t>Ｓ　Ｂ　Ｍ</t>
    <phoneticPr fontId="8"/>
  </si>
  <si>
    <t>《目　　　　次》</t>
    <rPh sb="1" eb="7">
      <t>モクジ</t>
    </rPh>
    <phoneticPr fontId="8"/>
  </si>
  <si>
    <t>　　　　　　　　　　　　　　　　　　　　　　　　　　１．所見</t>
    <rPh sb="28" eb="30">
      <t>ショケン</t>
    </rPh>
    <phoneticPr fontId="8"/>
  </si>
  <si>
    <t>　　　　　　　　　　　　　　　　　　　　　　　　　　２．今月実施業務報告</t>
    <rPh sb="28" eb="30">
      <t>コンゲツ</t>
    </rPh>
    <rPh sb="30" eb="32">
      <t>ジッシ</t>
    </rPh>
    <rPh sb="32" eb="34">
      <t>ギョウム</t>
    </rPh>
    <rPh sb="34" eb="36">
      <t>ホウコク</t>
    </rPh>
    <phoneticPr fontId="8"/>
  </si>
  <si>
    <t>　　　　　　　　　　　　　　　　　　　　　　　　　　　　①　定期保守業務</t>
    <rPh sb="30" eb="32">
      <t>テイキ</t>
    </rPh>
    <rPh sb="32" eb="34">
      <t>ホシュ</t>
    </rPh>
    <rPh sb="34" eb="36">
      <t>ギョウム</t>
    </rPh>
    <phoneticPr fontId="8"/>
  </si>
  <si>
    <t>　　　　　　　　　　　　　　　　　　　　　　　　　　　　②　スポット対応、テナント対応業務</t>
    <rPh sb="34" eb="36">
      <t>タイオウ</t>
    </rPh>
    <rPh sb="41" eb="43">
      <t>タイオウ</t>
    </rPh>
    <rPh sb="43" eb="45">
      <t>ギョウム</t>
    </rPh>
    <phoneticPr fontId="8"/>
  </si>
  <si>
    <t>　　　　　　　　　　　　　　　　　　　　　　　　　　　　③　設備巡回業務月次点検報告</t>
    <rPh sb="30" eb="32">
      <t>セツビ</t>
    </rPh>
    <rPh sb="32" eb="34">
      <t>ジュンカイ</t>
    </rPh>
    <rPh sb="34" eb="36">
      <t>ギョウム</t>
    </rPh>
    <rPh sb="36" eb="38">
      <t>ゲツジ</t>
    </rPh>
    <rPh sb="38" eb="40">
      <t>テンケン</t>
    </rPh>
    <rPh sb="40" eb="42">
      <t>ホウコク</t>
    </rPh>
    <phoneticPr fontId="8"/>
  </si>
  <si>
    <t>　　　　　　　　　　　　　　　　　　　　　　　　　　　　④　清掃業務月次報告</t>
    <rPh sb="30" eb="32">
      <t>セイソウ</t>
    </rPh>
    <rPh sb="32" eb="34">
      <t>ギョウム</t>
    </rPh>
    <rPh sb="34" eb="36">
      <t>ゲツジ</t>
    </rPh>
    <rPh sb="36" eb="38">
      <t>ホウコク</t>
    </rPh>
    <phoneticPr fontId="8"/>
  </si>
  <si>
    <t>　　　　　　　　　　　　　　　　　　　　　　　　　　　　⑤　事故・故障関係報告</t>
    <rPh sb="30" eb="32">
      <t>ジコ</t>
    </rPh>
    <rPh sb="33" eb="35">
      <t>コショウ</t>
    </rPh>
    <rPh sb="35" eb="37">
      <t>カンケイ</t>
    </rPh>
    <rPh sb="37" eb="39">
      <t>ホウコク</t>
    </rPh>
    <phoneticPr fontId="8"/>
  </si>
  <si>
    <t>　　　　　　　　　　　　　　　　　　　　　　　　　　　　⑥　その他報告</t>
    <rPh sb="32" eb="33">
      <t>タ</t>
    </rPh>
    <rPh sb="33" eb="35">
      <t>ホウコク</t>
    </rPh>
    <phoneticPr fontId="8"/>
  </si>
  <si>
    <t>　　　　　　　　　　　　　　　　　　　　　　　　　　３．水道光熱使用量</t>
    <rPh sb="28" eb="30">
      <t>スイドウ</t>
    </rPh>
    <rPh sb="30" eb="32">
      <t>コウネツ</t>
    </rPh>
    <rPh sb="32" eb="35">
      <t>シヨウリョウ</t>
    </rPh>
    <phoneticPr fontId="8"/>
  </si>
  <si>
    <t>　　　　　　　　　　　　　　　　　　　　　　　　　　４．来月度作業予定表</t>
    <rPh sb="28" eb="30">
      <t>ライゲツ</t>
    </rPh>
    <rPh sb="30" eb="31">
      <t>ド</t>
    </rPh>
    <rPh sb="31" eb="33">
      <t>サギョウ</t>
    </rPh>
    <rPh sb="33" eb="35">
      <t>ヨテイ</t>
    </rPh>
    <rPh sb="35" eb="36">
      <t>ヒョウ</t>
    </rPh>
    <phoneticPr fontId="8"/>
  </si>
  <si>
    <t>　　　　　　　　　　　　　　　　　　　　　　　　　　５．年間管理表</t>
    <rPh sb="28" eb="30">
      <t>ネンカン</t>
    </rPh>
    <rPh sb="30" eb="32">
      <t>カンリ</t>
    </rPh>
    <rPh sb="32" eb="33">
      <t>ヒョウ</t>
    </rPh>
    <phoneticPr fontId="8"/>
  </si>
  <si>
    <t>⑥　その他報告事項</t>
    <phoneticPr fontId="8"/>
  </si>
  <si>
    <t>※</t>
    <phoneticPr fontId="8"/>
  </si>
  <si>
    <t>〇</t>
    <phoneticPr fontId="8"/>
  </si>
  <si>
    <t>実施回数</t>
  </si>
  <si>
    <t>４　月</t>
    <phoneticPr fontId="8"/>
  </si>
  <si>
    <t>発　注　先</t>
    <phoneticPr fontId="8"/>
  </si>
  <si>
    <t>SCB（CSP）</t>
    <phoneticPr fontId="8"/>
  </si>
  <si>
    <t>アロマ空調コーディネート業務</t>
    <phoneticPr fontId="8"/>
  </si>
  <si>
    <t>特殊</t>
    <rPh sb="0" eb="2">
      <t>トクシュ</t>
    </rPh>
    <phoneticPr fontId="8"/>
  </si>
  <si>
    <t>毎月</t>
    <rPh sb="0" eb="2">
      <t>マイツキ</t>
    </rPh>
    <phoneticPr fontId="8"/>
  </si>
  <si>
    <t>SCB（ビューロベリタスジャパン）</t>
    <phoneticPr fontId="8"/>
  </si>
  <si>
    <t>SCB（フルテック）</t>
    <phoneticPr fontId="8"/>
  </si>
  <si>
    <t>SCB（ダイキン工業）</t>
    <rPh sb="8" eb="10">
      <t>コウギョウ</t>
    </rPh>
    <phoneticPr fontId="8"/>
  </si>
  <si>
    <t>SCB（テラルテクノサービス）</t>
    <phoneticPr fontId="8"/>
  </si>
  <si>
    <t>SCB（能美防災）</t>
    <rPh sb="4" eb="5">
      <t>ノウ</t>
    </rPh>
    <rPh sb="5" eb="6">
      <t>ビ</t>
    </rPh>
    <rPh sb="6" eb="8">
      <t>ボウサイ</t>
    </rPh>
    <phoneticPr fontId="8"/>
  </si>
  <si>
    <t>初回は2031年、以後1回/3年</t>
    <rPh sb="0" eb="2">
      <t>ショカイ</t>
    </rPh>
    <rPh sb="7" eb="8">
      <t>ネン</t>
    </rPh>
    <rPh sb="9" eb="11">
      <t>イゴ</t>
    </rPh>
    <rPh sb="12" eb="13">
      <t>カイ</t>
    </rPh>
    <rPh sb="15" eb="16">
      <t>ネン</t>
    </rPh>
    <phoneticPr fontId="8"/>
  </si>
  <si>
    <t>SCB（シー・アイ・シー）</t>
    <phoneticPr fontId="8"/>
  </si>
  <si>
    <t>2回／年</t>
    <rPh sb="1" eb="2">
      <t>カイ</t>
    </rPh>
    <rPh sb="3" eb="4">
      <t>ネン</t>
    </rPh>
    <phoneticPr fontId="8"/>
  </si>
  <si>
    <t>ルーフドレン点検</t>
    <rPh sb="6" eb="8">
      <t>テンケン</t>
    </rPh>
    <phoneticPr fontId="8"/>
  </si>
  <si>
    <t>要興業</t>
    <rPh sb="0" eb="1">
      <t>カナメ</t>
    </rPh>
    <rPh sb="1" eb="3">
      <t>コウギョウ</t>
    </rPh>
    <phoneticPr fontId="8"/>
  </si>
  <si>
    <t>〇</t>
  </si>
  <si>
    <t>愛宕山　P　R　E　X</t>
    <rPh sb="0" eb="3">
      <t>アタゴヤマ</t>
    </rPh>
    <phoneticPr fontId="8"/>
  </si>
  <si>
    <t>（水道：毎月18日　電気：毎月13日）</t>
    <rPh sb="1" eb="3">
      <t>スイドウ</t>
    </rPh>
    <rPh sb="4" eb="6">
      <t>マイツキ</t>
    </rPh>
    <rPh sb="8" eb="9">
      <t>ニチ</t>
    </rPh>
    <rPh sb="10" eb="12">
      <t>デンキ</t>
    </rPh>
    <rPh sb="13" eb="15">
      <t>マイツキ</t>
    </rPh>
    <rPh sb="17" eb="18">
      <t>ニチ</t>
    </rPh>
    <phoneticPr fontId="8"/>
  </si>
  <si>
    <t>2021/10/29　引き渡し</t>
    <rPh sb="11" eb="12">
      <t>ヒ</t>
    </rPh>
    <rPh sb="13" eb="14">
      <t>ワタ</t>
    </rPh>
    <phoneticPr fontId="8"/>
  </si>
  <si>
    <t>初回：2023年5月報告（現地検査4月）</t>
    <rPh sb="0" eb="2">
      <t>ショカイ</t>
    </rPh>
    <rPh sb="7" eb="8">
      <t>ネン</t>
    </rPh>
    <rPh sb="9" eb="10">
      <t>ガツ</t>
    </rPh>
    <rPh sb="10" eb="12">
      <t>ホウコク</t>
    </rPh>
    <rPh sb="13" eb="15">
      <t>ゲンチ</t>
    </rPh>
    <rPh sb="15" eb="17">
      <t>ケンサ</t>
    </rPh>
    <rPh sb="18" eb="19">
      <t>ツキ</t>
    </rPh>
    <phoneticPr fontId="8"/>
  </si>
  <si>
    <t>初回：2023年5月報告（現地検査4月）</t>
    <phoneticPr fontId="8"/>
  </si>
  <si>
    <t>初回：2026年5月報告（現地調査4月）</t>
    <rPh sb="15" eb="17">
      <t>チョウサ</t>
    </rPh>
    <phoneticPr fontId="8"/>
  </si>
  <si>
    <t>特定建築物定期調査</t>
    <rPh sb="0" eb="2">
      <t>トクテイ</t>
    </rPh>
    <rPh sb="2" eb="5">
      <t>ケンチクブツ</t>
    </rPh>
    <rPh sb="5" eb="7">
      <t>テイキ</t>
    </rPh>
    <rPh sb="7" eb="9">
      <t>チョウサ</t>
    </rPh>
    <phoneticPr fontId="8"/>
  </si>
  <si>
    <t>SCB（住友林業緑化）</t>
    <rPh sb="4" eb="10">
      <t>スミトモリンギョウリョッカ</t>
    </rPh>
    <phoneticPr fontId="8"/>
  </si>
  <si>
    <t>レンジフード、ＩＨヒーター清掃</t>
    <rPh sb="13" eb="15">
      <t>セイソウ</t>
    </rPh>
    <phoneticPr fontId="8"/>
  </si>
  <si>
    <t>各１回/年</t>
    <rPh sb="0" eb="1">
      <t>カク</t>
    </rPh>
    <rPh sb="2" eb="3">
      <t>カイ</t>
    </rPh>
    <rPh sb="4" eb="5">
      <t>ネン</t>
    </rPh>
    <phoneticPr fontId="8"/>
  </si>
  <si>
    <t>※ﾚﾝｼﾞﾌｰﾄﾞﾌｧﾝ分解清掃、◎IHﾋｰﾀｰ周辺清掃</t>
    <rPh sb="12" eb="14">
      <t>ブンカイ</t>
    </rPh>
    <rPh sb="14" eb="16">
      <t>セイソウ</t>
    </rPh>
    <rPh sb="24" eb="26">
      <t>シュウヘン</t>
    </rPh>
    <rPh sb="26" eb="28">
      <t>セイソウ</t>
    </rPh>
    <phoneticPr fontId="8"/>
  </si>
  <si>
    <t>SCB（三峯産業）</t>
    <rPh sb="4" eb="6">
      <t>ミツミネ</t>
    </rPh>
    <rPh sb="6" eb="8">
      <t>サンギョウ</t>
    </rPh>
    <phoneticPr fontId="8"/>
  </si>
  <si>
    <t>SCB（三峯産業）</t>
    <phoneticPr fontId="8"/>
  </si>
  <si>
    <t>【　愛宕山PREX　】</t>
    <rPh sb="2" eb="5">
      <t>アタゴヤマ</t>
    </rPh>
    <phoneticPr fontId="8"/>
  </si>
  <si>
    <t>SCB（アットアロマ）</t>
    <phoneticPr fontId="8"/>
  </si>
  <si>
    <t>◎総合点検、○機器点検 【2022年4月点検開始】</t>
    <rPh sb="1" eb="3">
      <t>ソウゴウ</t>
    </rPh>
    <rPh sb="3" eb="5">
      <t>テンケン</t>
    </rPh>
    <rPh sb="7" eb="9">
      <t>キキ</t>
    </rPh>
    <rPh sb="9" eb="11">
      <t>テンケン</t>
    </rPh>
    <rPh sb="17" eb="18">
      <t>ネン</t>
    </rPh>
    <rPh sb="19" eb="20">
      <t>ツキ</t>
    </rPh>
    <rPh sb="20" eb="22">
      <t>テンケン</t>
    </rPh>
    <rPh sb="22" eb="24">
      <t>カイシ</t>
    </rPh>
    <phoneticPr fontId="8"/>
  </si>
  <si>
    <t>初回：2022年10月</t>
    <rPh sb="0" eb="2">
      <t>ショカイ</t>
    </rPh>
    <rPh sb="7" eb="8">
      <t>ネン</t>
    </rPh>
    <rPh sb="10" eb="11">
      <t>ガツ</t>
    </rPh>
    <phoneticPr fontId="8"/>
  </si>
  <si>
    <t>スポット</t>
    <phoneticPr fontId="8"/>
  </si>
  <si>
    <t>０回／３年</t>
    <rPh sb="1" eb="2">
      <t>カイ</t>
    </rPh>
    <rPh sb="4" eb="5">
      <t>ネン</t>
    </rPh>
    <phoneticPr fontId="8"/>
  </si>
  <si>
    <t>※停電を伴う年次点検  1回/3年</t>
    <rPh sb="1" eb="3">
      <t>テイデン</t>
    </rPh>
    <rPh sb="4" eb="5">
      <t>トモナ</t>
    </rPh>
    <rPh sb="6" eb="8">
      <t>ネンジ</t>
    </rPh>
    <rPh sb="8" eb="10">
      <t>テンケン</t>
    </rPh>
    <phoneticPr fontId="8"/>
  </si>
  <si>
    <t>〇エアネット監視、◎オフライン点検、※遠隔監視工事</t>
    <rPh sb="6" eb="8">
      <t>カンシ</t>
    </rPh>
    <rPh sb="15" eb="17">
      <t>テンケン</t>
    </rPh>
    <rPh sb="19" eb="21">
      <t>エンカク</t>
    </rPh>
    <rPh sb="21" eb="23">
      <t>カンシ</t>
    </rPh>
    <rPh sb="23" eb="25">
      <t>コウジ</t>
    </rPh>
    <phoneticPr fontId="8"/>
  </si>
  <si>
    <t>初回：2022年1月</t>
    <rPh sb="0" eb="2">
      <t>ショカイ</t>
    </rPh>
    <rPh sb="7" eb="8">
      <t>ネン</t>
    </rPh>
    <rPh sb="9" eb="10">
      <t>ツキ</t>
    </rPh>
    <phoneticPr fontId="8"/>
  </si>
  <si>
    <t>△2022年8月のみ</t>
    <rPh sb="5" eb="6">
      <t>ネン</t>
    </rPh>
    <rPh sb="7" eb="8">
      <t>ツキ</t>
    </rPh>
    <phoneticPr fontId="8"/>
  </si>
  <si>
    <t>◎年次点検（停電作業：2024年8月第2土曜予定）　</t>
    <rPh sb="1" eb="3">
      <t>ネンジ</t>
    </rPh>
    <rPh sb="3" eb="5">
      <t>テンケン</t>
    </rPh>
    <rPh sb="6" eb="8">
      <t>テイデン</t>
    </rPh>
    <rPh sb="8" eb="10">
      <t>サギョウ</t>
    </rPh>
    <rPh sb="15" eb="16">
      <t>ネン</t>
    </rPh>
    <rPh sb="17" eb="18">
      <t>ツキ</t>
    </rPh>
    <rPh sb="18" eb="19">
      <t>ダイ</t>
    </rPh>
    <rPh sb="20" eb="22">
      <t>ドヨウ</t>
    </rPh>
    <rPh sb="22" eb="24">
      <t>ヨテイ</t>
    </rPh>
    <phoneticPr fontId="8"/>
  </si>
  <si>
    <t>-</t>
    <phoneticPr fontId="8"/>
  </si>
  <si>
    <t>管理室内機器点検（各制御盤）</t>
    <rPh sb="0" eb="6">
      <t>カンリシツナイキキ</t>
    </rPh>
    <rPh sb="6" eb="8">
      <t>テンケン</t>
    </rPh>
    <rPh sb="9" eb="10">
      <t>カク</t>
    </rPh>
    <rPh sb="10" eb="12">
      <t>セイギョ</t>
    </rPh>
    <rPh sb="12" eb="13">
      <t>バン</t>
    </rPh>
    <phoneticPr fontId="8"/>
  </si>
  <si>
    <t>湧水槽・雨水貯留槽点検</t>
    <rPh sb="0" eb="3">
      <t>ユウスイソウ</t>
    </rPh>
    <rPh sb="4" eb="6">
      <t>ウスイ</t>
    </rPh>
    <rPh sb="6" eb="9">
      <t>チョリュウソウ</t>
    </rPh>
    <rPh sb="9" eb="11">
      <t>テンケン</t>
    </rPh>
    <phoneticPr fontId="8"/>
  </si>
  <si>
    <t>※10/29 竣工引渡 【18日 0:00 の検針値を入力】</t>
    <rPh sb="7" eb="9">
      <t>シュンコウ</t>
    </rPh>
    <rPh sb="9" eb="11">
      <t>ヒキワタシ</t>
    </rPh>
    <phoneticPr fontId="8"/>
  </si>
  <si>
    <t>※10/29 竣工引渡</t>
    <phoneticPr fontId="8"/>
  </si>
  <si>
    <t>※10月はメーカー保守点検の為、除く。</t>
    <rPh sb="3" eb="4">
      <t>ガツ</t>
    </rPh>
    <rPh sb="9" eb="11">
      <t>ホシュ</t>
    </rPh>
    <rPh sb="11" eb="13">
      <t>テンケン</t>
    </rPh>
    <rPh sb="14" eb="15">
      <t>タメ</t>
    </rPh>
    <rPh sb="16" eb="17">
      <t>ノゾ</t>
    </rPh>
    <phoneticPr fontId="8"/>
  </si>
  <si>
    <t>※10月はメーカー保守点検の為、除く。</t>
    <phoneticPr fontId="8"/>
  </si>
  <si>
    <t>水道　18日　0：00の値</t>
    <rPh sb="0" eb="2">
      <t>スイドウ</t>
    </rPh>
    <rPh sb="5" eb="6">
      <t>ニチ</t>
    </rPh>
    <rPh sb="12" eb="13">
      <t>アタイ</t>
    </rPh>
    <phoneticPr fontId="8"/>
  </si>
  <si>
    <t>例：8月の値は7/18　0：00～8/18　0：00</t>
    <rPh sb="0" eb="1">
      <t>レイ</t>
    </rPh>
    <rPh sb="3" eb="4">
      <t>ガツ</t>
    </rPh>
    <rPh sb="5" eb="6">
      <t>アタイ</t>
    </rPh>
    <phoneticPr fontId="8"/>
  </si>
  <si>
    <t>建築設備</t>
    <rPh sb="0" eb="2">
      <t>ケンチク</t>
    </rPh>
    <rPh sb="2" eb="4">
      <t>セツビ</t>
    </rPh>
    <phoneticPr fontId="8"/>
  </si>
  <si>
    <t>良</t>
    <rPh sb="0" eb="1">
      <t>イ</t>
    </rPh>
    <phoneticPr fontId="8"/>
  </si>
  <si>
    <t>無し。</t>
    <rPh sb="0" eb="1">
      <t>ナ</t>
    </rPh>
    <phoneticPr fontId="8"/>
  </si>
  <si>
    <t>【　愛宕山 Ｐ Ｒ Ｅ Ｘ 　】</t>
    <rPh sb="2" eb="5">
      <t>アタゴヤマ</t>
    </rPh>
    <phoneticPr fontId="8"/>
  </si>
  <si>
    <t>SCB</t>
    <phoneticPr fontId="8"/>
  </si>
  <si>
    <t>植栽管理</t>
    <rPh sb="0" eb="2">
      <t>ショクサイ</t>
    </rPh>
    <rPh sb="2" eb="4">
      <t>カンリ</t>
    </rPh>
    <phoneticPr fontId="8"/>
  </si>
  <si>
    <t>SCB(住友林業緑化)</t>
    <rPh sb="4" eb="6">
      <t>スミトモ</t>
    </rPh>
    <rPh sb="6" eb="8">
      <t>リンギョウ</t>
    </rPh>
    <rPh sb="8" eb="10">
      <t>リョクカ</t>
    </rPh>
    <phoneticPr fontId="8"/>
  </si>
  <si>
    <t>Ⅰ．建物基本情報</t>
    <rPh sb="2" eb="4">
      <t>タテモノ</t>
    </rPh>
    <rPh sb="4" eb="6">
      <t>キホン</t>
    </rPh>
    <rPh sb="6" eb="8">
      <t>ジョウホウ</t>
    </rPh>
    <phoneticPr fontId="8"/>
  </si>
  <si>
    <t>建物概要</t>
    <rPh sb="0" eb="2">
      <t>タテモノ</t>
    </rPh>
    <rPh sb="2" eb="4">
      <t>ガイヨウ</t>
    </rPh>
    <phoneticPr fontId="8"/>
  </si>
  <si>
    <t>設備概要</t>
    <rPh sb="0" eb="2">
      <t>セツビ</t>
    </rPh>
    <rPh sb="2" eb="4">
      <t>ガイヨウ</t>
    </rPh>
    <phoneticPr fontId="8"/>
  </si>
  <si>
    <t>地域区分</t>
    <rPh sb="0" eb="2">
      <t>チイキ</t>
    </rPh>
    <rPh sb="2" eb="4">
      <t>クブン</t>
    </rPh>
    <phoneticPr fontId="8"/>
  </si>
  <si>
    <t>竣工年月</t>
    <rPh sb="0" eb="2">
      <t>シュンコウ</t>
    </rPh>
    <rPh sb="2" eb="3">
      <t>ネン</t>
    </rPh>
    <rPh sb="3" eb="4">
      <t>ゲツ</t>
    </rPh>
    <phoneticPr fontId="8"/>
  </si>
  <si>
    <t>築年数</t>
    <rPh sb="0" eb="1">
      <t>チク</t>
    </rPh>
    <rPh sb="1" eb="3">
      <t>ネンスウ</t>
    </rPh>
    <phoneticPr fontId="8"/>
  </si>
  <si>
    <t>規模</t>
    <rPh sb="0" eb="2">
      <t>キボ</t>
    </rPh>
    <phoneticPr fontId="8"/>
  </si>
  <si>
    <t>昇降機等</t>
    <rPh sb="0" eb="3">
      <t>ショウコウキ</t>
    </rPh>
    <rPh sb="3" eb="4">
      <t>トウ</t>
    </rPh>
    <phoneticPr fontId="8"/>
  </si>
  <si>
    <t>空調熱源設備等</t>
    <rPh sb="0" eb="2">
      <t>クウチョウ</t>
    </rPh>
    <rPh sb="2" eb="4">
      <t>ネツゲン</t>
    </rPh>
    <rPh sb="4" eb="6">
      <t>セツビ</t>
    </rPh>
    <rPh sb="6" eb="7">
      <t>トウ</t>
    </rPh>
    <phoneticPr fontId="8"/>
  </si>
  <si>
    <t>給排水</t>
    <rPh sb="0" eb="3">
      <t>キュウハイスイ</t>
    </rPh>
    <phoneticPr fontId="8"/>
  </si>
  <si>
    <t>PCB</t>
  </si>
  <si>
    <t>アスベスト</t>
  </si>
  <si>
    <t>屋外広告</t>
    <rPh sb="0" eb="2">
      <t>オクガイ</t>
    </rPh>
    <rPh sb="2" eb="4">
      <t>コウコク</t>
    </rPh>
    <phoneticPr fontId="8"/>
  </si>
  <si>
    <t>地上</t>
    <rPh sb="0" eb="2">
      <t>チジョウ</t>
    </rPh>
    <phoneticPr fontId="8"/>
  </si>
  <si>
    <t>地下</t>
    <rPh sb="0" eb="2">
      <t>チカ</t>
    </rPh>
    <phoneticPr fontId="8"/>
  </si>
  <si>
    <t>塔屋</t>
    <rPh sb="0" eb="1">
      <t>トウ</t>
    </rPh>
    <rPh sb="1" eb="2">
      <t>ヤ</t>
    </rPh>
    <phoneticPr fontId="8"/>
  </si>
  <si>
    <t>高さ</t>
    <rPh sb="0" eb="1">
      <t>タカ</t>
    </rPh>
    <phoneticPr fontId="8"/>
  </si>
  <si>
    <t>ELV</t>
  </si>
  <si>
    <t>ESC</t>
  </si>
  <si>
    <t>ゴンドラ</t>
  </si>
  <si>
    <t>ボイラー</t>
  </si>
  <si>
    <t>圧力容器</t>
    <rPh sb="0" eb="2">
      <t>アツリョク</t>
    </rPh>
    <rPh sb="2" eb="4">
      <t>ヨウキ</t>
    </rPh>
    <phoneticPr fontId="8"/>
  </si>
  <si>
    <t>冷凍機等</t>
    <rPh sb="0" eb="3">
      <t>レイトウキ</t>
    </rPh>
    <rPh sb="3" eb="4">
      <t>トウ</t>
    </rPh>
    <phoneticPr fontId="8"/>
  </si>
  <si>
    <t>冷却塔</t>
    <rPh sb="0" eb="3">
      <t>レイキャクトウ</t>
    </rPh>
    <phoneticPr fontId="8"/>
  </si>
  <si>
    <t>水道方式</t>
    <rPh sb="0" eb="2">
      <t>スイドウ</t>
    </rPh>
    <rPh sb="2" eb="4">
      <t>ホウシキ</t>
    </rPh>
    <phoneticPr fontId="8"/>
  </si>
  <si>
    <t>貯水槽</t>
    <rPh sb="0" eb="3">
      <t>チョスイソウ</t>
    </rPh>
    <phoneticPr fontId="8"/>
  </si>
  <si>
    <t>雑用水槽</t>
    <rPh sb="0" eb="2">
      <t>ザツヨウ</t>
    </rPh>
    <rPh sb="2" eb="4">
      <t>スイソウ</t>
    </rPh>
    <phoneticPr fontId="8"/>
  </si>
  <si>
    <t>排水槽</t>
    <rPh sb="0" eb="2">
      <t>ハイスイ</t>
    </rPh>
    <rPh sb="2" eb="3">
      <t>ソウ</t>
    </rPh>
    <phoneticPr fontId="8"/>
  </si>
  <si>
    <t>東京</t>
  </si>
  <si>
    <t>有</t>
  </si>
  <si>
    <t>無</t>
  </si>
  <si>
    <t>Ⅱ．個別業法基本情報</t>
    <rPh sb="2" eb="4">
      <t>コベツ</t>
    </rPh>
    <rPh sb="4" eb="5">
      <t>ギョウ</t>
    </rPh>
    <rPh sb="5" eb="6">
      <t>ホウ</t>
    </rPh>
    <rPh sb="6" eb="8">
      <t>キホン</t>
    </rPh>
    <rPh sb="8" eb="10">
      <t>ジョウホウ</t>
    </rPh>
    <phoneticPr fontId="8"/>
  </si>
  <si>
    <t>消防法</t>
    <rPh sb="0" eb="3">
      <t>ショウボウホウ</t>
    </rPh>
    <phoneticPr fontId="8"/>
  </si>
  <si>
    <t>ビル管法</t>
    <rPh sb="2" eb="3">
      <t>カン</t>
    </rPh>
    <rPh sb="3" eb="4">
      <t>ホウ</t>
    </rPh>
    <phoneticPr fontId="8"/>
  </si>
  <si>
    <t>該当条項</t>
    <rPh sb="0" eb="2">
      <t>ガイトウ</t>
    </rPh>
    <rPh sb="2" eb="4">
      <t>ジョウコウ</t>
    </rPh>
    <phoneticPr fontId="8"/>
  </si>
  <si>
    <t>用途</t>
    <rPh sb="0" eb="2">
      <t>ヨウト</t>
    </rPh>
    <phoneticPr fontId="8"/>
  </si>
  <si>
    <t>特定／非特定</t>
    <rPh sb="0" eb="2">
      <t>トクテイ</t>
    </rPh>
    <rPh sb="3" eb="4">
      <t>ヒ</t>
    </rPh>
    <rPh sb="4" eb="6">
      <t>トクテイ</t>
    </rPh>
    <phoneticPr fontId="8"/>
  </si>
  <si>
    <t>共同防火（防災）管理</t>
    <rPh sb="0" eb="2">
      <t>キョウドウ</t>
    </rPh>
    <rPh sb="2" eb="4">
      <t>ボウカ</t>
    </rPh>
    <rPh sb="5" eb="7">
      <t>ボウサイ</t>
    </rPh>
    <rPh sb="8" eb="10">
      <t>カンリ</t>
    </rPh>
    <phoneticPr fontId="8"/>
  </si>
  <si>
    <t>共用部の防災管理</t>
    <rPh sb="0" eb="3">
      <t>キョウヨウブ</t>
    </rPh>
    <rPh sb="4" eb="6">
      <t>ボウサイ</t>
    </rPh>
    <rPh sb="6" eb="8">
      <t>カンリ</t>
    </rPh>
    <phoneticPr fontId="8"/>
  </si>
  <si>
    <t>共用部の特例認定</t>
    <rPh sb="4" eb="6">
      <t>トクレイ</t>
    </rPh>
    <rPh sb="6" eb="8">
      <t>ニンテイ</t>
    </rPh>
    <phoneticPr fontId="8"/>
  </si>
  <si>
    <t>特定建築物該当有無</t>
    <rPh sb="0" eb="2">
      <t>トクテイ</t>
    </rPh>
    <rPh sb="2" eb="5">
      <t>ケンチクブツ</t>
    </rPh>
    <rPh sb="5" eb="7">
      <t>ガイトウ</t>
    </rPh>
    <rPh sb="7" eb="9">
      <t>ウム</t>
    </rPh>
    <phoneticPr fontId="8"/>
  </si>
  <si>
    <t>15項</t>
  </si>
  <si>
    <t>Ⅲ．業務スケジュール</t>
    <rPh sb="2" eb="4">
      <t>ギョウム</t>
    </rPh>
    <phoneticPr fontId="8"/>
  </si>
  <si>
    <t>業務内容</t>
    <rPh sb="0" eb="2">
      <t>ギョウム</t>
    </rPh>
    <rPh sb="2" eb="4">
      <t>ナイヨウ</t>
    </rPh>
    <phoneticPr fontId="8"/>
  </si>
  <si>
    <t>法定業務管理</t>
    <rPh sb="0" eb="2">
      <t>ホウテイ</t>
    </rPh>
    <rPh sb="2" eb="4">
      <t>ギョウム</t>
    </rPh>
    <rPh sb="4" eb="6">
      <t>カンリ</t>
    </rPh>
    <phoneticPr fontId="8"/>
  </si>
  <si>
    <t>特記事項</t>
    <rPh sb="0" eb="2">
      <t>トッキ</t>
    </rPh>
    <rPh sb="2" eb="4">
      <t>ジコウ</t>
    </rPh>
    <phoneticPr fontId="8"/>
  </si>
  <si>
    <t>4月</t>
    <rPh sb="1" eb="2">
      <t>ガツ</t>
    </rPh>
    <phoneticPr fontId="8"/>
  </si>
  <si>
    <t>1月</t>
  </si>
  <si>
    <t>2月</t>
  </si>
  <si>
    <t>3月</t>
  </si>
  <si>
    <t>該当法令</t>
    <rPh sb="0" eb="2">
      <t>ガイトウ</t>
    </rPh>
    <rPh sb="2" eb="4">
      <t>ホウレイ</t>
    </rPh>
    <phoneticPr fontId="8"/>
  </si>
  <si>
    <t>②定期管理業務スケジュール</t>
    <rPh sb="1" eb="3">
      <t>テイキ</t>
    </rPh>
    <rPh sb="3" eb="5">
      <t>カンリ</t>
    </rPh>
    <rPh sb="5" eb="7">
      <t>ギョウム</t>
    </rPh>
    <phoneticPr fontId="8"/>
  </si>
  <si>
    <t>分類</t>
    <rPh sb="0" eb="2">
      <t>ブンルイ</t>
    </rPh>
    <phoneticPr fontId="8"/>
  </si>
  <si>
    <t>委託業者</t>
    <rPh sb="0" eb="2">
      <t>イタク</t>
    </rPh>
    <rPh sb="2" eb="4">
      <t>ギョウシャ</t>
    </rPh>
    <phoneticPr fontId="8"/>
  </si>
  <si>
    <t>当ビル適用有無</t>
    <rPh sb="0" eb="1">
      <t>トウ</t>
    </rPh>
    <rPh sb="3" eb="5">
      <t>テキヨウ</t>
    </rPh>
    <rPh sb="5" eb="7">
      <t>ウム</t>
    </rPh>
    <phoneticPr fontId="8"/>
  </si>
  <si>
    <t>実施周期</t>
    <rPh sb="0" eb="2">
      <t>ジッシ</t>
    </rPh>
    <rPh sb="2" eb="4">
      <t>シュウキ</t>
    </rPh>
    <phoneticPr fontId="8"/>
  </si>
  <si>
    <t>法定周期</t>
    <rPh sb="0" eb="2">
      <t>ホウテイ</t>
    </rPh>
    <rPh sb="2" eb="4">
      <t>シュウキ</t>
    </rPh>
    <phoneticPr fontId="8"/>
  </si>
  <si>
    <t>当ﾋﾞﾙ周期</t>
    <rPh sb="0" eb="1">
      <t>トウ</t>
    </rPh>
    <rPh sb="4" eb="6">
      <t>シュウキ</t>
    </rPh>
    <phoneticPr fontId="8"/>
  </si>
  <si>
    <t>清掃・</t>
    <rPh sb="0" eb="2">
      <t>セイソウ</t>
    </rPh>
    <phoneticPr fontId="8"/>
  </si>
  <si>
    <t>-</t>
  </si>
  <si>
    <t>日常業務</t>
    <rPh sb="0" eb="2">
      <t>ニチジョウ</t>
    </rPh>
    <rPh sb="2" eb="4">
      <t>ギョウム</t>
    </rPh>
    <phoneticPr fontId="8"/>
  </si>
  <si>
    <t>法定</t>
    <rPh sb="0" eb="2">
      <t>ホウテイ</t>
    </rPh>
    <phoneticPr fontId="8"/>
  </si>
  <si>
    <t>建築基準法</t>
    <rPh sb="0" eb="2">
      <t>ケンチク</t>
    </rPh>
    <rPh sb="2" eb="5">
      <t>キジュンホウ</t>
    </rPh>
    <phoneticPr fontId="8"/>
  </si>
  <si>
    <t>1回/3年</t>
    <rPh sb="1" eb="2">
      <t>カイ</t>
    </rPh>
    <rPh sb="4" eb="5">
      <t>ネン</t>
    </rPh>
    <phoneticPr fontId="8"/>
  </si>
  <si>
    <t>エレベーター保守</t>
  </si>
  <si>
    <t>◎</t>
    <phoneticPr fontId="8"/>
  </si>
  <si>
    <t>2回/年</t>
    <rPh sb="1" eb="2">
      <t>カイ</t>
    </rPh>
    <rPh sb="3" eb="4">
      <t>ネン</t>
    </rPh>
    <phoneticPr fontId="8"/>
  </si>
  <si>
    <t>電気事業法</t>
    <rPh sb="0" eb="2">
      <t>デンキ</t>
    </rPh>
    <rPh sb="2" eb="5">
      <t>ジギョウホウ</t>
    </rPh>
    <phoneticPr fontId="8"/>
  </si>
  <si>
    <t>6回/年</t>
    <rPh sb="1" eb="2">
      <t>カイ</t>
    </rPh>
    <rPh sb="3" eb="4">
      <t>ネン</t>
    </rPh>
    <phoneticPr fontId="8"/>
  </si>
  <si>
    <t>SCB(ダイキン工業）</t>
    <rPh sb="8" eb="10">
      <t>コウギョウ</t>
    </rPh>
    <phoneticPr fontId="8"/>
  </si>
  <si>
    <t>空気環境測定業務</t>
  </si>
  <si>
    <t>ねずみ・害虫防除業務</t>
  </si>
  <si>
    <t>消防設備点検</t>
  </si>
  <si>
    <t>SCB(能美防災）</t>
    <rPh sb="4" eb="6">
      <t>ノウミ</t>
    </rPh>
    <rPh sb="6" eb="8">
      <t>ボウサイ</t>
    </rPh>
    <phoneticPr fontId="8"/>
  </si>
  <si>
    <t>消防訓練火災</t>
    <rPh sb="2" eb="4">
      <t>クンレン</t>
    </rPh>
    <rPh sb="4" eb="6">
      <t>カサイ</t>
    </rPh>
    <phoneticPr fontId="8"/>
  </si>
  <si>
    <t>〃　　　地震</t>
    <rPh sb="4" eb="6">
      <t>ジシン</t>
    </rPh>
    <phoneticPr fontId="8"/>
  </si>
  <si>
    <t>連結送水管耐圧試験</t>
    <rPh sb="0" eb="2">
      <t>レンケツ</t>
    </rPh>
    <rPh sb="2" eb="5">
      <t>ソウスイカン</t>
    </rPh>
    <rPh sb="5" eb="7">
      <t>タイアツ</t>
    </rPh>
    <rPh sb="7" eb="9">
      <t>シケン</t>
    </rPh>
    <phoneticPr fontId="35"/>
  </si>
  <si>
    <t>10年</t>
    <rPh sb="2" eb="3">
      <t>ネン</t>
    </rPh>
    <phoneticPr fontId="8"/>
  </si>
  <si>
    <t>1回/年（チェック）</t>
    <rPh sb="1" eb="2">
      <t>カイ</t>
    </rPh>
    <rPh sb="3" eb="4">
      <t>ネン</t>
    </rPh>
    <phoneticPr fontId="8"/>
  </si>
  <si>
    <t>廃棄物処理法</t>
    <rPh sb="0" eb="3">
      <t>ハイキブツ</t>
    </rPh>
    <rPh sb="3" eb="6">
      <t>ショリホウ</t>
    </rPh>
    <phoneticPr fontId="8"/>
  </si>
  <si>
    <t>許可証有効期限　　運搬業者</t>
    <rPh sb="0" eb="3">
      <t>キョカショウ</t>
    </rPh>
    <rPh sb="3" eb="5">
      <t>ユウコウ</t>
    </rPh>
    <rPh sb="5" eb="7">
      <t>キゲン</t>
    </rPh>
    <rPh sb="9" eb="11">
      <t>ウンパン</t>
    </rPh>
    <rPh sb="11" eb="13">
      <t>ギョウシャ</t>
    </rPh>
    <phoneticPr fontId="8"/>
  </si>
  <si>
    <t>　　〃　　　　　　　処分業者</t>
    <rPh sb="10" eb="12">
      <t>ショブン</t>
    </rPh>
    <rPh sb="12" eb="14">
      <t>ギョウシャ</t>
    </rPh>
    <phoneticPr fontId="8"/>
  </si>
  <si>
    <t>〃　　　　　 最終処分場</t>
    <rPh sb="7" eb="9">
      <t>サイシュウ</t>
    </rPh>
    <rPh sb="9" eb="12">
      <t>ショブンジョウ</t>
    </rPh>
    <phoneticPr fontId="8"/>
  </si>
  <si>
    <t>計量法</t>
    <rPh sb="0" eb="3">
      <t>ケイリョウホウ</t>
    </rPh>
    <phoneticPr fontId="8"/>
  </si>
  <si>
    <t>省エネ法</t>
    <rPh sb="0" eb="1">
      <t>ショウ</t>
    </rPh>
    <rPh sb="3" eb="4">
      <t>ホウ</t>
    </rPh>
    <phoneticPr fontId="8"/>
  </si>
  <si>
    <t>地球温暖化対策計画書（大規模）</t>
    <rPh sb="0" eb="2">
      <t>チキュウ</t>
    </rPh>
    <rPh sb="2" eb="5">
      <t>オンダンカ</t>
    </rPh>
    <rPh sb="5" eb="7">
      <t>タイサク</t>
    </rPh>
    <rPh sb="7" eb="10">
      <t>ケイカクショ</t>
    </rPh>
    <rPh sb="11" eb="14">
      <t>ダイキボ</t>
    </rPh>
    <phoneticPr fontId="8"/>
  </si>
  <si>
    <t>東京都条例</t>
    <rPh sb="0" eb="2">
      <t>トウキョウ</t>
    </rPh>
    <rPh sb="2" eb="3">
      <t>ト</t>
    </rPh>
    <rPh sb="3" eb="5">
      <t>ジョウレイ</t>
    </rPh>
    <phoneticPr fontId="8"/>
  </si>
  <si>
    <t>地球温暖化対策報告書（中規模）</t>
    <rPh sb="0" eb="2">
      <t>チキュウ</t>
    </rPh>
    <rPh sb="2" eb="5">
      <t>オンダンカ</t>
    </rPh>
    <rPh sb="5" eb="7">
      <t>タイサク</t>
    </rPh>
    <rPh sb="7" eb="10">
      <t>ホウコクショ</t>
    </rPh>
    <rPh sb="11" eb="14">
      <t>チュウキボ</t>
    </rPh>
    <phoneticPr fontId="8"/>
  </si>
  <si>
    <t>事業用家屋貸付等申告書</t>
    <rPh sb="0" eb="3">
      <t>ジギョウヨウ</t>
    </rPh>
    <rPh sb="3" eb="5">
      <t>カオク</t>
    </rPh>
    <rPh sb="5" eb="7">
      <t>カシツケ</t>
    </rPh>
    <rPh sb="7" eb="8">
      <t>ナド</t>
    </rPh>
    <rPh sb="8" eb="11">
      <t>シンコクショ</t>
    </rPh>
    <phoneticPr fontId="8"/>
  </si>
  <si>
    <t>地方税法</t>
    <rPh sb="0" eb="3">
      <t>チホウゼイ</t>
    </rPh>
    <rPh sb="3" eb="4">
      <t>ホウ</t>
    </rPh>
    <phoneticPr fontId="8"/>
  </si>
  <si>
    <t>都度</t>
    <rPh sb="0" eb="2">
      <t>ツド</t>
    </rPh>
    <phoneticPr fontId="8"/>
  </si>
  <si>
    <t>フロン簡易定期点検</t>
    <rPh sb="3" eb="5">
      <t>カンイ</t>
    </rPh>
    <rPh sb="5" eb="7">
      <t>テイキ</t>
    </rPh>
    <rPh sb="7" eb="9">
      <t>テンケン</t>
    </rPh>
    <phoneticPr fontId="8"/>
  </si>
  <si>
    <t>フロン排出抑制法</t>
    <rPh sb="3" eb="5">
      <t>ハイシュツ</t>
    </rPh>
    <rPh sb="5" eb="7">
      <t>ヨクセイ</t>
    </rPh>
    <rPh sb="7" eb="8">
      <t>ホウ</t>
    </rPh>
    <phoneticPr fontId="8"/>
  </si>
  <si>
    <t>1回/3ヵ月</t>
    <rPh sb="5" eb="6">
      <t>ゲツ</t>
    </rPh>
    <phoneticPr fontId="8"/>
  </si>
  <si>
    <t>4回/年</t>
    <rPh sb="3" eb="4">
      <t>ネン</t>
    </rPh>
    <phoneticPr fontId="8"/>
  </si>
  <si>
    <t>◯</t>
    <phoneticPr fontId="8"/>
  </si>
  <si>
    <t>3回／年</t>
    <rPh sb="1" eb="2">
      <t>カイ</t>
    </rPh>
    <rPh sb="3" eb="4">
      <t>ネン</t>
    </rPh>
    <phoneticPr fontId="8"/>
  </si>
  <si>
    <t>4回/年</t>
    <rPh sb="1" eb="2">
      <t>カイ</t>
    </rPh>
    <rPh sb="3" eb="4">
      <t>ネン</t>
    </rPh>
    <phoneticPr fontId="8"/>
  </si>
  <si>
    <t>12回/年</t>
    <rPh sb="2" eb="3">
      <t>カイ</t>
    </rPh>
    <rPh sb="4" eb="5">
      <t>ネン</t>
    </rPh>
    <phoneticPr fontId="8"/>
  </si>
  <si>
    <t>1回／年</t>
    <rPh sb="1" eb="2">
      <t>カイ</t>
    </rPh>
    <rPh sb="3" eb="4">
      <t>ネン</t>
    </rPh>
    <phoneticPr fontId="8"/>
  </si>
  <si>
    <t>◯</t>
  </si>
  <si>
    <t>◎法定検査、○定期点検、□遠隔点検</t>
    <rPh sb="1" eb="3">
      <t>ホウテイ</t>
    </rPh>
    <rPh sb="3" eb="5">
      <t>ケンサ</t>
    </rPh>
    <rPh sb="7" eb="9">
      <t>テイキ</t>
    </rPh>
    <rPh sb="9" eb="11">
      <t>テンケン</t>
    </rPh>
    <rPh sb="13" eb="17">
      <t>エンカクテンケン</t>
    </rPh>
    <phoneticPr fontId="8"/>
  </si>
  <si>
    <t>□</t>
    <phoneticPr fontId="8"/>
  </si>
  <si>
    <t>12回／年</t>
    <rPh sb="2" eb="3">
      <t>カイ</t>
    </rPh>
    <rPh sb="4" eb="5">
      <t>ネン</t>
    </rPh>
    <phoneticPr fontId="8"/>
  </si>
  <si>
    <t>１回／３年</t>
    <rPh sb="1" eb="2">
      <t>カイ</t>
    </rPh>
    <rPh sb="4" eb="5">
      <t>ネン</t>
    </rPh>
    <phoneticPr fontId="8"/>
  </si>
  <si>
    <t>△</t>
    <phoneticPr fontId="8"/>
  </si>
  <si>
    <t>　</t>
    <phoneticPr fontId="8"/>
  </si>
  <si>
    <t>6回／年</t>
    <rPh sb="1" eb="2">
      <t>カイ</t>
    </rPh>
    <rPh sb="3" eb="4">
      <t>ネン</t>
    </rPh>
    <phoneticPr fontId="8"/>
  </si>
  <si>
    <t>2回/年</t>
    <phoneticPr fontId="8"/>
  </si>
  <si>
    <t>※加湿器使用の10・11・12・1・2・3月点検 
   水抜き4月・水張り 10月実施</t>
    <rPh sb="33" eb="34">
      <t>ガツ</t>
    </rPh>
    <phoneticPr fontId="8"/>
  </si>
  <si>
    <t>2022年度　年間管理作業予定・実績表（巡回業務）</t>
    <rPh sb="3" eb="5">
      <t>ネンド</t>
    </rPh>
    <rPh sb="18" eb="20">
      <t>ジュンカイ</t>
    </rPh>
    <phoneticPr fontId="8"/>
  </si>
  <si>
    <t>Ｓ　Ｃ　Ｂ</t>
    <phoneticPr fontId="8"/>
  </si>
  <si>
    <t>共用部定期清掃</t>
    <rPh sb="0" eb="3">
      <t>キョウヨウブ</t>
    </rPh>
    <rPh sb="3" eb="5">
      <t>テイキ</t>
    </rPh>
    <rPh sb="5" eb="7">
      <t>セイソウ</t>
    </rPh>
    <phoneticPr fontId="8"/>
  </si>
  <si>
    <t>SCB(三峯産業)</t>
    <rPh sb="4" eb="6">
      <t>ミツミネ</t>
    </rPh>
    <rPh sb="6" eb="8">
      <t>サンギョウ</t>
    </rPh>
    <phoneticPr fontId="8"/>
  </si>
  <si>
    <t>【共用部】1階、屋上共用部清掃実施</t>
    <rPh sb="1" eb="4">
      <t>キョウヨウブ</t>
    </rPh>
    <rPh sb="6" eb="7">
      <t>カイ</t>
    </rPh>
    <rPh sb="8" eb="10">
      <t>オクジョウ</t>
    </rPh>
    <rPh sb="10" eb="13">
      <t>キョウヨウブ</t>
    </rPh>
    <rPh sb="13" eb="15">
      <t>セイソウ</t>
    </rPh>
    <rPh sb="15" eb="17">
      <t>ジッシ</t>
    </rPh>
    <phoneticPr fontId="8"/>
  </si>
  <si>
    <t>●</t>
    <phoneticPr fontId="8"/>
  </si>
  <si>
    <t>延床面積</t>
    <rPh sb="0" eb="1">
      <t>ノベ</t>
    </rPh>
    <rPh sb="1" eb="2">
      <t>ユカ</t>
    </rPh>
    <rPh sb="2" eb="4">
      <t>メンセキ</t>
    </rPh>
    <phoneticPr fontId="8"/>
  </si>
  <si>
    <t>-</t>
    <phoneticPr fontId="163"/>
  </si>
  <si>
    <t>直結増圧送水方式</t>
  </si>
  <si>
    <t>業務受託の有無</t>
    <phoneticPr fontId="8"/>
  </si>
  <si>
    <t>報告者</t>
    <rPh sb="0" eb="3">
      <t>ホウコクシャ</t>
    </rPh>
    <phoneticPr fontId="163"/>
  </si>
  <si>
    <t>報告範囲</t>
    <rPh sb="0" eb="2">
      <t>ホウコク</t>
    </rPh>
    <rPh sb="2" eb="4">
      <t>ハンイ</t>
    </rPh>
    <phoneticPr fontId="163"/>
  </si>
  <si>
    <t>2021年度排出量
（原油換算値）</t>
    <rPh sb="4" eb="6">
      <t>ネンド</t>
    </rPh>
    <rPh sb="6" eb="8">
      <t>ハイシュツ</t>
    </rPh>
    <rPh sb="8" eb="9">
      <t>リョウ</t>
    </rPh>
    <rPh sb="11" eb="13">
      <t>ゲンユ</t>
    </rPh>
    <rPh sb="13" eb="15">
      <t>カンサン</t>
    </rPh>
    <rPh sb="15" eb="16">
      <t>アタイ</t>
    </rPh>
    <phoneticPr fontId="163"/>
  </si>
  <si>
    <t>事務所</t>
    <rPh sb="0" eb="3">
      <t>ジムショ</t>
    </rPh>
    <phoneticPr fontId="163"/>
  </si>
  <si>
    <t>非特定</t>
  </si>
  <si>
    <t>有(防火)</t>
  </si>
  <si>
    <t>SC</t>
    <phoneticPr fontId="163"/>
  </si>
  <si>
    <t>①年間イベントスケジュール</t>
    <rPh sb="1" eb="3">
      <t>ネンカン</t>
    </rPh>
    <phoneticPr fontId="8"/>
  </si>
  <si>
    <t>↓下請法対象企業はカラー着色すること。</t>
    <rPh sb="1" eb="4">
      <t>シタウケホウ</t>
    </rPh>
    <rPh sb="4" eb="6">
      <t>タイショウ</t>
    </rPh>
    <rPh sb="6" eb="8">
      <t>キギョウ</t>
    </rPh>
    <rPh sb="12" eb="14">
      <t>チャクショク</t>
    </rPh>
    <phoneticPr fontId="163"/>
  </si>
  <si>
    <t>建築設備定期検査</t>
    <phoneticPr fontId="163"/>
  </si>
  <si>
    <t>法定</t>
  </si>
  <si>
    <t>SCB（ビューローベリタスジャパン）</t>
    <phoneticPr fontId="8"/>
  </si>
  <si>
    <t>※</t>
    <phoneticPr fontId="163"/>
  </si>
  <si>
    <t>※初回2023年5月報告</t>
    <rPh sb="1" eb="3">
      <t>ショカイ</t>
    </rPh>
    <rPh sb="7" eb="8">
      <t>ネン</t>
    </rPh>
    <rPh sb="9" eb="10">
      <t>ガツ</t>
    </rPh>
    <rPh sb="10" eb="12">
      <t>ホウコク</t>
    </rPh>
    <phoneticPr fontId="163"/>
  </si>
  <si>
    <t>特定建築物定期検査</t>
    <rPh sb="0" eb="2">
      <t>トクテイ</t>
    </rPh>
    <rPh sb="4" eb="5">
      <t>ブツ</t>
    </rPh>
    <phoneticPr fontId="163"/>
  </si>
  <si>
    <t>※初回2026年5月報告</t>
    <rPh sb="1" eb="3">
      <t>ショカイ</t>
    </rPh>
    <rPh sb="7" eb="8">
      <t>ネン</t>
    </rPh>
    <rPh sb="9" eb="10">
      <t>ガツ</t>
    </rPh>
    <rPh sb="10" eb="12">
      <t>ホウコク</t>
    </rPh>
    <phoneticPr fontId="163"/>
  </si>
  <si>
    <t>1回/年</t>
    <phoneticPr fontId="163"/>
  </si>
  <si>
    <t>※初回2023年5月報告</t>
    <rPh sb="10" eb="12">
      <t>ホウコク</t>
    </rPh>
    <phoneticPr fontId="163"/>
  </si>
  <si>
    <t>◇</t>
    <phoneticPr fontId="163"/>
  </si>
  <si>
    <t>〇</t>
    <phoneticPr fontId="163"/>
  </si>
  <si>
    <t>◎</t>
    <phoneticPr fontId="163"/>
  </si>
  <si>
    <t>◎：法定点検　○：定期点検　◇：遠隔</t>
    <phoneticPr fontId="163"/>
  </si>
  <si>
    <t>エスカレーター保守</t>
    <phoneticPr fontId="163"/>
  </si>
  <si>
    <t>機械式駐車場保守</t>
    <rPh sb="0" eb="2">
      <t>キカイ</t>
    </rPh>
    <rPh sb="2" eb="3">
      <t>シキ</t>
    </rPh>
    <rPh sb="3" eb="6">
      <t>チュウシャジョウ</t>
    </rPh>
    <rPh sb="6" eb="8">
      <t>ホシュ</t>
    </rPh>
    <phoneticPr fontId="163"/>
  </si>
  <si>
    <t>厨房リフト（ダムウェーター）保守</t>
    <rPh sb="0" eb="2">
      <t>チュウボウ</t>
    </rPh>
    <rPh sb="14" eb="16">
      <t>ホシュ</t>
    </rPh>
    <phoneticPr fontId="163"/>
  </si>
  <si>
    <t>小荷物用専用エレベーター保守</t>
    <rPh sb="0" eb="3">
      <t>コニモツ</t>
    </rPh>
    <rPh sb="3" eb="4">
      <t>ヨウ</t>
    </rPh>
    <rPh sb="4" eb="6">
      <t>センヨウ</t>
    </rPh>
    <rPh sb="12" eb="14">
      <t>ホシュ</t>
    </rPh>
    <phoneticPr fontId="163"/>
  </si>
  <si>
    <t>カーリフト保守</t>
    <rPh sb="5" eb="7">
      <t>ホシュ</t>
    </rPh>
    <phoneticPr fontId="163"/>
  </si>
  <si>
    <t>電気工作物保守点検</t>
    <rPh sb="5" eb="7">
      <t>ホシュ</t>
    </rPh>
    <rPh sb="7" eb="9">
      <t>テンケン</t>
    </rPh>
    <phoneticPr fontId="163"/>
  </si>
  <si>
    <t>1回/年</t>
  </si>
  <si>
    <t>6回/年</t>
    <rPh sb="1" eb="2">
      <t>カイ</t>
    </rPh>
    <rPh sb="3" eb="4">
      <t>ネン</t>
    </rPh>
    <phoneticPr fontId="163"/>
  </si>
  <si>
    <t>関東電気保安協会</t>
    <rPh sb="0" eb="8">
      <t>カントウデンキホアンキョウカイ</t>
    </rPh>
    <phoneticPr fontId="163"/>
  </si>
  <si>
    <t>◎年次点検（無停電）　　※停電作業を伴う年次点検（1回/3年） ： 初回2024年8月予定</t>
    <phoneticPr fontId="163"/>
  </si>
  <si>
    <t>蓄電池設備（直流電源装置）点検</t>
    <rPh sb="0" eb="3">
      <t>チクデンチ</t>
    </rPh>
    <rPh sb="3" eb="5">
      <t>セツビ</t>
    </rPh>
    <rPh sb="6" eb="8">
      <t>チョクリュウ</t>
    </rPh>
    <rPh sb="8" eb="10">
      <t>デンゲン</t>
    </rPh>
    <rPh sb="10" eb="12">
      <t>ソウチ</t>
    </rPh>
    <rPh sb="13" eb="15">
      <t>テンケン</t>
    </rPh>
    <phoneticPr fontId="163"/>
  </si>
  <si>
    <t>電気事業法</t>
    <rPh sb="0" eb="2">
      <t>デンキ</t>
    </rPh>
    <rPh sb="2" eb="5">
      <t>ジギョウホウ</t>
    </rPh>
    <phoneticPr fontId="163"/>
  </si>
  <si>
    <t>▼ 選択</t>
  </si>
  <si>
    <t>高濃度PCB管理状況届出書</t>
    <rPh sb="0" eb="3">
      <t>コウノウド</t>
    </rPh>
    <rPh sb="6" eb="8">
      <t>カンリ</t>
    </rPh>
    <rPh sb="8" eb="10">
      <t>ジョウキョウ</t>
    </rPh>
    <rPh sb="10" eb="12">
      <t>トドケデ</t>
    </rPh>
    <rPh sb="12" eb="13">
      <t>ショ</t>
    </rPh>
    <phoneticPr fontId="163"/>
  </si>
  <si>
    <t>6回/年</t>
    <phoneticPr fontId="163"/>
  </si>
  <si>
    <t>ホルムアルデヒド測定(新築時)</t>
    <rPh sb="8" eb="10">
      <t>ソクテイ</t>
    </rPh>
    <rPh sb="11" eb="13">
      <t>シンチク</t>
    </rPh>
    <rPh sb="13" eb="14">
      <t>ジ</t>
    </rPh>
    <phoneticPr fontId="163"/>
  </si>
  <si>
    <t>最初に迎える6～9月の間に1回</t>
    <rPh sb="0" eb="2">
      <t>サイショ</t>
    </rPh>
    <rPh sb="3" eb="4">
      <t>ムカ</t>
    </rPh>
    <rPh sb="9" eb="10">
      <t>ガツ</t>
    </rPh>
    <rPh sb="11" eb="12">
      <t>アイダ</t>
    </rPh>
    <rPh sb="14" eb="15">
      <t>カイ</t>
    </rPh>
    <phoneticPr fontId="8"/>
  </si>
  <si>
    <t>最初に迎える8月に1回</t>
    <rPh sb="0" eb="2">
      <t>サイショ</t>
    </rPh>
    <rPh sb="3" eb="4">
      <t>ムカ</t>
    </rPh>
    <rPh sb="7" eb="8">
      <t>ガツ</t>
    </rPh>
    <rPh sb="10" eb="11">
      <t>カイ</t>
    </rPh>
    <phoneticPr fontId="8"/>
  </si>
  <si>
    <t>ホルムアルデヒド測定(大規模修繕/模様替実施後)</t>
    <rPh sb="8" eb="10">
      <t>ソクテイ</t>
    </rPh>
    <rPh sb="11" eb="14">
      <t>ダイキボ</t>
    </rPh>
    <rPh sb="14" eb="16">
      <t>シュウゼン</t>
    </rPh>
    <rPh sb="17" eb="19">
      <t>モヨウ</t>
    </rPh>
    <rPh sb="19" eb="20">
      <t>ガ</t>
    </rPh>
    <rPh sb="20" eb="22">
      <t>ジッシ</t>
    </rPh>
    <rPh sb="22" eb="23">
      <t>アト</t>
    </rPh>
    <phoneticPr fontId="163"/>
  </si>
  <si>
    <t>空調機器点検</t>
    <rPh sb="0" eb="2">
      <t>クウチョウ</t>
    </rPh>
    <rPh sb="2" eb="4">
      <t>キキ</t>
    </rPh>
    <rPh sb="4" eb="6">
      <t>テンケン</t>
    </rPh>
    <phoneticPr fontId="163"/>
  </si>
  <si>
    <t>毎月</t>
    <rPh sb="0" eb="2">
      <t>マイツキ</t>
    </rPh>
    <phoneticPr fontId="163"/>
  </si>
  <si>
    <t>〇※</t>
    <phoneticPr fontId="163"/>
  </si>
  <si>
    <t>冷却塔清掃（点検）</t>
    <rPh sb="0" eb="3">
      <t>レイキャクトウ</t>
    </rPh>
    <rPh sb="3" eb="5">
      <t>セイソウ</t>
    </rPh>
    <phoneticPr fontId="8"/>
  </si>
  <si>
    <t>1回/年（1回/月）</t>
    <rPh sb="1" eb="2">
      <t>カイ</t>
    </rPh>
    <rPh sb="3" eb="4">
      <t>ネン</t>
    </rPh>
    <rPh sb="6" eb="7">
      <t>カイ</t>
    </rPh>
    <rPh sb="8" eb="9">
      <t>ツキ</t>
    </rPh>
    <phoneticPr fontId="8"/>
  </si>
  <si>
    <t>冷却水配管清掃</t>
    <rPh sb="0" eb="3">
      <t>レイキャクスイ</t>
    </rPh>
    <rPh sb="3" eb="5">
      <t>ハイカン</t>
    </rPh>
    <rPh sb="5" eb="7">
      <t>セイソウ</t>
    </rPh>
    <phoneticPr fontId="8"/>
  </si>
  <si>
    <t>加湿装置清掃（点検）</t>
    <rPh sb="0" eb="2">
      <t>カシツ</t>
    </rPh>
    <rPh sb="2" eb="4">
      <t>ソウチ</t>
    </rPh>
    <rPh sb="4" eb="6">
      <t>セイソウ</t>
    </rPh>
    <rPh sb="7" eb="9">
      <t>テンケン</t>
    </rPh>
    <phoneticPr fontId="163"/>
  </si>
  <si>
    <t>1回/年（1回/月）</t>
    <phoneticPr fontId="8"/>
  </si>
  <si>
    <t>※ シーズンイン・オフで水抜き・水張り</t>
    <phoneticPr fontId="163"/>
  </si>
  <si>
    <t>空調機排水受け（ドレンパン）点検（清掃）</t>
    <rPh sb="0" eb="3">
      <t>クウチョウキ</t>
    </rPh>
    <rPh sb="3" eb="5">
      <t>ハイスイ</t>
    </rPh>
    <rPh sb="5" eb="6">
      <t>ウ</t>
    </rPh>
    <rPh sb="14" eb="16">
      <t>テンケン</t>
    </rPh>
    <rPh sb="17" eb="19">
      <t>セイソウ</t>
    </rPh>
    <phoneticPr fontId="163"/>
  </si>
  <si>
    <t>1回/月</t>
    <rPh sb="1" eb="2">
      <t>カイ</t>
    </rPh>
    <rPh sb="3" eb="4">
      <t>ツキ</t>
    </rPh>
    <phoneticPr fontId="8"/>
  </si>
  <si>
    <t>受水槽清掃・高架水槽清掃</t>
    <rPh sb="0" eb="1">
      <t>ジュ</t>
    </rPh>
    <rPh sb="1" eb="3">
      <t>スイソウ</t>
    </rPh>
    <rPh sb="3" eb="5">
      <t>セイソウ</t>
    </rPh>
    <rPh sb="6" eb="8">
      <t>コウカ</t>
    </rPh>
    <rPh sb="8" eb="10">
      <t>スイソウ</t>
    </rPh>
    <rPh sb="10" eb="12">
      <t>セイソウ</t>
    </rPh>
    <phoneticPr fontId="8"/>
  </si>
  <si>
    <t>飲料水水質検査</t>
    <rPh sb="0" eb="3">
      <t>インリョウスイ</t>
    </rPh>
    <phoneticPr fontId="8"/>
  </si>
  <si>
    <t>給湯水質検査</t>
    <rPh sb="0" eb="2">
      <t>キュウトウ</t>
    </rPh>
    <rPh sb="2" eb="4">
      <t>スイシツ</t>
    </rPh>
    <rPh sb="4" eb="6">
      <t>ケンサ</t>
    </rPh>
    <phoneticPr fontId="163"/>
  </si>
  <si>
    <t>残留塩素測定(上水)</t>
    <rPh sb="0" eb="2">
      <t>ザンリュウ</t>
    </rPh>
    <rPh sb="2" eb="4">
      <t>エンソ</t>
    </rPh>
    <rPh sb="4" eb="6">
      <t>ソクテイ</t>
    </rPh>
    <rPh sb="7" eb="9">
      <t>ジョウスイ</t>
    </rPh>
    <phoneticPr fontId="8"/>
  </si>
  <si>
    <t>1回/週</t>
    <rPh sb="1" eb="2">
      <t>カイ</t>
    </rPh>
    <rPh sb="3" eb="4">
      <t>シュウ</t>
    </rPh>
    <phoneticPr fontId="8"/>
  </si>
  <si>
    <t>残留塩素測定(中水)</t>
    <rPh sb="0" eb="2">
      <t>ザンリュウ</t>
    </rPh>
    <rPh sb="2" eb="4">
      <t>エンソ</t>
    </rPh>
    <rPh sb="4" eb="6">
      <t>ソクテイ</t>
    </rPh>
    <rPh sb="7" eb="8">
      <t>チュウ</t>
    </rPh>
    <rPh sb="8" eb="9">
      <t>ミズ</t>
    </rPh>
    <phoneticPr fontId="8"/>
  </si>
  <si>
    <t>雑用水水質検査</t>
    <rPh sb="0" eb="2">
      <t>ザツヨウ</t>
    </rPh>
    <rPh sb="2" eb="3">
      <t>ミズ</t>
    </rPh>
    <rPh sb="3" eb="5">
      <t>スイシツ</t>
    </rPh>
    <rPh sb="5" eb="7">
      <t>ケンサ</t>
    </rPh>
    <phoneticPr fontId="8"/>
  </si>
  <si>
    <t>雑排水槽清掃</t>
    <rPh sb="0" eb="3">
      <t>ザツハイスイ</t>
    </rPh>
    <rPh sb="3" eb="4">
      <t>ソウ</t>
    </rPh>
    <rPh sb="4" eb="6">
      <t>セイソウ</t>
    </rPh>
    <phoneticPr fontId="8"/>
  </si>
  <si>
    <t>汚水槽清掃</t>
    <rPh sb="0" eb="1">
      <t>キタナ</t>
    </rPh>
    <rPh sb="1" eb="2">
      <t>ミズ</t>
    </rPh>
    <rPh sb="2" eb="3">
      <t>ソウ</t>
    </rPh>
    <rPh sb="3" eb="5">
      <t>セイソウ</t>
    </rPh>
    <phoneticPr fontId="8"/>
  </si>
  <si>
    <t>6回/年</t>
  </si>
  <si>
    <t>維持管理状況報告書</t>
    <rPh sb="0" eb="2">
      <t>イジ</t>
    </rPh>
    <phoneticPr fontId="8"/>
  </si>
  <si>
    <t>給湯器清掃・点検(中央式給湯設備：貯湯槽あり)</t>
    <rPh sb="0" eb="3">
      <t>キュウトウキ</t>
    </rPh>
    <rPh sb="3" eb="5">
      <t>セイソウ</t>
    </rPh>
    <rPh sb="6" eb="8">
      <t>テンケン</t>
    </rPh>
    <rPh sb="9" eb="11">
      <t>チュウオウ</t>
    </rPh>
    <rPh sb="11" eb="12">
      <t>シキ</t>
    </rPh>
    <rPh sb="12" eb="14">
      <t>キュウトウ</t>
    </rPh>
    <rPh sb="14" eb="16">
      <t>セツビ</t>
    </rPh>
    <rPh sb="17" eb="20">
      <t>チョトウソウ</t>
    </rPh>
    <phoneticPr fontId="163"/>
  </si>
  <si>
    <t>給湯器清掃・点検(局所式給湯設備：貯湯槽あり)
設備の構造上清掃できない場合、メーカーの取扱い説明に従い点検、メンテナンス実施</t>
    <rPh sb="0" eb="3">
      <t>キュウトウキ</t>
    </rPh>
    <rPh sb="3" eb="5">
      <t>セイソウ</t>
    </rPh>
    <rPh sb="6" eb="8">
      <t>テンケン</t>
    </rPh>
    <rPh sb="9" eb="11">
      <t>キョクショ</t>
    </rPh>
    <rPh sb="17" eb="20">
      <t>チョトウソウ</t>
    </rPh>
    <rPh sb="24" eb="26">
      <t>セツビ</t>
    </rPh>
    <rPh sb="27" eb="29">
      <t>コウゾウ</t>
    </rPh>
    <rPh sb="29" eb="30">
      <t>ジョウ</t>
    </rPh>
    <rPh sb="30" eb="32">
      <t>セイソウ</t>
    </rPh>
    <rPh sb="36" eb="38">
      <t>バアイ</t>
    </rPh>
    <rPh sb="44" eb="46">
      <t>トリアツカ</t>
    </rPh>
    <rPh sb="47" eb="49">
      <t>セツメイ</t>
    </rPh>
    <rPh sb="50" eb="51">
      <t>シタガ</t>
    </rPh>
    <rPh sb="52" eb="54">
      <t>テンケン</t>
    </rPh>
    <rPh sb="61" eb="63">
      <t>ジッシ</t>
    </rPh>
    <phoneticPr fontId="163"/>
  </si>
  <si>
    <r>
      <t>防火対象物</t>
    </r>
    <r>
      <rPr>
        <sz val="14"/>
        <rFont val="ＭＳ Ｐゴシック"/>
        <family val="3"/>
        <charset val="128"/>
      </rPr>
      <t>点検</t>
    </r>
    <rPh sb="0" eb="2">
      <t>ボウカ</t>
    </rPh>
    <rPh sb="2" eb="5">
      <t>タイショウブツ</t>
    </rPh>
    <rPh sb="5" eb="7">
      <t>テンケン</t>
    </rPh>
    <phoneticPr fontId="8"/>
  </si>
  <si>
    <t>防災管理点検</t>
    <rPh sb="0" eb="2">
      <t>ボウサイ</t>
    </rPh>
    <rPh sb="2" eb="4">
      <t>カンリ</t>
    </rPh>
    <rPh sb="4" eb="6">
      <t>テンケン</t>
    </rPh>
    <phoneticPr fontId="8"/>
  </si>
  <si>
    <t>◎総合点検　○機器点検　■報告(1/3年)　</t>
    <phoneticPr fontId="163"/>
  </si>
  <si>
    <t>非常用発電機点検</t>
    <rPh sb="0" eb="3">
      <t>ヒジョウヨウ</t>
    </rPh>
    <rPh sb="3" eb="6">
      <t>ハツデンキ</t>
    </rPh>
    <rPh sb="6" eb="8">
      <t>テンケン</t>
    </rPh>
    <phoneticPr fontId="8"/>
  </si>
  <si>
    <t>非常電源負荷運転または内部観察等</t>
    <rPh sb="0" eb="2">
      <t>ヒジョウ</t>
    </rPh>
    <rPh sb="2" eb="4">
      <t>デンゲン</t>
    </rPh>
    <rPh sb="4" eb="6">
      <t>フカ</t>
    </rPh>
    <rPh sb="6" eb="8">
      <t>ウンテン</t>
    </rPh>
    <rPh sb="11" eb="13">
      <t>ナイブ</t>
    </rPh>
    <rPh sb="13" eb="15">
      <t>カンサツ</t>
    </rPh>
    <rPh sb="15" eb="16">
      <t>ナド</t>
    </rPh>
    <phoneticPr fontId="163"/>
  </si>
  <si>
    <t>非常電源負荷運転及び内部観察等
（予防的な保全が講じられている場合）</t>
    <rPh sb="0" eb="2">
      <t>ヒジョウ</t>
    </rPh>
    <rPh sb="2" eb="4">
      <t>デンゲン</t>
    </rPh>
    <rPh sb="4" eb="6">
      <t>フカ</t>
    </rPh>
    <rPh sb="6" eb="8">
      <t>ウンテン</t>
    </rPh>
    <rPh sb="8" eb="9">
      <t>オヨ</t>
    </rPh>
    <rPh sb="10" eb="12">
      <t>ナイブ</t>
    </rPh>
    <rPh sb="12" eb="14">
      <t>カンサツ</t>
    </rPh>
    <rPh sb="14" eb="15">
      <t>ナド</t>
    </rPh>
    <rPh sb="17" eb="20">
      <t>ヨボウテキ</t>
    </rPh>
    <rPh sb="21" eb="23">
      <t>ホゼン</t>
    </rPh>
    <rPh sb="24" eb="25">
      <t>コウ</t>
    </rPh>
    <rPh sb="31" eb="33">
      <t>バアイ</t>
    </rPh>
    <phoneticPr fontId="163"/>
  </si>
  <si>
    <t>法定</t>
    <phoneticPr fontId="163"/>
  </si>
  <si>
    <t>消防法</t>
    <rPh sb="0" eb="3">
      <t>ショウボウホウ</t>
    </rPh>
    <phoneticPr fontId="163"/>
  </si>
  <si>
    <t>1回/6年</t>
    <rPh sb="1" eb="2">
      <t>カイ</t>
    </rPh>
    <rPh sb="4" eb="5">
      <t>ネン</t>
    </rPh>
    <phoneticPr fontId="163"/>
  </si>
  <si>
    <t>未定</t>
    <rPh sb="0" eb="2">
      <t>ミテイ</t>
    </rPh>
    <phoneticPr fontId="163"/>
  </si>
  <si>
    <t>1回/10年(10年以降3年毎)</t>
    <rPh sb="1" eb="2">
      <t>カイ</t>
    </rPh>
    <rPh sb="5" eb="6">
      <t>ネン</t>
    </rPh>
    <rPh sb="9" eb="10">
      <t>ネン</t>
    </rPh>
    <rPh sb="10" eb="12">
      <t>イコウ</t>
    </rPh>
    <rPh sb="13" eb="14">
      <t>ネン</t>
    </rPh>
    <rPh sb="14" eb="15">
      <t>ゴト</t>
    </rPh>
    <phoneticPr fontId="8"/>
  </si>
  <si>
    <t>消火栓ホース交換（耐圧代替）</t>
    <rPh sb="0" eb="3">
      <t>ショウカセン</t>
    </rPh>
    <rPh sb="6" eb="8">
      <t>コウカン</t>
    </rPh>
    <rPh sb="9" eb="11">
      <t>タイアツ</t>
    </rPh>
    <rPh sb="11" eb="13">
      <t>ダイタイ</t>
    </rPh>
    <phoneticPr fontId="163"/>
  </si>
  <si>
    <t>蓄圧式消火器交換（耐圧代替）</t>
    <rPh sb="0" eb="2">
      <t>チクアツ</t>
    </rPh>
    <rPh sb="2" eb="3">
      <t>シキ</t>
    </rPh>
    <rPh sb="3" eb="6">
      <t>ショウカキ</t>
    </rPh>
    <rPh sb="6" eb="8">
      <t>コウカン</t>
    </rPh>
    <rPh sb="9" eb="11">
      <t>タイアツ</t>
    </rPh>
    <rPh sb="11" eb="13">
      <t>ダイタイ</t>
    </rPh>
    <phoneticPr fontId="163"/>
  </si>
  <si>
    <t>1回/10年(10年以降5年毎)</t>
    <rPh sb="1" eb="2">
      <t>カイ</t>
    </rPh>
    <rPh sb="5" eb="6">
      <t>ネン</t>
    </rPh>
    <rPh sb="9" eb="10">
      <t>ネン</t>
    </rPh>
    <rPh sb="10" eb="12">
      <t>イコウ</t>
    </rPh>
    <rPh sb="13" eb="14">
      <t>ネン</t>
    </rPh>
    <rPh sb="14" eb="15">
      <t>ゴト</t>
    </rPh>
    <phoneticPr fontId="8"/>
  </si>
  <si>
    <t>加圧式消火器交換（耐圧代替）</t>
    <rPh sb="0" eb="2">
      <t>カアツ</t>
    </rPh>
    <rPh sb="2" eb="3">
      <t>シキ</t>
    </rPh>
    <rPh sb="3" eb="6">
      <t>ショウカキ</t>
    </rPh>
    <rPh sb="6" eb="8">
      <t>コウカン</t>
    </rPh>
    <rPh sb="9" eb="11">
      <t>タイアツ</t>
    </rPh>
    <rPh sb="11" eb="13">
      <t>ダイタイ</t>
    </rPh>
    <phoneticPr fontId="163"/>
  </si>
  <si>
    <t>ガス系消火設備容器弁点検</t>
    <rPh sb="2" eb="3">
      <t>ケイ</t>
    </rPh>
    <rPh sb="3" eb="5">
      <t>ショウカ</t>
    </rPh>
    <rPh sb="5" eb="7">
      <t>セツビ</t>
    </rPh>
    <rPh sb="7" eb="9">
      <t>ヨウキ</t>
    </rPh>
    <rPh sb="9" eb="10">
      <t>ベン</t>
    </rPh>
    <rPh sb="10" eb="12">
      <t>テンケン</t>
    </rPh>
    <phoneticPr fontId="163"/>
  </si>
  <si>
    <t>▼ 選択</t>
    <phoneticPr fontId="163"/>
  </si>
  <si>
    <t>地下タンク気密漏洩試験</t>
    <rPh sb="0" eb="2">
      <t>チカ</t>
    </rPh>
    <rPh sb="5" eb="7">
      <t>キミツ</t>
    </rPh>
    <rPh sb="7" eb="9">
      <t>ロウエイ</t>
    </rPh>
    <rPh sb="9" eb="11">
      <t>シケン</t>
    </rPh>
    <phoneticPr fontId="8"/>
  </si>
  <si>
    <t>ゴンドラ性能検査（定期自主検査）</t>
    <rPh sb="4" eb="8">
      <t>セイノウケンサ</t>
    </rPh>
    <rPh sb="9" eb="15">
      <t>テイキジシュケンサ</t>
    </rPh>
    <phoneticPr fontId="163"/>
  </si>
  <si>
    <t>ゴンドラ安全規則</t>
    <rPh sb="4" eb="6">
      <t>アンゼン</t>
    </rPh>
    <rPh sb="6" eb="8">
      <t>キソク</t>
    </rPh>
    <phoneticPr fontId="8"/>
  </si>
  <si>
    <t>1回/年（使用開始前1月以内）</t>
    <rPh sb="1" eb="2">
      <t>カイ</t>
    </rPh>
    <rPh sb="3" eb="4">
      <t>ネン</t>
    </rPh>
    <phoneticPr fontId="8"/>
  </si>
  <si>
    <t>ゴンドラ性能検査（定期自主検査）</t>
    <phoneticPr fontId="163"/>
  </si>
  <si>
    <t>1回/年（使用開始前1月以内）</t>
    <rPh sb="1" eb="2">
      <t>カイ</t>
    </rPh>
    <rPh sb="3" eb="4">
      <t>ネン</t>
    </rPh>
    <rPh sb="5" eb="7">
      <t>シヨウ</t>
    </rPh>
    <rPh sb="7" eb="9">
      <t>カイシ</t>
    </rPh>
    <rPh sb="9" eb="10">
      <t>マエ</t>
    </rPh>
    <rPh sb="11" eb="12">
      <t>ガツ</t>
    </rPh>
    <rPh sb="12" eb="14">
      <t>イナイ</t>
    </rPh>
    <phoneticPr fontId="8"/>
  </si>
  <si>
    <t>屋外広告物継続申請</t>
    <rPh sb="0" eb="2">
      <t>オクガイ</t>
    </rPh>
    <rPh sb="2" eb="4">
      <t>コウコク</t>
    </rPh>
    <rPh sb="4" eb="5">
      <t>ブツ</t>
    </rPh>
    <rPh sb="5" eb="7">
      <t>ケイゾク</t>
    </rPh>
    <rPh sb="7" eb="9">
      <t>シンセイ</t>
    </rPh>
    <phoneticPr fontId="8"/>
  </si>
  <si>
    <t>屋外広告物法</t>
    <rPh sb="0" eb="2">
      <t>オクガイ</t>
    </rPh>
    <rPh sb="2" eb="4">
      <t>コウコク</t>
    </rPh>
    <rPh sb="4" eb="5">
      <t>ブツ</t>
    </rPh>
    <rPh sb="5" eb="6">
      <t>ホウ</t>
    </rPh>
    <phoneticPr fontId="8"/>
  </si>
  <si>
    <t>簡易専用水道定期検査</t>
    <rPh sb="0" eb="2">
      <t>カンイ</t>
    </rPh>
    <rPh sb="2" eb="4">
      <t>センヨウ</t>
    </rPh>
    <rPh sb="4" eb="6">
      <t>スイドウ</t>
    </rPh>
    <rPh sb="6" eb="8">
      <t>テイキ</t>
    </rPh>
    <rPh sb="8" eb="10">
      <t>ケンサ</t>
    </rPh>
    <phoneticPr fontId="163"/>
  </si>
  <si>
    <t>水道法</t>
    <rPh sb="0" eb="2">
      <t>スイドウ</t>
    </rPh>
    <rPh sb="2" eb="3">
      <t>ホウ</t>
    </rPh>
    <phoneticPr fontId="163"/>
  </si>
  <si>
    <t>1回/年</t>
    <rPh sb="1" eb="2">
      <t>カイ</t>
    </rPh>
    <rPh sb="3" eb="4">
      <t>ネン</t>
    </rPh>
    <phoneticPr fontId="163"/>
  </si>
  <si>
    <t>高圧ガス定期自主検査</t>
    <rPh sb="0" eb="2">
      <t>コウアツ</t>
    </rPh>
    <rPh sb="4" eb="10">
      <t>テイキジシュケンサ</t>
    </rPh>
    <phoneticPr fontId="163"/>
  </si>
  <si>
    <t>高圧ｶﾞｽ保安法</t>
    <rPh sb="0" eb="2">
      <t>コウアツ</t>
    </rPh>
    <rPh sb="5" eb="8">
      <t>ホアンホウ</t>
    </rPh>
    <phoneticPr fontId="163"/>
  </si>
  <si>
    <t>高圧ガス保安検査</t>
    <rPh sb="0" eb="2">
      <t>コウアツ</t>
    </rPh>
    <rPh sb="4" eb="6">
      <t>ホアン</t>
    </rPh>
    <rPh sb="6" eb="8">
      <t>ケンサ</t>
    </rPh>
    <phoneticPr fontId="163"/>
  </si>
  <si>
    <t>汚染負荷量賦課金申告書</t>
    <rPh sb="0" eb="2">
      <t>オセン</t>
    </rPh>
    <rPh sb="2" eb="4">
      <t>フカ</t>
    </rPh>
    <rPh sb="4" eb="5">
      <t>リョウ</t>
    </rPh>
    <rPh sb="5" eb="8">
      <t>フカキン</t>
    </rPh>
    <rPh sb="8" eb="11">
      <t>シンコクショ</t>
    </rPh>
    <phoneticPr fontId="8"/>
  </si>
  <si>
    <t>公害健康被害補償法</t>
    <rPh sb="0" eb="2">
      <t>コウガイ</t>
    </rPh>
    <rPh sb="2" eb="4">
      <t>ケンコウ</t>
    </rPh>
    <rPh sb="4" eb="6">
      <t>ヒガイ</t>
    </rPh>
    <rPh sb="6" eb="8">
      <t>ホショウ</t>
    </rPh>
    <phoneticPr fontId="8"/>
  </si>
  <si>
    <t>マニフェスト交付等状況報告書</t>
  </si>
  <si>
    <t>SBM</t>
    <phoneticPr fontId="163"/>
  </si>
  <si>
    <t>PCB廃棄物の保管及び処分状況等届出書</t>
    <rPh sb="3" eb="5">
      <t>ハイキ</t>
    </rPh>
    <rPh sb="5" eb="6">
      <t>ブツ</t>
    </rPh>
    <rPh sb="9" eb="10">
      <t>オヨ</t>
    </rPh>
    <rPh sb="11" eb="13">
      <t>ショブン</t>
    </rPh>
    <rPh sb="13" eb="15">
      <t>ジョウキョウ</t>
    </rPh>
    <rPh sb="15" eb="16">
      <t>ナド</t>
    </rPh>
    <rPh sb="16" eb="18">
      <t>トドケデ</t>
    </rPh>
    <rPh sb="18" eb="19">
      <t>ショ</t>
    </rPh>
    <phoneticPr fontId="8"/>
  </si>
  <si>
    <t>ＰＣＢ特別措置法施行規則</t>
    <rPh sb="3" eb="5">
      <t>トクベツ</t>
    </rPh>
    <rPh sb="5" eb="8">
      <t>ソチホウ</t>
    </rPh>
    <rPh sb="8" eb="10">
      <t>セコウ</t>
    </rPh>
    <rPh sb="10" eb="12">
      <t>キソク</t>
    </rPh>
    <phoneticPr fontId="8"/>
  </si>
  <si>
    <t>都度</t>
    <rPh sb="0" eb="2">
      <t>ツド</t>
    </rPh>
    <phoneticPr fontId="163"/>
  </si>
  <si>
    <t>SMTB（SBM）</t>
    <phoneticPr fontId="8"/>
  </si>
  <si>
    <t>※確認</t>
    <rPh sb="1" eb="3">
      <t>カクニン</t>
    </rPh>
    <phoneticPr fontId="163"/>
  </si>
  <si>
    <t>メーター交換(電力量計器)</t>
    <rPh sb="4" eb="6">
      <t>コウカン</t>
    </rPh>
    <rPh sb="7" eb="9">
      <t>デンリョク</t>
    </rPh>
    <rPh sb="9" eb="10">
      <t>リョウ</t>
    </rPh>
    <rPh sb="10" eb="11">
      <t>ケイ</t>
    </rPh>
    <rPh sb="11" eb="12">
      <t>ウツワ</t>
    </rPh>
    <phoneticPr fontId="8"/>
  </si>
  <si>
    <t>メーター交換(水道)</t>
    <rPh sb="4" eb="6">
      <t>コウカン</t>
    </rPh>
    <rPh sb="7" eb="9">
      <t>スイドウ</t>
    </rPh>
    <phoneticPr fontId="8"/>
  </si>
  <si>
    <t>1回/8年</t>
    <phoneticPr fontId="163"/>
  </si>
  <si>
    <r>
      <t>メーター交換(ガス)
①使用最大流量6m</t>
    </r>
    <r>
      <rPr>
        <vertAlign val="superscript"/>
        <sz val="14"/>
        <rFont val="ＭＳ Ｐゴシック"/>
        <family val="3"/>
        <charset val="128"/>
      </rPr>
      <t>3</t>
    </r>
    <r>
      <rPr>
        <sz val="14"/>
        <rFont val="ＭＳ Ｐゴシック"/>
        <family val="3"/>
        <charset val="128"/>
      </rPr>
      <t>/h以下のもの(都市ガス用)
②使用最大流量2.5m3/h以下のもの(LPガス用)</t>
    </r>
    <rPh sb="4" eb="6">
      <t>コウカン</t>
    </rPh>
    <rPh sb="12" eb="14">
      <t>シヨウ</t>
    </rPh>
    <rPh sb="14" eb="16">
      <t>サイダイ</t>
    </rPh>
    <rPh sb="16" eb="18">
      <t>リュウリョウ</t>
    </rPh>
    <rPh sb="23" eb="25">
      <t>イカ</t>
    </rPh>
    <rPh sb="29" eb="31">
      <t>トシ</t>
    </rPh>
    <rPh sb="33" eb="34">
      <t>ヨウ</t>
    </rPh>
    <phoneticPr fontId="8"/>
  </si>
  <si>
    <t>1回/10年</t>
    <rPh sb="1" eb="2">
      <t>カイ</t>
    </rPh>
    <rPh sb="5" eb="6">
      <t>ネン</t>
    </rPh>
    <phoneticPr fontId="163"/>
  </si>
  <si>
    <t>メーター交換(ガス)
上記①②以外のもの。主に業務用</t>
    <rPh sb="4" eb="6">
      <t>コウカン</t>
    </rPh>
    <rPh sb="11" eb="13">
      <t>ジョウキ</t>
    </rPh>
    <rPh sb="15" eb="17">
      <t>イガイ</t>
    </rPh>
    <rPh sb="21" eb="22">
      <t>オモ</t>
    </rPh>
    <rPh sb="23" eb="26">
      <t>ギョウムヨウ</t>
    </rPh>
    <phoneticPr fontId="8"/>
  </si>
  <si>
    <t>1回/7年</t>
    <rPh sb="1" eb="2">
      <t>カイ</t>
    </rPh>
    <rPh sb="4" eb="5">
      <t>ネン</t>
    </rPh>
    <phoneticPr fontId="163"/>
  </si>
  <si>
    <r>
      <t xml:space="preserve">メーター交換(積算熱量計)
</t>
    </r>
    <r>
      <rPr>
        <sz val="10"/>
        <rFont val="ＭＳ Ｐゴシック"/>
        <family val="3"/>
        <charset val="128"/>
      </rPr>
      <t>口径40mm以下のもの</t>
    </r>
    <rPh sb="4" eb="6">
      <t>コウカン</t>
    </rPh>
    <rPh sb="7" eb="9">
      <t>セキサン</t>
    </rPh>
    <rPh sb="9" eb="11">
      <t>ネツリョウ</t>
    </rPh>
    <rPh sb="11" eb="12">
      <t>ケイ</t>
    </rPh>
    <rPh sb="14" eb="16">
      <t>コウケイ</t>
    </rPh>
    <rPh sb="20" eb="22">
      <t>イカ</t>
    </rPh>
    <phoneticPr fontId="8"/>
  </si>
  <si>
    <t>ゴミ計量器検定</t>
    <rPh sb="2" eb="5">
      <t>ケイリョウキ</t>
    </rPh>
    <rPh sb="5" eb="7">
      <t>ケンテイ</t>
    </rPh>
    <phoneticPr fontId="163"/>
  </si>
  <si>
    <t>1回/2年</t>
    <phoneticPr fontId="163"/>
  </si>
  <si>
    <t>道路占用許可申請</t>
    <rPh sb="0" eb="2">
      <t>ドウロ</t>
    </rPh>
    <rPh sb="2" eb="4">
      <t>センヨウ</t>
    </rPh>
    <rPh sb="4" eb="6">
      <t>キョカ</t>
    </rPh>
    <rPh sb="6" eb="8">
      <t>シンセイ</t>
    </rPh>
    <phoneticPr fontId="163"/>
  </si>
  <si>
    <t>道路法</t>
    <rPh sb="0" eb="3">
      <t>ドウロホウ</t>
    </rPh>
    <phoneticPr fontId="163"/>
  </si>
  <si>
    <t>系統別で3ヵ月1回行う</t>
    <phoneticPr fontId="163"/>
  </si>
  <si>
    <t>フロン定期点検（7.5kW以上、50kW未満）</t>
    <rPh sb="3" eb="5">
      <t>テイキ</t>
    </rPh>
    <rPh sb="5" eb="7">
      <t>テンケン</t>
    </rPh>
    <rPh sb="13" eb="15">
      <t>イジョウ</t>
    </rPh>
    <rPh sb="20" eb="22">
      <t>ミマン</t>
    </rPh>
    <phoneticPr fontId="8"/>
  </si>
  <si>
    <t>1回/3年</t>
    <phoneticPr fontId="163"/>
  </si>
  <si>
    <t>1回/3年</t>
  </si>
  <si>
    <t>フロン定期点検（冷凍･冷蔵設備7.5kW以上）</t>
    <phoneticPr fontId="163"/>
  </si>
  <si>
    <t>フロン定期点検（50kW以上）</t>
    <rPh sb="3" eb="5">
      <t>テイキ</t>
    </rPh>
    <rPh sb="5" eb="7">
      <t>テンケン</t>
    </rPh>
    <phoneticPr fontId="8"/>
  </si>
  <si>
    <t>フロン類算定漏えい量報告</t>
    <rPh sb="3" eb="4">
      <t>ルイ</t>
    </rPh>
    <rPh sb="4" eb="6">
      <t>サンテイ</t>
    </rPh>
    <rPh sb="6" eb="7">
      <t>ロウ</t>
    </rPh>
    <rPh sb="9" eb="10">
      <t>リョウ</t>
    </rPh>
    <rPh sb="10" eb="12">
      <t>ホウコク</t>
    </rPh>
    <phoneticPr fontId="8"/>
  </si>
  <si>
    <t>定期報告書</t>
    <rPh sb="0" eb="2">
      <t>テイキ</t>
    </rPh>
    <rPh sb="2" eb="5">
      <t>ホウコクショ</t>
    </rPh>
    <phoneticPr fontId="163"/>
  </si>
  <si>
    <t>省エネ法</t>
    <rPh sb="0" eb="1">
      <t>ショウ</t>
    </rPh>
    <rPh sb="3" eb="4">
      <t>ホウ</t>
    </rPh>
    <phoneticPr fontId="163"/>
  </si>
  <si>
    <t>中長期計画書</t>
    <rPh sb="0" eb="3">
      <t>チュウチョウキ</t>
    </rPh>
    <rPh sb="3" eb="5">
      <t>ケイカク</t>
    </rPh>
    <rPh sb="5" eb="6">
      <t>ショ</t>
    </rPh>
    <phoneticPr fontId="163"/>
  </si>
  <si>
    <t>ボイラー/第一種圧力容器定期自主検査</t>
    <rPh sb="5" eb="12">
      <t>ダイイッシュアツリョクヨウキ</t>
    </rPh>
    <rPh sb="12" eb="14">
      <t>テイキ</t>
    </rPh>
    <rPh sb="14" eb="16">
      <t>ジシュ</t>
    </rPh>
    <rPh sb="16" eb="18">
      <t>ケンサ</t>
    </rPh>
    <phoneticPr fontId="163"/>
  </si>
  <si>
    <t>ボイラー及び圧力容器安全規則</t>
    <phoneticPr fontId="163"/>
  </si>
  <si>
    <t>第二種圧力容器定期自主検査</t>
    <rPh sb="0" eb="3">
      <t>ダイニシュ</t>
    </rPh>
    <rPh sb="3" eb="7">
      <t>アツリョクヨウキ</t>
    </rPh>
    <rPh sb="7" eb="13">
      <t>テイキジシュケンサ</t>
    </rPh>
    <phoneticPr fontId="163"/>
  </si>
  <si>
    <t>ボイラー/第一種圧力容器性能検査</t>
    <rPh sb="12" eb="14">
      <t>セイノウ</t>
    </rPh>
    <rPh sb="14" eb="16">
      <t>ケンサ</t>
    </rPh>
    <phoneticPr fontId="163"/>
  </si>
  <si>
    <t>労働安全衛生法</t>
    <phoneticPr fontId="8"/>
  </si>
  <si>
    <r>
      <t>高所作業車</t>
    </r>
    <r>
      <rPr>
        <sz val="14"/>
        <rFont val="ＭＳ Ｐゴシック"/>
        <family val="3"/>
        <charset val="128"/>
      </rPr>
      <t>特定自主検査（定期自主検査）</t>
    </r>
    <rPh sb="0" eb="2">
      <t>コウショ</t>
    </rPh>
    <rPh sb="2" eb="5">
      <t>サギョウシャ</t>
    </rPh>
    <rPh sb="5" eb="7">
      <t>トクテイ</t>
    </rPh>
    <rPh sb="7" eb="9">
      <t>ジシュ</t>
    </rPh>
    <rPh sb="9" eb="11">
      <t>ケンサ</t>
    </rPh>
    <rPh sb="12" eb="14">
      <t>テイキ</t>
    </rPh>
    <rPh sb="14" eb="16">
      <t>ジシュ</t>
    </rPh>
    <rPh sb="16" eb="18">
      <t>ケンサ</t>
    </rPh>
    <phoneticPr fontId="163"/>
  </si>
  <si>
    <t>労働安全衛生法</t>
    <rPh sb="0" eb="2">
      <t>ロウドウ</t>
    </rPh>
    <rPh sb="2" eb="4">
      <t>アンゼン</t>
    </rPh>
    <rPh sb="4" eb="7">
      <t>エイセイホウ</t>
    </rPh>
    <phoneticPr fontId="8"/>
  </si>
  <si>
    <r>
      <t>自走式高所作業車</t>
    </r>
    <r>
      <rPr>
        <sz val="14"/>
        <rFont val="ＭＳ Ｐゴシック"/>
        <family val="3"/>
        <charset val="128"/>
      </rPr>
      <t>特定自主検査（定期自主検査）</t>
    </r>
    <rPh sb="0" eb="3">
      <t>ジソウシキ</t>
    </rPh>
    <rPh sb="3" eb="8">
      <t>コウショサギョウシャ</t>
    </rPh>
    <rPh sb="8" eb="10">
      <t>トクテイ</t>
    </rPh>
    <rPh sb="10" eb="12">
      <t>ジシュ</t>
    </rPh>
    <rPh sb="12" eb="14">
      <t>ケンサ</t>
    </rPh>
    <rPh sb="15" eb="17">
      <t>テイキ</t>
    </rPh>
    <rPh sb="17" eb="19">
      <t>ジシュ</t>
    </rPh>
    <rPh sb="19" eb="21">
      <t>ケンサ</t>
    </rPh>
    <phoneticPr fontId="163"/>
  </si>
  <si>
    <t>ばい煙濃度測定</t>
    <rPh sb="2" eb="3">
      <t>エン</t>
    </rPh>
    <rPh sb="3" eb="5">
      <t>ノウド</t>
    </rPh>
    <rPh sb="5" eb="7">
      <t>ソクテイ</t>
    </rPh>
    <phoneticPr fontId="163"/>
  </si>
  <si>
    <t>大気汚染防止法</t>
    <rPh sb="0" eb="2">
      <t>タイキ</t>
    </rPh>
    <rPh sb="2" eb="4">
      <t>オセン</t>
    </rPh>
    <rPh sb="4" eb="6">
      <t>ボウシ</t>
    </rPh>
    <rPh sb="6" eb="7">
      <t>ホウ</t>
    </rPh>
    <phoneticPr fontId="163"/>
  </si>
  <si>
    <t>2回/年</t>
    <phoneticPr fontId="163"/>
  </si>
  <si>
    <t>中圧・低圧ガス漏洩検査</t>
    <rPh sb="0" eb="2">
      <t>チュウアツ</t>
    </rPh>
    <rPh sb="3" eb="5">
      <t>テイアツ</t>
    </rPh>
    <rPh sb="7" eb="9">
      <t>ロウエイ</t>
    </rPh>
    <rPh sb="9" eb="11">
      <t>ケンサ</t>
    </rPh>
    <phoneticPr fontId="163"/>
  </si>
  <si>
    <t>ガス事業法</t>
    <rPh sb="2" eb="5">
      <t>ジギョウホウ</t>
    </rPh>
    <phoneticPr fontId="163"/>
  </si>
  <si>
    <t>栄養管理報告</t>
    <rPh sb="0" eb="6">
      <t>エイヨウカンリホウコク</t>
    </rPh>
    <phoneticPr fontId="163"/>
  </si>
  <si>
    <t>健康増進法</t>
    <rPh sb="0" eb="2">
      <t>ケンコウ</t>
    </rPh>
    <rPh sb="2" eb="4">
      <t>ゾウシン</t>
    </rPh>
    <rPh sb="4" eb="5">
      <t>ホウ</t>
    </rPh>
    <phoneticPr fontId="163"/>
  </si>
  <si>
    <t>2回/年</t>
    <rPh sb="3" eb="4">
      <t>ネン</t>
    </rPh>
    <phoneticPr fontId="163"/>
  </si>
  <si>
    <t>自販機に関する営業許可</t>
    <rPh sb="0" eb="3">
      <t>ジハンキ</t>
    </rPh>
    <rPh sb="4" eb="5">
      <t>カン</t>
    </rPh>
    <rPh sb="7" eb="9">
      <t>エイギョウ</t>
    </rPh>
    <rPh sb="9" eb="11">
      <t>キョカ</t>
    </rPh>
    <phoneticPr fontId="163"/>
  </si>
  <si>
    <t>食品衛生法</t>
    <rPh sb="0" eb="2">
      <t>ショクヒン</t>
    </rPh>
    <rPh sb="2" eb="5">
      <t>エイセイホウ</t>
    </rPh>
    <phoneticPr fontId="163"/>
  </si>
  <si>
    <t>1回/5年</t>
    <rPh sb="1" eb="2">
      <t>カイ</t>
    </rPh>
    <rPh sb="4" eb="5">
      <t>ネン</t>
    </rPh>
    <phoneticPr fontId="168"/>
  </si>
  <si>
    <t>旅館業営業許可</t>
    <rPh sb="0" eb="2">
      <t>リョカン</t>
    </rPh>
    <rPh sb="2" eb="3">
      <t>ギョウ</t>
    </rPh>
    <rPh sb="3" eb="5">
      <t>エイギョウ</t>
    </rPh>
    <rPh sb="5" eb="7">
      <t>キョカ</t>
    </rPh>
    <phoneticPr fontId="163"/>
  </si>
  <si>
    <t>旅館業法</t>
    <rPh sb="0" eb="2">
      <t>リョカン</t>
    </rPh>
    <rPh sb="2" eb="4">
      <t>ギョウホウ</t>
    </rPh>
    <phoneticPr fontId="163"/>
  </si>
  <si>
    <t>その他条例</t>
    <rPh sb="2" eb="3">
      <t>タ</t>
    </rPh>
    <rPh sb="3" eb="5">
      <t>ジョウレイ</t>
    </rPh>
    <phoneticPr fontId="8"/>
  </si>
  <si>
    <t>事業系廃棄物減量計画書・処理実績報告書</t>
    <rPh sb="0" eb="2">
      <t>ジギョウ</t>
    </rPh>
    <rPh sb="2" eb="3">
      <t>ケイ</t>
    </rPh>
    <rPh sb="3" eb="6">
      <t>ハイキブツ</t>
    </rPh>
    <rPh sb="6" eb="8">
      <t>ゲンリョウ</t>
    </rPh>
    <rPh sb="8" eb="11">
      <t>ケイカクショ</t>
    </rPh>
    <rPh sb="12" eb="14">
      <t>ショリ</t>
    </rPh>
    <rPh sb="14" eb="16">
      <t>ジッセキ</t>
    </rPh>
    <rPh sb="16" eb="19">
      <t>ホウコクショ</t>
    </rPh>
    <phoneticPr fontId="8"/>
  </si>
  <si>
    <t>札幌市条例</t>
    <rPh sb="0" eb="3">
      <t>サッポロシ</t>
    </rPh>
    <rPh sb="3" eb="5">
      <t>ジョウレイ</t>
    </rPh>
    <phoneticPr fontId="8"/>
  </si>
  <si>
    <t>再利用計画書</t>
    <rPh sb="0" eb="3">
      <t>サイリヨウ</t>
    </rPh>
    <rPh sb="3" eb="5">
      <t>ケイカク</t>
    </rPh>
    <rPh sb="5" eb="6">
      <t>ショ</t>
    </rPh>
    <phoneticPr fontId="8"/>
  </si>
  <si>
    <t>東京都区条例</t>
    <rPh sb="0" eb="3">
      <t>トウキョウト</t>
    </rPh>
    <rPh sb="3" eb="4">
      <t>ク</t>
    </rPh>
    <rPh sb="4" eb="6">
      <t>ジョウレイ</t>
    </rPh>
    <phoneticPr fontId="8"/>
  </si>
  <si>
    <t>事業系廃棄物　減量化・資源化等計画書</t>
    <rPh sb="0" eb="2">
      <t>ジギョウ</t>
    </rPh>
    <rPh sb="2" eb="3">
      <t>ケイ</t>
    </rPh>
    <rPh sb="3" eb="6">
      <t>ハイキブツ</t>
    </rPh>
    <rPh sb="7" eb="10">
      <t>ゲンリョウカ</t>
    </rPh>
    <rPh sb="11" eb="14">
      <t>シゲンカ</t>
    </rPh>
    <rPh sb="14" eb="15">
      <t>トウ</t>
    </rPh>
    <rPh sb="15" eb="18">
      <t>ケイカクショ</t>
    </rPh>
    <phoneticPr fontId="163"/>
  </si>
  <si>
    <t>横浜市条例</t>
    <rPh sb="0" eb="3">
      <t>ヨコハマシ</t>
    </rPh>
    <rPh sb="3" eb="5">
      <t>ジョウレイ</t>
    </rPh>
    <phoneticPr fontId="163"/>
  </si>
  <si>
    <t>事業系廃棄物減量計画書</t>
    <phoneticPr fontId="163"/>
  </si>
  <si>
    <t>名古屋市条例</t>
    <rPh sb="0" eb="3">
      <t>ナゴヤ</t>
    </rPh>
    <rPh sb="3" eb="4">
      <t>シ</t>
    </rPh>
    <rPh sb="4" eb="6">
      <t>ジョウレイ</t>
    </rPh>
    <phoneticPr fontId="163"/>
  </si>
  <si>
    <t>１回/年</t>
    <phoneticPr fontId="163"/>
  </si>
  <si>
    <t>事業系一般廃棄物減量計画書</t>
    <rPh sb="0" eb="2">
      <t>ジギョウ</t>
    </rPh>
    <rPh sb="2" eb="3">
      <t>ケイ</t>
    </rPh>
    <rPh sb="3" eb="5">
      <t>イッパン</t>
    </rPh>
    <rPh sb="5" eb="8">
      <t>ハイキブツ</t>
    </rPh>
    <rPh sb="8" eb="10">
      <t>ゲンリョウ</t>
    </rPh>
    <rPh sb="10" eb="13">
      <t>ケイカクショ</t>
    </rPh>
    <phoneticPr fontId="163"/>
  </si>
  <si>
    <t>豊中市条例</t>
    <rPh sb="0" eb="2">
      <t>トヨナカ</t>
    </rPh>
    <rPh sb="2" eb="3">
      <t>シ</t>
    </rPh>
    <rPh sb="3" eb="5">
      <t>ジョウレイ</t>
    </rPh>
    <phoneticPr fontId="163"/>
  </si>
  <si>
    <t>減量推進及び適正処理に関する計画書</t>
    <rPh sb="0" eb="2">
      <t>ゲンリョウ</t>
    </rPh>
    <rPh sb="2" eb="4">
      <t>スイシン</t>
    </rPh>
    <rPh sb="4" eb="5">
      <t>オヨ</t>
    </rPh>
    <rPh sb="6" eb="8">
      <t>テキセイ</t>
    </rPh>
    <rPh sb="8" eb="10">
      <t>ショリ</t>
    </rPh>
    <rPh sb="11" eb="12">
      <t>カン</t>
    </rPh>
    <rPh sb="14" eb="17">
      <t>ケイカクショ</t>
    </rPh>
    <phoneticPr fontId="163"/>
  </si>
  <si>
    <t>大阪市条例</t>
    <rPh sb="0" eb="2">
      <t>オオサカ</t>
    </rPh>
    <rPh sb="2" eb="3">
      <t>シ</t>
    </rPh>
    <rPh sb="3" eb="5">
      <t>ジョウレイ</t>
    </rPh>
    <phoneticPr fontId="163"/>
  </si>
  <si>
    <t>廃棄物減量及び適正処理に関する計画書</t>
    <rPh sb="0" eb="3">
      <t>ハイキブツ</t>
    </rPh>
    <rPh sb="3" eb="5">
      <t>ゲンリョウ</t>
    </rPh>
    <rPh sb="5" eb="6">
      <t>オヨ</t>
    </rPh>
    <rPh sb="7" eb="9">
      <t>テキセイ</t>
    </rPh>
    <rPh sb="9" eb="11">
      <t>ショリ</t>
    </rPh>
    <rPh sb="12" eb="13">
      <t>カン</t>
    </rPh>
    <rPh sb="15" eb="17">
      <t>ケイカク</t>
    </rPh>
    <rPh sb="17" eb="18">
      <t>ショ</t>
    </rPh>
    <phoneticPr fontId="163"/>
  </si>
  <si>
    <t>福岡市条例</t>
    <rPh sb="0" eb="3">
      <t>フクオカシ</t>
    </rPh>
    <rPh sb="3" eb="5">
      <t>ジョウレイ</t>
    </rPh>
    <phoneticPr fontId="163"/>
  </si>
  <si>
    <t>地球温暖化対策計画書</t>
    <rPh sb="0" eb="2">
      <t>チキュウ</t>
    </rPh>
    <rPh sb="2" eb="5">
      <t>オンダンカ</t>
    </rPh>
    <rPh sb="5" eb="7">
      <t>タイサク</t>
    </rPh>
    <rPh sb="7" eb="9">
      <t>ケイカク</t>
    </rPh>
    <rPh sb="9" eb="10">
      <t>ショ</t>
    </rPh>
    <phoneticPr fontId="163"/>
  </si>
  <si>
    <t>地球温暖化対策実施状況報告書</t>
    <rPh sb="0" eb="2">
      <t>チキュウ</t>
    </rPh>
    <rPh sb="2" eb="5">
      <t>オンダンカ</t>
    </rPh>
    <rPh sb="5" eb="7">
      <t>タイサク</t>
    </rPh>
    <rPh sb="7" eb="9">
      <t>ジッシ</t>
    </rPh>
    <rPh sb="9" eb="11">
      <t>ジョウキョウ</t>
    </rPh>
    <rPh sb="11" eb="14">
      <t>ホウコクショ</t>
    </rPh>
    <phoneticPr fontId="163"/>
  </si>
  <si>
    <t>特定建築物年間管理計画書</t>
    <rPh sb="0" eb="2">
      <t>トクテイ</t>
    </rPh>
    <rPh sb="4" eb="5">
      <t>ブツ</t>
    </rPh>
    <rPh sb="5" eb="7">
      <t>ネンカン</t>
    </rPh>
    <rPh sb="7" eb="9">
      <t>カンリ</t>
    </rPh>
    <rPh sb="9" eb="12">
      <t>ケイカクショ</t>
    </rPh>
    <phoneticPr fontId="163"/>
  </si>
  <si>
    <t>大気汚染物質排出量調査票</t>
    <phoneticPr fontId="163"/>
  </si>
  <si>
    <t>対策計画書(大阪府温暖化防止条例)</t>
    <rPh sb="0" eb="2">
      <t>タイサク</t>
    </rPh>
    <rPh sb="2" eb="5">
      <t>ケイカクショ</t>
    </rPh>
    <rPh sb="6" eb="9">
      <t>オオサカフ</t>
    </rPh>
    <rPh sb="9" eb="12">
      <t>オンダンカ</t>
    </rPh>
    <rPh sb="12" eb="14">
      <t>ボウシ</t>
    </rPh>
    <rPh sb="14" eb="16">
      <t>ジョウレイ</t>
    </rPh>
    <phoneticPr fontId="163"/>
  </si>
  <si>
    <t>法定</t>
    <rPh sb="0" eb="2">
      <t>ホウテイ</t>
    </rPh>
    <phoneticPr fontId="163"/>
  </si>
  <si>
    <t>大阪府条例</t>
    <rPh sb="0" eb="2">
      <t>オオサカ</t>
    </rPh>
    <rPh sb="2" eb="3">
      <t>フ</t>
    </rPh>
    <rPh sb="3" eb="5">
      <t>ジョウレイ</t>
    </rPh>
    <phoneticPr fontId="163"/>
  </si>
  <si>
    <t>1回/3年</t>
    <rPh sb="1" eb="2">
      <t>カイ</t>
    </rPh>
    <rPh sb="4" eb="5">
      <t>ネン</t>
    </rPh>
    <phoneticPr fontId="163"/>
  </si>
  <si>
    <t>実績報告書(大阪府温暖化防止条例)</t>
    <rPh sb="0" eb="2">
      <t>ジッセキ</t>
    </rPh>
    <rPh sb="2" eb="4">
      <t>ホウコク</t>
    </rPh>
    <rPh sb="4" eb="5">
      <t>ショ</t>
    </rPh>
    <phoneticPr fontId="163"/>
  </si>
  <si>
    <t>大阪府条例</t>
    <phoneticPr fontId="163"/>
  </si>
  <si>
    <t>廃棄物減量等計画書</t>
    <rPh sb="0" eb="3">
      <t>ハイキブツ</t>
    </rPh>
    <rPh sb="3" eb="5">
      <t>ゲンリョウ</t>
    </rPh>
    <rPh sb="5" eb="6">
      <t>ナド</t>
    </rPh>
    <rPh sb="6" eb="9">
      <t>ケイカクショ</t>
    </rPh>
    <phoneticPr fontId="163"/>
  </si>
  <si>
    <t>春日部市条例</t>
    <rPh sb="0" eb="4">
      <t>カスカベシ</t>
    </rPh>
    <rPh sb="4" eb="6">
      <t>ジョウレイ</t>
    </rPh>
    <phoneticPr fontId="163"/>
  </si>
  <si>
    <t>駐車施設等管理報告</t>
    <rPh sb="0" eb="2">
      <t>チュウシャ</t>
    </rPh>
    <rPh sb="2" eb="5">
      <t>シセツナド</t>
    </rPh>
    <rPh sb="5" eb="7">
      <t>カンリ</t>
    </rPh>
    <rPh sb="7" eb="9">
      <t>ホウコク</t>
    </rPh>
    <phoneticPr fontId="163"/>
  </si>
  <si>
    <t>中央区付置義務駐車施設整備要綱</t>
    <rPh sb="0" eb="3">
      <t>チュウオウク</t>
    </rPh>
    <rPh sb="3" eb="5">
      <t>フチ</t>
    </rPh>
    <rPh sb="5" eb="7">
      <t>ギム</t>
    </rPh>
    <rPh sb="7" eb="9">
      <t>チュウシャ</t>
    </rPh>
    <rPh sb="9" eb="11">
      <t>シセツ</t>
    </rPh>
    <rPh sb="11" eb="13">
      <t>セイビ</t>
    </rPh>
    <rPh sb="13" eb="15">
      <t>ヨウコウ</t>
    </rPh>
    <phoneticPr fontId="163"/>
  </si>
  <si>
    <t>SC統一基準</t>
    <rPh sb="2" eb="4">
      <t>トウイツ</t>
    </rPh>
    <rPh sb="4" eb="6">
      <t>キジュン</t>
    </rPh>
    <phoneticPr fontId="8"/>
  </si>
  <si>
    <t>電気主任技術者選任</t>
    <rPh sb="0" eb="2">
      <t>デンキ</t>
    </rPh>
    <rPh sb="2" eb="4">
      <t>シュニン</t>
    </rPh>
    <rPh sb="4" eb="7">
      <t>ギジュツシャ</t>
    </rPh>
    <rPh sb="7" eb="9">
      <t>センニン</t>
    </rPh>
    <phoneticPr fontId="163"/>
  </si>
  <si>
    <t>SBM管理基準
1回/年（チェック）</t>
    <phoneticPr fontId="163"/>
  </si>
  <si>
    <t>SBM管理基準</t>
    <rPh sb="3" eb="5">
      <t>カンリ</t>
    </rPh>
    <rPh sb="5" eb="7">
      <t>キジュン</t>
    </rPh>
    <phoneticPr fontId="163"/>
  </si>
  <si>
    <t>建築物環境衛生管理技術者選任</t>
    <rPh sb="0" eb="3">
      <t>ケンチクブツ</t>
    </rPh>
    <rPh sb="3" eb="5">
      <t>カンキョウ</t>
    </rPh>
    <rPh sb="5" eb="7">
      <t>エイセイ</t>
    </rPh>
    <rPh sb="7" eb="9">
      <t>カンリ</t>
    </rPh>
    <rPh sb="9" eb="12">
      <t>ギジュツシャ</t>
    </rPh>
    <rPh sb="12" eb="14">
      <t>センニン</t>
    </rPh>
    <phoneticPr fontId="163"/>
  </si>
  <si>
    <t>共同防火・防災管理協議会開催</t>
    <rPh sb="0" eb="2">
      <t>キョウドウ</t>
    </rPh>
    <rPh sb="2" eb="4">
      <t>ボウカ</t>
    </rPh>
    <rPh sb="5" eb="7">
      <t>ボウサイ</t>
    </rPh>
    <rPh sb="7" eb="9">
      <t>カンリ</t>
    </rPh>
    <rPh sb="9" eb="12">
      <t>キョウギカイ</t>
    </rPh>
    <rPh sb="12" eb="14">
      <t>カイサイ</t>
    </rPh>
    <phoneticPr fontId="8"/>
  </si>
  <si>
    <t>SBM管理基準
1回/年</t>
    <phoneticPr fontId="163"/>
  </si>
  <si>
    <r>
      <t>統括防火・防災管理</t>
    </r>
    <r>
      <rPr>
        <sz val="14"/>
        <rFont val="ＭＳ Ｐゴシック"/>
        <family val="3"/>
        <charset val="128"/>
      </rPr>
      <t>者選任</t>
    </r>
    <rPh sb="0" eb="2">
      <t>トウカツ</t>
    </rPh>
    <rPh sb="2" eb="4">
      <t>ボウカ</t>
    </rPh>
    <rPh sb="5" eb="7">
      <t>ボウサイ</t>
    </rPh>
    <rPh sb="7" eb="9">
      <t>カンリ</t>
    </rPh>
    <rPh sb="9" eb="10">
      <t>シャ</t>
    </rPh>
    <rPh sb="10" eb="12">
      <t>センニン</t>
    </rPh>
    <phoneticPr fontId="163"/>
  </si>
  <si>
    <r>
      <t>防火・防災管理</t>
    </r>
    <r>
      <rPr>
        <sz val="14"/>
        <rFont val="ＭＳ Ｐゴシック"/>
        <family val="3"/>
        <charset val="128"/>
      </rPr>
      <t>者選任</t>
    </r>
    <rPh sb="0" eb="2">
      <t>ボウカ</t>
    </rPh>
    <rPh sb="3" eb="5">
      <t>ボウサイ</t>
    </rPh>
    <rPh sb="5" eb="7">
      <t>カンリ</t>
    </rPh>
    <rPh sb="7" eb="8">
      <t>シャ</t>
    </rPh>
    <rPh sb="8" eb="10">
      <t>センニン</t>
    </rPh>
    <phoneticPr fontId="163"/>
  </si>
  <si>
    <t>防火管理技能者選任</t>
    <rPh sb="0" eb="2">
      <t>ボウカ</t>
    </rPh>
    <rPh sb="2" eb="4">
      <t>カンリ</t>
    </rPh>
    <rPh sb="4" eb="7">
      <t>ギノウシャ</t>
    </rPh>
    <rPh sb="7" eb="9">
      <t>センニン</t>
    </rPh>
    <phoneticPr fontId="163"/>
  </si>
  <si>
    <t>自衛消防活動中核要員選任</t>
    <rPh sb="0" eb="2">
      <t>ジエイ</t>
    </rPh>
    <rPh sb="2" eb="4">
      <t>ショウボウ</t>
    </rPh>
    <rPh sb="4" eb="6">
      <t>カツドウ</t>
    </rPh>
    <rPh sb="6" eb="8">
      <t>チュウカク</t>
    </rPh>
    <rPh sb="8" eb="10">
      <t>ヨウイン</t>
    </rPh>
    <rPh sb="10" eb="12">
      <t>センニン</t>
    </rPh>
    <phoneticPr fontId="163"/>
  </si>
  <si>
    <t>統括管理者選任</t>
    <rPh sb="0" eb="2">
      <t>トウカツ</t>
    </rPh>
    <rPh sb="2" eb="5">
      <t>カンリシャ</t>
    </rPh>
    <rPh sb="5" eb="7">
      <t>センニン</t>
    </rPh>
    <phoneticPr fontId="163"/>
  </si>
  <si>
    <t>ボイラー取扱責任者選任</t>
    <rPh sb="4" eb="5">
      <t>ト</t>
    </rPh>
    <rPh sb="5" eb="6">
      <t>アツカ</t>
    </rPh>
    <rPh sb="6" eb="9">
      <t>セキニンシャ</t>
    </rPh>
    <rPh sb="9" eb="11">
      <t>センニン</t>
    </rPh>
    <phoneticPr fontId="163"/>
  </si>
  <si>
    <t>ボイラー及び
圧力容器安全規則</t>
    <phoneticPr fontId="163"/>
  </si>
  <si>
    <t>エネルギー管理者(員)選任</t>
    <rPh sb="5" eb="8">
      <t>カンリシャ</t>
    </rPh>
    <rPh sb="9" eb="10">
      <t>イン</t>
    </rPh>
    <rPh sb="11" eb="13">
      <t>センニン</t>
    </rPh>
    <phoneticPr fontId="163"/>
  </si>
  <si>
    <t>ゴンドラワイヤーロープ交換</t>
    <rPh sb="11" eb="13">
      <t>コウカン</t>
    </rPh>
    <phoneticPr fontId="35"/>
  </si>
  <si>
    <t>SC統一基準
1回/2年</t>
    <phoneticPr fontId="163"/>
  </si>
  <si>
    <t>アスベスト目視点検</t>
    <rPh sb="5" eb="7">
      <t>モクシ</t>
    </rPh>
    <rPh sb="7" eb="9">
      <t>テンケン</t>
    </rPh>
    <phoneticPr fontId="8"/>
  </si>
  <si>
    <t>SBM管理基準
1回/月、2回/年、
1回/年</t>
    <phoneticPr fontId="163"/>
  </si>
  <si>
    <t>労働安全衛生法</t>
    <rPh sb="0" eb="2">
      <t>ロウドウ</t>
    </rPh>
    <rPh sb="2" eb="4">
      <t>アンゼン</t>
    </rPh>
    <rPh sb="4" eb="7">
      <t>エイセイホウ</t>
    </rPh>
    <phoneticPr fontId="163"/>
  </si>
  <si>
    <t>アスベスト環境測定</t>
    <rPh sb="5" eb="7">
      <t>カンキョウ</t>
    </rPh>
    <rPh sb="7" eb="9">
      <t>ソクテイ</t>
    </rPh>
    <phoneticPr fontId="8"/>
  </si>
  <si>
    <t>無</t>
    <phoneticPr fontId="163"/>
  </si>
  <si>
    <t>特別管理産業廃棄物管理責任者選任</t>
    <rPh sb="0" eb="2">
      <t>トクベツ</t>
    </rPh>
    <rPh sb="2" eb="4">
      <t>カンリ</t>
    </rPh>
    <rPh sb="4" eb="6">
      <t>サンギョウ</t>
    </rPh>
    <rPh sb="6" eb="9">
      <t>ハイキブツ</t>
    </rPh>
    <rPh sb="9" eb="11">
      <t>カンリ</t>
    </rPh>
    <rPh sb="11" eb="14">
      <t>セキニンシャ</t>
    </rPh>
    <rPh sb="14" eb="16">
      <t>センニン</t>
    </rPh>
    <phoneticPr fontId="163"/>
  </si>
  <si>
    <t>条例</t>
    <rPh sb="0" eb="2">
      <t>ジョウレイ</t>
    </rPh>
    <phoneticPr fontId="8"/>
  </si>
  <si>
    <t>廃棄物管理責任者選任</t>
    <rPh sb="0" eb="2">
      <t>ハイキ</t>
    </rPh>
    <rPh sb="2" eb="3">
      <t>ブツ</t>
    </rPh>
    <rPh sb="3" eb="5">
      <t>カンリ</t>
    </rPh>
    <rPh sb="5" eb="7">
      <t>セキニン</t>
    </rPh>
    <rPh sb="7" eb="8">
      <t>シャ</t>
    </rPh>
    <rPh sb="8" eb="10">
      <t>センニン</t>
    </rPh>
    <phoneticPr fontId="163"/>
  </si>
  <si>
    <t>③定期管理業務スケジュール（法定以外）</t>
    <rPh sb="1" eb="3">
      <t>テイキ</t>
    </rPh>
    <rPh sb="3" eb="5">
      <t>カンリ</t>
    </rPh>
    <rPh sb="5" eb="7">
      <t>ギョウム</t>
    </rPh>
    <rPh sb="14" eb="16">
      <t>ホウテイ</t>
    </rPh>
    <rPh sb="16" eb="18">
      <t>イガイ</t>
    </rPh>
    <phoneticPr fontId="8"/>
  </si>
  <si>
    <t>建築</t>
    <phoneticPr fontId="8"/>
  </si>
  <si>
    <t>衛生</t>
    <rPh sb="0" eb="2">
      <t>エイセイ</t>
    </rPh>
    <phoneticPr fontId="163"/>
  </si>
  <si>
    <t>SCB(三菱電機ビルソリューションズ）</t>
    <rPh sb="4" eb="6">
      <t>ミツビシ</t>
    </rPh>
    <rPh sb="6" eb="8">
      <t>デンキ</t>
    </rPh>
    <phoneticPr fontId="8"/>
  </si>
  <si>
    <t>◆</t>
    <phoneticPr fontId="8"/>
  </si>
  <si>
    <t>〇</t>
    <phoneticPr fontId="8"/>
  </si>
  <si>
    <t>10月予定</t>
    <rPh sb="2" eb="3">
      <t>ツキ</t>
    </rPh>
    <rPh sb="3" eb="5">
      <t>ヨテイ</t>
    </rPh>
    <phoneticPr fontId="163"/>
  </si>
  <si>
    <t>■</t>
    <phoneticPr fontId="8"/>
  </si>
  <si>
    <t>空調設備</t>
    <rPh sb="0" eb="2">
      <t>クウチョウ</t>
    </rPh>
    <rPh sb="2" eb="4">
      <t>セツビ</t>
    </rPh>
    <phoneticPr fontId="8"/>
  </si>
  <si>
    <t>アロマディフューザー保守点検</t>
    <rPh sb="10" eb="12">
      <t>ホシュ</t>
    </rPh>
    <rPh sb="12" eb="14">
      <t>テンケン</t>
    </rPh>
    <phoneticPr fontId="8"/>
  </si>
  <si>
    <t>SCB(アットアロマ)</t>
    <phoneticPr fontId="8"/>
  </si>
  <si>
    <t>空調機保守点検</t>
    <rPh sb="0" eb="3">
      <t>クウチョウキ</t>
    </rPh>
    <rPh sb="3" eb="5">
      <t>ホシュ</t>
    </rPh>
    <rPh sb="5" eb="7">
      <t>テンケン</t>
    </rPh>
    <phoneticPr fontId="8"/>
  </si>
  <si>
    <t>SCB(ダイキンエアテクノ)</t>
    <phoneticPr fontId="8"/>
  </si>
  <si>
    <t>〇</t>
    <phoneticPr fontId="8"/>
  </si>
  <si>
    <t>空調機フィルター清掃</t>
    <phoneticPr fontId="8"/>
  </si>
  <si>
    <t>空調設備</t>
    <phoneticPr fontId="8"/>
  </si>
  <si>
    <t>良</t>
    <phoneticPr fontId="8"/>
  </si>
  <si>
    <t>建築設備</t>
  </si>
  <si>
    <t>西松建設</t>
    <phoneticPr fontId="8"/>
  </si>
  <si>
    <t>消防設備</t>
    <phoneticPr fontId="8"/>
  </si>
  <si>
    <t>西松建設（住友電設）</t>
    <phoneticPr fontId="8"/>
  </si>
  <si>
    <t>電気設備</t>
    <phoneticPr fontId="8"/>
  </si>
  <si>
    <t>INDUSTRIAL-X(ジオワークス)</t>
    <phoneticPr fontId="8"/>
  </si>
  <si>
    <t>INDUSTRIAL-X(日本コムシス)</t>
    <phoneticPr fontId="8"/>
  </si>
  <si>
    <t>マグマックス㈱</t>
    <phoneticPr fontId="8"/>
  </si>
  <si>
    <t>SCB(住友林業緑化)…植栽管理作業</t>
    <phoneticPr fontId="8"/>
  </si>
  <si>
    <t>関東電気保安協会…電気設備月次点検</t>
    <phoneticPr fontId="8"/>
  </si>
  <si>
    <t>SCB（シー・アイ・シー）…ホルムアルデヒド測定</t>
  </si>
  <si>
    <t>SCB（三峯産業）…ガラス清掃</t>
    <phoneticPr fontId="8"/>
  </si>
  <si>
    <t>建築設備</t>
    <rPh sb="0" eb="4">
      <t>ケンチクセツビ</t>
    </rPh>
    <phoneticPr fontId="8"/>
  </si>
  <si>
    <t>衛生設備</t>
    <rPh sb="0" eb="4">
      <t>エイセイセツビ</t>
    </rPh>
    <phoneticPr fontId="8"/>
  </si>
  <si>
    <t>良</t>
    <rPh sb="0" eb="1">
      <t>リョウ</t>
    </rPh>
    <phoneticPr fontId="8"/>
  </si>
  <si>
    <t>SCB（東京美装興業）</t>
    <rPh sb="4" eb="10">
      <t>トウキョウビソウコウギョウ</t>
    </rPh>
    <phoneticPr fontId="8"/>
  </si>
  <si>
    <t>2023/11/3</t>
  </si>
  <si>
    <t>2024/1/8</t>
  </si>
  <si>
    <t>SCB(東京美装)</t>
    <phoneticPr fontId="8"/>
  </si>
  <si>
    <t>電気設備</t>
    <rPh sb="0" eb="2">
      <t>デンキ</t>
    </rPh>
    <phoneticPr fontId="8"/>
  </si>
  <si>
    <t>電気設備月次点検</t>
    <rPh sb="0" eb="4">
      <t>デンキセツビ</t>
    </rPh>
    <rPh sb="4" eb="8">
      <t>ゲツジテンケン</t>
    </rPh>
    <phoneticPr fontId="8"/>
  </si>
  <si>
    <t>関東電気保安協会</t>
    <rPh sb="0" eb="8">
      <t>カントウデンキホアンキョウカイ</t>
    </rPh>
    <phoneticPr fontId="8"/>
  </si>
  <si>
    <t>ガラス清掃</t>
    <rPh sb="3" eb="5">
      <t>セイソウ</t>
    </rPh>
    <phoneticPr fontId="8"/>
  </si>
  <si>
    <t>自動扉定期点検</t>
    <rPh sb="0" eb="3">
      <t>ジドウトビラ</t>
    </rPh>
    <rPh sb="3" eb="7">
      <t>テイキテンケン</t>
    </rPh>
    <phoneticPr fontId="8"/>
  </si>
  <si>
    <t>SCB(フルテック)</t>
    <phoneticPr fontId="8"/>
  </si>
  <si>
    <t>ELV定期点検</t>
    <phoneticPr fontId="8"/>
  </si>
  <si>
    <t>SCB(三菱電機ビルソリューションズ)</t>
  </si>
  <si>
    <t>SCB(テラルテクノサービス)</t>
    <phoneticPr fontId="8"/>
  </si>
  <si>
    <t>消防設備</t>
    <rPh sb="0" eb="4">
      <t>ショウボウセツビ</t>
    </rPh>
    <phoneticPr fontId="8"/>
  </si>
  <si>
    <t>消防設備点検</t>
    <rPh sb="0" eb="6">
      <t>ショウボウセツビテンケン</t>
    </rPh>
    <phoneticPr fontId="8"/>
  </si>
  <si>
    <t>SCB(能美防災)</t>
    <rPh sb="4" eb="8">
      <t>ノウミボウサイ</t>
    </rPh>
    <phoneticPr fontId="8"/>
  </si>
  <si>
    <t>ﾚﾝｼﾞﾌｰﾄﾞ・IHヒーター清掃</t>
    <rPh sb="15" eb="17">
      <t>セイソウ</t>
    </rPh>
    <phoneticPr fontId="8"/>
  </si>
  <si>
    <t>【専用部】２、３、４、５，７、８、９、１０、１１階専用部清掃実施</t>
    <rPh sb="24" eb="25">
      <t>カイ</t>
    </rPh>
    <rPh sb="25" eb="27">
      <t>センヨウ</t>
    </rPh>
    <rPh sb="27" eb="28">
      <t>ブ</t>
    </rPh>
    <rPh sb="28" eb="30">
      <t>セイソウ</t>
    </rPh>
    <rPh sb="30" eb="32">
      <t>ジッシ</t>
    </rPh>
    <phoneticPr fontId="8"/>
  </si>
  <si>
    <t>メーター有効期限確認</t>
    <rPh sb="4" eb="10">
      <t>ユウコウキゲンカクニン</t>
    </rPh>
    <phoneticPr fontId="8"/>
  </si>
  <si>
    <t>電気検針、管理室機器外観点検、ITV設備点検</t>
    <phoneticPr fontId="8"/>
  </si>
  <si>
    <t>SCB(東京美装興業)…フィルター清掃</t>
    <phoneticPr fontId="8"/>
  </si>
  <si>
    <t>SCB(三峯産業)…共用部定期清掃</t>
    <rPh sb="4" eb="6">
      <t>ミツミネ</t>
    </rPh>
    <rPh sb="6" eb="8">
      <t>サンギョウ</t>
    </rPh>
    <phoneticPr fontId="8"/>
  </si>
  <si>
    <t>ITV設備点検</t>
    <rPh sb="3" eb="7">
      <t>セツビテンケン</t>
    </rPh>
    <phoneticPr fontId="8"/>
  </si>
  <si>
    <t>空調室外機点検</t>
    <rPh sb="0" eb="7">
      <t>クウチョウシツガイキテンケン</t>
    </rPh>
    <phoneticPr fontId="8"/>
  </si>
  <si>
    <t>水道検針</t>
    <rPh sb="0" eb="4">
      <t>スイドウケンシン</t>
    </rPh>
    <phoneticPr fontId="8"/>
  </si>
  <si>
    <t>空調室内機・全熱交換器点検</t>
    <rPh sb="0" eb="5">
      <t>クウチョウシツナイキ</t>
    </rPh>
    <rPh sb="6" eb="13">
      <t>ゼンネツコウカンキテンケン</t>
    </rPh>
    <phoneticPr fontId="8"/>
  </si>
  <si>
    <t>加圧ポンプ・ポンプ制御盤点検</t>
    <rPh sb="0" eb="2">
      <t>カアツ</t>
    </rPh>
    <rPh sb="9" eb="14">
      <t>セイギョバンテンケン</t>
    </rPh>
    <phoneticPr fontId="8"/>
  </si>
  <si>
    <t>監視装置点検</t>
    <rPh sb="0" eb="6">
      <t>カンシソウチテンケン</t>
    </rPh>
    <phoneticPr fontId="8"/>
  </si>
  <si>
    <t>水道メータ読み合せ</t>
    <rPh sb="0" eb="2">
      <t>スイドウ</t>
    </rPh>
    <rPh sb="5" eb="6">
      <t>ヨ</t>
    </rPh>
    <rPh sb="7" eb="8">
      <t>アワ</t>
    </rPh>
    <phoneticPr fontId="8"/>
  </si>
  <si>
    <t>ルーフドレイン点検及び清掃</t>
    <rPh sb="7" eb="10">
      <t>テンケンオヨ</t>
    </rPh>
    <rPh sb="11" eb="13">
      <t>セイソウ</t>
    </rPh>
    <phoneticPr fontId="8"/>
  </si>
  <si>
    <t>湧水・雨水貯留槽点検</t>
    <rPh sb="0" eb="2">
      <t>ユウスイ</t>
    </rPh>
    <rPh sb="3" eb="5">
      <t>ウスイ</t>
    </rPh>
    <rPh sb="5" eb="7">
      <t>チョリュウ</t>
    </rPh>
    <rPh sb="7" eb="8">
      <t>ソウ</t>
    </rPh>
    <rPh sb="8" eb="10">
      <t>テンケン</t>
    </rPh>
    <phoneticPr fontId="8"/>
  </si>
  <si>
    <t>SCB(フルテック)…自動扉点検</t>
    <phoneticPr fontId="8"/>
  </si>
  <si>
    <t>防火シャッター設備点検</t>
    <rPh sb="0" eb="2">
      <t>ボウカ</t>
    </rPh>
    <rPh sb="7" eb="11">
      <t>セツビテンケン</t>
    </rPh>
    <phoneticPr fontId="8"/>
  </si>
  <si>
    <t>電気検針</t>
    <rPh sb="0" eb="4">
      <t>デンキケンシン</t>
    </rPh>
    <phoneticPr fontId="8"/>
  </si>
  <si>
    <t>SCB(三菱電機ビルソリューションズ)…ELV定期点検</t>
    <rPh sb="4" eb="8">
      <t>ミツビシデンキ</t>
    </rPh>
    <rPh sb="23" eb="25">
      <t>テイキ</t>
    </rPh>
    <rPh sb="25" eb="27">
      <t>テンケン</t>
    </rPh>
    <phoneticPr fontId="8"/>
  </si>
  <si>
    <t>排煙窓・開放機装置点検</t>
    <rPh sb="0" eb="3">
      <t>ハイエンマド</t>
    </rPh>
    <rPh sb="4" eb="6">
      <t>カイホウ</t>
    </rPh>
    <rPh sb="6" eb="7">
      <t>キ</t>
    </rPh>
    <rPh sb="7" eb="9">
      <t>ソウチ</t>
    </rPh>
    <rPh sb="9" eb="11">
      <t>テンケン</t>
    </rPh>
    <phoneticPr fontId="8"/>
  </si>
  <si>
    <t>管理室機器外観点検</t>
    <rPh sb="0" eb="3">
      <t>カンリシツ</t>
    </rPh>
    <rPh sb="3" eb="5">
      <t>キキ</t>
    </rPh>
    <rPh sb="5" eb="7">
      <t>ガイカン</t>
    </rPh>
    <rPh sb="7" eb="9">
      <t>テンケン</t>
    </rPh>
    <phoneticPr fontId="8"/>
  </si>
  <si>
    <t>SCB(アットアロマ)…アロマデフューザー点検</t>
    <rPh sb="21" eb="23">
      <t>テンケン</t>
    </rPh>
    <phoneticPr fontId="8"/>
  </si>
  <si>
    <t>弱電盤点検</t>
    <phoneticPr fontId="8"/>
  </si>
  <si>
    <t>トイレ・給湯設備点検</t>
    <rPh sb="4" eb="10">
      <t>キュウトウセツビテンケン</t>
    </rPh>
    <phoneticPr fontId="8"/>
  </si>
  <si>
    <t>SCB（ビューロベリタスジャパン）…消防設備点検</t>
    <rPh sb="18" eb="24">
      <t>ショウボウセツビテンケン</t>
    </rPh>
    <phoneticPr fontId="8"/>
  </si>
  <si>
    <t>ダイキン…空調機保守点検</t>
    <rPh sb="5" eb="12">
      <t>クウチョウキホシュテンケン</t>
    </rPh>
    <phoneticPr fontId="8"/>
  </si>
  <si>
    <t>メーター読み合わせ</t>
    <phoneticPr fontId="8"/>
  </si>
  <si>
    <t>メーター有効期限確認</t>
    <phoneticPr fontId="8"/>
  </si>
  <si>
    <t>SCB（ビューロベリタスジャパン）…建築設備定期検査</t>
    <rPh sb="18" eb="22">
      <t>ケンチクセツビ</t>
    </rPh>
    <rPh sb="22" eb="26">
      <t>テイキケンサ</t>
    </rPh>
    <phoneticPr fontId="8"/>
  </si>
  <si>
    <t>加湿給水ポンプ点検</t>
    <rPh sb="0" eb="4">
      <t>カシツキュウスイ</t>
    </rPh>
    <rPh sb="7" eb="9">
      <t>テンケン</t>
    </rPh>
    <phoneticPr fontId="8"/>
  </si>
  <si>
    <t>SCB（ビューロベリタスジャパン）…防火設備定期検査</t>
    <rPh sb="18" eb="20">
      <t>ショウボウ</t>
    </rPh>
    <rPh sb="20" eb="22">
      <t>セツビ</t>
    </rPh>
    <rPh sb="22" eb="24">
      <t>テンケン</t>
    </rPh>
    <phoneticPr fontId="8"/>
  </si>
  <si>
    <t>散水設備点検</t>
    <phoneticPr fontId="8"/>
  </si>
  <si>
    <t>SCB(三峯産業)…ﾚﾝｼﾞﾌｰﾄﾞ・IHヒーター清掃</t>
    <phoneticPr fontId="8"/>
  </si>
  <si>
    <t>自動扉点検</t>
    <phoneticPr fontId="8"/>
  </si>
  <si>
    <t>加湿器点検</t>
    <rPh sb="0" eb="5">
      <t>カシツキテンケン</t>
    </rPh>
    <phoneticPr fontId="8"/>
  </si>
  <si>
    <t>加湿器停止</t>
    <rPh sb="0" eb="5">
      <t>カシツキテイシ</t>
    </rPh>
    <phoneticPr fontId="8"/>
  </si>
  <si>
    <t>防犯</t>
    <rPh sb="0" eb="2">
      <t>ボウハン</t>
    </rPh>
    <phoneticPr fontId="8"/>
  </si>
  <si>
    <t>特に報告事項はございません。</t>
    <phoneticPr fontId="8"/>
  </si>
  <si>
    <t>●エアネット監視　　※現地点検</t>
    <rPh sb="11" eb="15">
      <t>ゲンチテンケン</t>
    </rPh>
    <phoneticPr fontId="163"/>
  </si>
  <si>
    <t>SCB（ビューロベリタスジャパン</t>
  </si>
  <si>
    <t>建築設備定期検査</t>
  </si>
  <si>
    <t>防火設備定期検査</t>
  </si>
  <si>
    <t>SCB（ビューロベリタスジャパン</t>
    <phoneticPr fontId="8"/>
  </si>
  <si>
    <t>2023年度　年間管理作業予定・実績表（保守業務）</t>
    <rPh sb="4" eb="6">
      <t>ネンド</t>
    </rPh>
    <rPh sb="5" eb="7">
      <t>ネンカン</t>
    </rPh>
    <rPh sb="7" eb="9">
      <t>カンリ</t>
    </rPh>
    <rPh sb="9" eb="11">
      <t>サギョウ</t>
    </rPh>
    <rPh sb="11" eb="13">
      <t>ヨテイ</t>
    </rPh>
    <rPh sb="14" eb="16">
      <t>ジッセキ</t>
    </rPh>
    <rPh sb="18" eb="20">
      <t>ホシュ</t>
    </rPh>
    <rPh sb="20" eb="22">
      <t>ギョウム</t>
    </rPh>
    <phoneticPr fontId="8"/>
  </si>
  <si>
    <t>24年１月</t>
    <rPh sb="2" eb="3">
      <t>ネン</t>
    </rPh>
    <phoneticPr fontId="8"/>
  </si>
  <si>
    <t>（愛宕山ＰＲＥＸ）　2023年度　管理業務スケジュール表</t>
    <rPh sb="1" eb="8">
      <t>アタゴヤマpレx</t>
    </rPh>
    <rPh sb="14" eb="16">
      <t>ネンド</t>
    </rPh>
    <rPh sb="17" eb="19">
      <t>カンリ</t>
    </rPh>
    <rPh sb="19" eb="21">
      <t>ギョウム</t>
    </rPh>
    <rPh sb="27" eb="28">
      <t>ヒョウ</t>
    </rPh>
    <phoneticPr fontId="8"/>
  </si>
  <si>
    <t>4</t>
    <phoneticPr fontId="8"/>
  </si>
  <si>
    <t>22</t>
    <phoneticPr fontId="8"/>
  </si>
  <si>
    <t>28</t>
    <phoneticPr fontId="8"/>
  </si>
  <si>
    <t>23</t>
    <phoneticPr fontId="8"/>
  </si>
  <si>
    <t>○</t>
    <phoneticPr fontId="8"/>
  </si>
  <si>
    <t>●</t>
    <phoneticPr fontId="8"/>
  </si>
  <si>
    <t>13</t>
    <phoneticPr fontId="8"/>
  </si>
  <si>
    <t>18</t>
    <phoneticPr fontId="8"/>
  </si>
  <si>
    <t>◯</t>
    <phoneticPr fontId="8"/>
  </si>
  <si>
    <t>◯</t>
    <phoneticPr fontId="163"/>
  </si>
  <si>
    <t>防犯</t>
    <rPh sb="0" eb="2">
      <t>ボウハン</t>
    </rPh>
    <phoneticPr fontId="8"/>
  </si>
  <si>
    <t>原因特定ならず。CSPにて復旧</t>
    <rPh sb="0" eb="4">
      <t>ゲンイントクテイ</t>
    </rPh>
    <rPh sb="13" eb="15">
      <t>フッキュウ</t>
    </rPh>
    <phoneticPr fontId="8"/>
  </si>
  <si>
    <t>済</t>
    <rPh sb="0" eb="1">
      <t>ス</t>
    </rPh>
    <phoneticPr fontId="8"/>
  </si>
  <si>
    <t>7F屋外階段にて電気錠異常発報。CSP臨時出動。</t>
    <rPh sb="2" eb="6">
      <t>オクガイカイダン</t>
    </rPh>
    <rPh sb="8" eb="15">
      <t>デンキジョウイジョウハッポウ</t>
    </rPh>
    <rPh sb="19" eb="23">
      <t>リンジシュツドウ</t>
    </rPh>
    <phoneticPr fontId="8"/>
  </si>
  <si>
    <t>建築設備</t>
    <rPh sb="0" eb="4">
      <t>ケンチクセツビ</t>
    </rPh>
    <phoneticPr fontId="8"/>
  </si>
  <si>
    <t>11Fガラス交換</t>
    <rPh sb="5" eb="7">
      <t>コウカン</t>
    </rPh>
    <phoneticPr fontId="8"/>
  </si>
  <si>
    <t>西松建設</t>
    <rPh sb="0" eb="4">
      <t>ニシマツケンセツ</t>
    </rPh>
    <phoneticPr fontId="8"/>
  </si>
  <si>
    <t>4/28の消防設備点検にて、9F消火栓に設置されたパネルにより、視認障害の指摘がされております。</t>
    <rPh sb="5" eb="11">
      <t>ショウボウセツビテンケン</t>
    </rPh>
    <rPh sb="16" eb="19">
      <t>ショウカセン</t>
    </rPh>
    <rPh sb="20" eb="22">
      <t>セッチ</t>
    </rPh>
    <rPh sb="32" eb="36">
      <t>シニンショウガイ</t>
    </rPh>
    <rPh sb="37" eb="39">
      <t>シテキ</t>
    </rPh>
    <phoneticPr fontId="8"/>
  </si>
  <si>
    <t>SCB(三峯産業)…共用部定期清掃</t>
    <phoneticPr fontId="8"/>
  </si>
  <si>
    <t>最大需要電力（デマンド値）に関しまして、先月より約25％減（29.4Kwh減）と記録されております。使用電力量としましては約10%減(2,383Kwh減)で推移しております。</t>
    <rPh sb="0" eb="6">
      <t>サイダイジュヨウデンリョク</t>
    </rPh>
    <rPh sb="11" eb="12">
      <t>チ</t>
    </rPh>
    <rPh sb="14" eb="15">
      <t>カン</t>
    </rPh>
    <rPh sb="20" eb="22">
      <t>センゲツ</t>
    </rPh>
    <rPh sb="24" eb="25">
      <t>ヤク</t>
    </rPh>
    <rPh sb="28" eb="29">
      <t>ゲン</t>
    </rPh>
    <rPh sb="37" eb="38">
      <t>ゲン</t>
    </rPh>
    <rPh sb="40" eb="42">
      <t>キロク</t>
    </rPh>
    <rPh sb="50" eb="52">
      <t>シヨウ</t>
    </rPh>
    <rPh sb="52" eb="55">
      <t>デンリョクリョウ</t>
    </rPh>
    <rPh sb="61" eb="62">
      <t>ヤク</t>
    </rPh>
    <rPh sb="65" eb="66">
      <t>ゲン</t>
    </rPh>
    <rPh sb="75" eb="76">
      <t>ゲン</t>
    </rPh>
    <rPh sb="78" eb="80">
      <t>スイイ</t>
    </rPh>
    <phoneticPr fontId="8"/>
  </si>
  <si>
    <t>8</t>
    <phoneticPr fontId="8"/>
  </si>
  <si>
    <t>SCB（三菱電機ビルソリューションズ）</t>
    <rPh sb="4" eb="6">
      <t>ミツビシ</t>
    </rPh>
    <rPh sb="6" eb="8">
      <t>デンキ</t>
    </rPh>
    <phoneticPr fontId="8"/>
  </si>
  <si>
    <t>2)</t>
    <phoneticPr fontId="8"/>
  </si>
  <si>
    <t>4/22に、西松建設株式会社様にて、11Fのガラス交換を実施し、復旧して頂きました。 交換したガラスは、現在 原因調査中となっております。</t>
    <rPh sb="6" eb="10">
      <t>ニシマツケンセツ</t>
    </rPh>
    <rPh sb="10" eb="14">
      <t>カブシキガイシャ</t>
    </rPh>
    <rPh sb="14" eb="15">
      <t>サマ</t>
    </rPh>
    <rPh sb="25" eb="27">
      <t>コウカン</t>
    </rPh>
    <rPh sb="28" eb="30">
      <t>ジッシ</t>
    </rPh>
    <rPh sb="32" eb="34">
      <t>フッキュウ</t>
    </rPh>
    <rPh sb="36" eb="37">
      <t>イタダ</t>
    </rPh>
    <rPh sb="43" eb="45">
      <t>コウカン</t>
    </rPh>
    <rPh sb="52" eb="54">
      <t>ゲンザイ</t>
    </rPh>
    <rPh sb="55" eb="57">
      <t>ゲンイン</t>
    </rPh>
    <rPh sb="57" eb="59">
      <t>チョウサ</t>
    </rPh>
    <rPh sb="59" eb="60">
      <t>チュウ</t>
    </rPh>
    <phoneticPr fontId="8"/>
  </si>
  <si>
    <t>祝祭日</t>
    <rPh sb="0" eb="3">
      <t>シュクサイジツ</t>
    </rPh>
    <phoneticPr fontId="8"/>
  </si>
  <si>
    <t>ガラス清掃</t>
    <phoneticPr fontId="8"/>
  </si>
  <si>
    <t>フィルター清掃</t>
    <phoneticPr fontId="8"/>
  </si>
  <si>
    <t>ELV定期</t>
    <phoneticPr fontId="8"/>
  </si>
  <si>
    <t>kokoro</t>
    <phoneticPr fontId="8"/>
  </si>
  <si>
    <t>消防設備点検</t>
    <phoneticPr fontId="8"/>
  </si>
  <si>
    <t>アロマ</t>
    <phoneticPr fontId="8"/>
  </si>
  <si>
    <t>定期清掃</t>
    <phoneticPr fontId="8"/>
  </si>
  <si>
    <t>空調</t>
    <phoneticPr fontId="8"/>
  </si>
  <si>
    <t>IHヒーター</t>
    <phoneticPr fontId="8"/>
  </si>
  <si>
    <t>エレベーター</t>
    <phoneticPr fontId="8"/>
  </si>
  <si>
    <t>植栽管理</t>
    <rPh sb="0" eb="4">
      <t>ショクサイカンリ</t>
    </rPh>
    <phoneticPr fontId="8"/>
  </si>
  <si>
    <t>月</t>
  </si>
  <si>
    <t>火</t>
  </si>
  <si>
    <t>水</t>
  </si>
  <si>
    <t>木</t>
  </si>
  <si>
    <t>金</t>
  </si>
  <si>
    <t>土</t>
  </si>
  <si>
    <t>良</t>
  </si>
  <si>
    <t>1階だれでもトイレ定期清掃、屋外階段清掃</t>
  </si>
  <si>
    <t>業者作業　転写用キーワード表</t>
    <rPh sb="0" eb="2">
      <t>ギョウシャ</t>
    </rPh>
    <rPh sb="2" eb="4">
      <t>サギョウ</t>
    </rPh>
    <rPh sb="5" eb="7">
      <t>テンシャ</t>
    </rPh>
    <rPh sb="7" eb="8">
      <t>ヨウ</t>
    </rPh>
    <rPh sb="13" eb="14">
      <t>ヒョウ</t>
    </rPh>
    <phoneticPr fontId="8"/>
  </si>
  <si>
    <t>アロマディフューザー保守点検</t>
    <phoneticPr fontId="8"/>
  </si>
  <si>
    <t>SCB(アットアロマ)</t>
  </si>
  <si>
    <t>共用部定期清掃</t>
    <phoneticPr fontId="8"/>
  </si>
  <si>
    <t>SCB(三峯産業)</t>
  </si>
  <si>
    <t>空調機フィルター清掃</t>
    <phoneticPr fontId="8"/>
  </si>
  <si>
    <t>空調設備</t>
    <phoneticPr fontId="8"/>
  </si>
  <si>
    <t>良</t>
    <phoneticPr fontId="8"/>
  </si>
  <si>
    <t>SCB(東京美装)</t>
    <phoneticPr fontId="8"/>
  </si>
  <si>
    <t>植栽管理</t>
    <phoneticPr fontId="8"/>
  </si>
  <si>
    <t>SCB(住友林業緑化)</t>
  </si>
  <si>
    <t>電気検針、管理室機器外観点検、ITV設備点検</t>
  </si>
  <si>
    <t>水道検針、加圧ポンプ・ポンプ制御盤点検</t>
  </si>
  <si>
    <t>11F屋外階段にて電気錠異常発報。CSP臨時出動</t>
    <rPh sb="3" eb="7">
      <t>オクガイカイダン</t>
    </rPh>
    <rPh sb="9" eb="16">
      <t>デンキジョウイジョウハッポウ</t>
    </rPh>
    <rPh sb="20" eb="24">
      <t>リンジシュツドウ</t>
    </rPh>
    <phoneticPr fontId="8"/>
  </si>
  <si>
    <t>4F屋外階段にて電気錠異常発報。CSP臨時出動</t>
    <rPh sb="2" eb="6">
      <t>オクガイカイダン</t>
    </rPh>
    <rPh sb="8" eb="15">
      <t>デンキジョウイジョウハッポウ</t>
    </rPh>
    <rPh sb="19" eb="23">
      <t>リンジシュツドウ</t>
    </rPh>
    <phoneticPr fontId="8"/>
  </si>
  <si>
    <t>千葉県南部を震源とする震度5強地震発生による臨時建物点検</t>
    <rPh sb="0" eb="5">
      <t>チバケンナンブ</t>
    </rPh>
    <rPh sb="6" eb="8">
      <t>シンゲン</t>
    </rPh>
    <rPh sb="11" eb="13">
      <t>シンド</t>
    </rPh>
    <rPh sb="14" eb="15">
      <t>キョウ</t>
    </rPh>
    <rPh sb="15" eb="19">
      <t>ジシンハッセイ</t>
    </rPh>
    <rPh sb="22" eb="24">
      <t>リンジ</t>
    </rPh>
    <rPh sb="24" eb="28">
      <t>タテモノテンケン</t>
    </rPh>
    <phoneticPr fontId="8"/>
  </si>
  <si>
    <t>臨時建物点検※１</t>
    <rPh sb="0" eb="6">
      <t>リンジタテモノテンケン</t>
    </rPh>
    <phoneticPr fontId="8"/>
  </si>
  <si>
    <t>ルーフドレイン点検及び清掃</t>
    <phoneticPr fontId="8"/>
  </si>
  <si>
    <t>加圧ポンプ・ポンプ制御盤点検、湧水・雨水貯留槽点検</t>
    <phoneticPr fontId="8"/>
  </si>
  <si>
    <t>SCB(三菱電機ビルソリューションズ)…ELV定期点検</t>
    <phoneticPr fontId="8"/>
  </si>
  <si>
    <t>水道検針</t>
    <phoneticPr fontId="8"/>
  </si>
  <si>
    <t>9</t>
    <phoneticPr fontId="8"/>
  </si>
  <si>
    <t>17</t>
    <phoneticPr fontId="8"/>
  </si>
  <si>
    <t>28</t>
    <phoneticPr fontId="8"/>
  </si>
  <si>
    <t>13</t>
    <phoneticPr fontId="8"/>
  </si>
  <si>
    <t>電気検針</t>
    <rPh sb="0" eb="2">
      <t>デンキ</t>
    </rPh>
    <rPh sb="2" eb="4">
      <t>ケンシン</t>
    </rPh>
    <phoneticPr fontId="8"/>
  </si>
  <si>
    <t>18</t>
    <phoneticPr fontId="8"/>
  </si>
</sst>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1">
    <numFmt numFmtId="6" formatCode="&quot;¥&quot;#,##0;[Red]&quot;¥&quot;\-#,##0"/>
    <numFmt numFmtId="176" formatCode="0.0%"/>
    <numFmt numFmtId="177" formatCode="m/d"/>
    <numFmt numFmtId="178" formatCode="#,##0&quot;m3&quot;"/>
    <numFmt numFmtId="179" formatCode="yyyy&quot;年&quot;m&quot;月度&quot;"/>
    <numFmt numFmtId="180" formatCode="m/d;@"/>
    <numFmt numFmtId="181" formatCode="#,##0&quot;ｋWh&quot;"/>
    <numFmt numFmtId="182" formatCode="#,##0&quot;kWh&quot;"/>
    <numFmt numFmtId="183" formatCode="[$-411]ddd"/>
    <numFmt numFmtId="184" formatCode="#,##0;\-#,##0;&quot;-&quot;"/>
    <numFmt numFmtId="185" formatCode="0.00_)"/>
    <numFmt numFmtId="186" formatCode="0.000"/>
    <numFmt numFmtId="187" formatCode="#,##0.0&quot;ｋW&quot;"/>
    <numFmt numFmtId="188" formatCode="0&quot;月度 月報&quot;"/>
    <numFmt numFmtId="189" formatCode=";;;"/>
    <numFmt numFmtId="190" formatCode="0.000000000"/>
    <numFmt numFmtId="191" formatCode="#,##0.0_);\(#,##0.0\)"/>
    <numFmt numFmtId="192" formatCode="&quot;¥&quot;_(#,##0.00_);&quot;¥&quot;\(#,##0.00\)"/>
    <numFmt numFmtId="193" formatCode="#,##0.0_)\x;\(#,##0.0\)\x"/>
    <numFmt numFmtId="194" formatCode="#,##0.0_)_x;\(#,##0.0\)_x"/>
    <numFmt numFmtId="195" formatCode="0.0_)\%;\(0.0\)\%"/>
    <numFmt numFmtId="196" formatCode="#,##0.0_)_%;\(#,##0.0\)_%"/>
    <numFmt numFmtId="197" formatCode="m/yy"/>
    <numFmt numFmtId="198" formatCode="mm/dd"/>
    <numFmt numFmtId="199" formatCode="000"/>
    <numFmt numFmtId="200" formatCode="&quot;$&quot;#,##0.000"/>
    <numFmt numFmtId="201" formatCode="_(* #,##0.0_);_(* \(#,##0.0\);_(* &quot;-&quot;?_);_(@_)"/>
    <numFmt numFmtId="202" formatCode="000000000"/>
    <numFmt numFmtId="203" formatCode="0.00_);[Red]\(0.00\)"/>
    <numFmt numFmtId="204" formatCode="_(* #,##0.0000_);_(* \(#,##0.0000\);_(* &quot;-&quot;??_);_(@_)"/>
    <numFmt numFmtId="205" formatCode="dd\-mmm\-yy_)"/>
    <numFmt numFmtId="206" formatCode="_(* #,##0_);_(* \(#,##0\);_(* &quot;-&quot;_);_(@_)"/>
    <numFmt numFmtId="207" formatCode="&quot;$&quot;#,##0_);\(&quot;$&quot;#,##0\)"/>
    <numFmt numFmtId="208" formatCode="&quot;$&quot;#,##0.0_);\(&quot;$&quot;#,##0.0\)"/>
    <numFmt numFmtId="209" formatCode="&quot;¥&quot;#,##0_);\(&quot;¥&quot;#,##0\)"/>
    <numFmt numFmtId="210" formatCode="_-&quot;｣&quot;* #,##0_-;\-&quot;｣&quot;* #,##0_-;_-&quot;｣&quot;* &quot;-&quot;_-;_-@_-"/>
    <numFmt numFmtId="211" formatCode="_-&quot;｣&quot;* #,##0.00_-;\-&quot;｣&quot;* #,##0.00_-;_-&quot;｣&quot;* &quot;-&quot;??_-;_-@_-"/>
    <numFmt numFmtId="212" formatCode="_(&quot;$&quot;* #,##0.00_);_(&quot;$&quot;* \(#,##0.00\);_(&quot;$&quot;* &quot;-&quot;??_);_(@_)"/>
    <numFmt numFmtId="213" formatCode="m/d/yyyy\ \ h:mm\ AM/PM"/>
    <numFmt numFmtId="214" formatCode="&quot;$&quot;#,##0.00"/>
    <numFmt numFmtId="215" formatCode="mm/yyyy"/>
    <numFmt numFmtId="216" formatCode="_(* #,##0.00\ \x_);_(* \(#,##0.00\ \x\);_(* &quot;-&quot;??_);_(@_)"/>
    <numFmt numFmtId="217" formatCode="_(* #,##0\ \x_);_(* \(#,##0\ \x\);_(* &quot;-&quot;??_);_(@_)"/>
    <numFmt numFmtId="218" formatCode="_(* #,##0.0\ \x_);_(* \(#,##0.0\ \x\);_(* &quot;-&quot;??_);_(@_)"/>
    <numFmt numFmtId="219" formatCode="[&lt;=9999999]###\-####;\(###\)\ ###\-####"/>
    <numFmt numFmtId="220" formatCode="0.000_ "/>
    <numFmt numFmtId="221" formatCode="yyyy&quot;年&quot;m&quot;月&quot;d&quot;日&quot;;@"/>
    <numFmt numFmtId="222" formatCode="yyyy/m"/>
    <numFmt numFmtId="223" formatCode="#,##0.00&quot;㎡&quot;_ "/>
    <numFmt numFmtId="224" formatCode="0&quot;階&quot;_ "/>
    <numFmt numFmtId="225" formatCode="#,##0&quot;m&quot;_ "/>
    <numFmt numFmtId="226" formatCode="#,##0&quot;kl/年&quot;"/>
    <numFmt numFmtId="227" formatCode="yyyy&quot;年&quot;m&quot;月&quot;;@"/>
    <numFmt numFmtId="228" formatCode="0.000%"/>
    <numFmt numFmtId="229" formatCode="#,##0.0_ "/>
    <numFmt numFmtId="230" formatCode="#&quot;年&quot;"/>
    <numFmt numFmtId="231" formatCode="??&quot;月&quot;"/>
    <numFmt numFmtId="232" formatCode="d"/>
    <numFmt numFmtId="233" formatCode="aaa"/>
    <numFmt numFmtId="234" formatCode="m&quot;月度 月報&quot;"/>
    <numFmt numFmtId="235" formatCode="&quot;《&quot;\ m&quot; 月　度　所　見　》&quot;"/>
  </numFmts>
  <fonts count="186">
    <font>
      <sz val="11"/>
      <name val="ＭＳ Ｐゴシック"/>
      <family val="3"/>
      <charset val="128"/>
    </font>
    <font>
      <sz val="11"/>
      <color theme="1"/>
      <name val="ＭＳ Ｐゴシック"/>
      <family val="2"/>
      <charset val="128"/>
      <scheme val="minor"/>
    </font>
    <font>
      <sz val="11"/>
      <color theme="1"/>
      <name val="ＭＳ Ｐゴシック"/>
      <family val="2"/>
      <charset val="128"/>
      <scheme val="minor"/>
    </font>
    <font>
      <sz val="11"/>
      <name val="ＭＳ Ｐゴシック"/>
      <family val="3"/>
      <charset val="128"/>
    </font>
    <font>
      <b/>
      <i/>
      <sz val="11"/>
      <name val="ＭＳ Ｐゴシック"/>
      <family val="3"/>
      <charset val="128"/>
    </font>
    <font>
      <sz val="12"/>
      <name val="ＭＳ Ｐゴシック"/>
      <family val="3"/>
      <charset val="128"/>
    </font>
    <font>
      <sz val="10"/>
      <name val="ＭＳ Ｐゴシック"/>
      <family val="3"/>
      <charset val="128"/>
    </font>
    <font>
      <b/>
      <sz val="14"/>
      <name val="ＭＳ Ｐゴシック"/>
      <family val="3"/>
      <charset val="128"/>
    </font>
    <font>
      <sz val="6"/>
      <name val="ＭＳ Ｐゴシック"/>
      <family val="3"/>
      <charset val="128"/>
    </font>
    <font>
      <b/>
      <i/>
      <sz val="20"/>
      <name val="ＭＳ Ｐゴシック"/>
      <family val="3"/>
      <charset val="128"/>
    </font>
    <font>
      <sz val="11"/>
      <name val="ＭＳ Ｐゴシック"/>
      <family val="3"/>
      <charset val="128"/>
    </font>
    <font>
      <b/>
      <sz val="20"/>
      <name val="ＭＳ Ｐゴシック"/>
      <family val="3"/>
      <charset val="128"/>
    </font>
    <font>
      <sz val="16"/>
      <name val="ＭＳ Ｐゴシック"/>
      <family val="3"/>
      <charset val="128"/>
    </font>
    <font>
      <b/>
      <sz val="11"/>
      <name val="ＭＳ Ｐゴシック"/>
      <family val="3"/>
      <charset val="128"/>
    </font>
    <font>
      <sz val="14"/>
      <name val="ＭＳ Ｐゴシック"/>
      <family val="3"/>
      <charset val="128"/>
    </font>
    <font>
      <b/>
      <sz val="10"/>
      <name val="ＭＳ Ｐゴシック"/>
      <family val="3"/>
      <charset val="128"/>
    </font>
    <font>
      <b/>
      <sz val="12"/>
      <name val="ＭＳ Ｐゴシック"/>
      <family val="3"/>
      <charset val="128"/>
    </font>
    <font>
      <b/>
      <sz val="9"/>
      <color indexed="81"/>
      <name val="ＭＳ Ｐゴシック"/>
      <family val="3"/>
      <charset val="128"/>
    </font>
    <font>
      <sz val="9"/>
      <color indexed="81"/>
      <name val="ＭＳ Ｐゴシック"/>
      <family val="3"/>
      <charset val="128"/>
    </font>
    <font>
      <b/>
      <sz val="9"/>
      <color indexed="10"/>
      <name val="ＭＳ Ｐゴシック"/>
      <family val="3"/>
      <charset val="128"/>
    </font>
    <font>
      <b/>
      <sz val="9"/>
      <color indexed="12"/>
      <name val="ＭＳ Ｐゴシック"/>
      <family val="3"/>
      <charset val="128"/>
    </font>
    <font>
      <b/>
      <sz val="10"/>
      <color indexed="12"/>
      <name val="ＭＳ Ｐゴシック"/>
      <family val="3"/>
      <charset val="128"/>
    </font>
    <font>
      <b/>
      <sz val="10"/>
      <color indexed="81"/>
      <name val="ＭＳ Ｐゴシック"/>
      <family val="3"/>
      <charset val="128"/>
    </font>
    <font>
      <b/>
      <sz val="10"/>
      <color indexed="10"/>
      <name val="ＭＳ Ｐゴシック"/>
      <family val="3"/>
      <charset val="128"/>
    </font>
    <font>
      <sz val="18"/>
      <name val="ＭＳ Ｐゴシック"/>
      <family val="3"/>
      <charset val="128"/>
    </font>
    <font>
      <b/>
      <sz val="24"/>
      <name val="ＭＳ Ｐゴシック"/>
      <family val="3"/>
      <charset val="128"/>
    </font>
    <font>
      <b/>
      <sz val="18"/>
      <color indexed="10"/>
      <name val="ＭＳ Ｐゴシック"/>
      <family val="3"/>
      <charset val="128"/>
    </font>
    <font>
      <sz val="11"/>
      <name val="ＭＳ 明朝"/>
      <family val="1"/>
      <charset val="128"/>
    </font>
    <font>
      <sz val="12"/>
      <name val="ＭＳ 明朝"/>
      <family val="1"/>
      <charset val="128"/>
    </font>
    <font>
      <sz val="14"/>
      <name val="ＭＳ 明朝"/>
      <family val="1"/>
      <charset val="128"/>
    </font>
    <font>
      <sz val="12"/>
      <name val="ＭＳ Ｐ明朝"/>
      <family val="1"/>
      <charset val="128"/>
    </font>
    <font>
      <sz val="10"/>
      <color theme="1"/>
      <name val="ＭＳ Ｐゴシック"/>
      <family val="3"/>
      <charset val="128"/>
    </font>
    <font>
      <sz val="16"/>
      <name val="ＭＳ ゴシック"/>
      <family val="3"/>
      <charset val="128"/>
    </font>
    <font>
      <sz val="10"/>
      <color rgb="FFFF0000"/>
      <name val="ＭＳ Ｐゴシック"/>
      <family val="3"/>
      <charset val="128"/>
    </font>
    <font>
      <b/>
      <sz val="18"/>
      <color indexed="8"/>
      <name val="ＭＳ Ｐゴシック"/>
      <family val="3"/>
      <charset val="128"/>
    </font>
    <font>
      <b/>
      <sz val="18"/>
      <name val="ＭＳ Ｐゴシック"/>
      <family val="3"/>
      <charset val="128"/>
    </font>
    <font>
      <sz val="10"/>
      <color indexed="8"/>
      <name val="Arial"/>
      <family val="2"/>
    </font>
    <font>
      <sz val="8"/>
      <name val="Arial"/>
      <family val="2"/>
    </font>
    <font>
      <b/>
      <sz val="12"/>
      <name val="Arial"/>
      <family val="2"/>
    </font>
    <font>
      <sz val="10"/>
      <name val="Times New Roman"/>
      <family val="1"/>
    </font>
    <font>
      <b/>
      <sz val="10"/>
      <name val="Times New Roman"/>
      <family val="1"/>
    </font>
    <font>
      <b/>
      <i/>
      <sz val="16"/>
      <name val="Helv"/>
      <family val="2"/>
    </font>
    <font>
      <sz val="10"/>
      <name val="Arial"/>
      <family val="2"/>
    </font>
    <font>
      <b/>
      <sz val="10"/>
      <name val="Arial"/>
      <family val="2"/>
    </font>
    <font>
      <sz val="11"/>
      <color theme="1"/>
      <name val="ＭＳ Ｐゴシック"/>
      <family val="3"/>
      <charset val="128"/>
      <scheme val="minor"/>
    </font>
    <font>
      <sz val="11"/>
      <color indexed="8"/>
      <name val="ＭＳ Ｐゴシック"/>
      <family val="3"/>
      <charset val="128"/>
    </font>
    <font>
      <sz val="11"/>
      <color indexed="20"/>
      <name val="ＭＳ Ｐゴシック"/>
      <family val="3"/>
      <charset val="128"/>
    </font>
    <font>
      <b/>
      <sz val="25.6"/>
      <color rgb="FF333333"/>
      <name val="ＭＳ Ｐゴシック"/>
      <family val="3"/>
      <charset val="128"/>
    </font>
    <font>
      <b/>
      <sz val="12"/>
      <color indexed="81"/>
      <name val="ＭＳ Ｐゴシック"/>
      <family val="3"/>
      <charset val="128"/>
    </font>
    <font>
      <sz val="12"/>
      <color indexed="81"/>
      <name val="ＭＳ Ｐゴシック"/>
      <family val="3"/>
      <charset val="128"/>
    </font>
    <font>
      <sz val="10"/>
      <name val="ＭＳ Ｐゴシック"/>
      <family val="3"/>
      <charset val="128"/>
      <scheme val="minor"/>
    </font>
    <font>
      <b/>
      <sz val="18"/>
      <color indexed="21"/>
      <name val="ＭＳ Ｐゴシック"/>
      <family val="3"/>
      <charset val="128"/>
    </font>
    <font>
      <sz val="14"/>
      <name val="ＭＳ Ｐ明朝"/>
      <family val="1"/>
      <charset val="128"/>
    </font>
    <font>
      <sz val="12"/>
      <color indexed="10"/>
      <name val="ＭＳ Ｐゴシック"/>
      <family val="3"/>
      <charset val="128"/>
    </font>
    <font>
      <b/>
      <sz val="16"/>
      <name val="ＭＳ Ｐゴシック"/>
      <family val="3"/>
      <charset val="128"/>
      <scheme val="major"/>
    </font>
    <font>
      <b/>
      <sz val="12"/>
      <name val="HG丸ｺﾞｼｯｸM-PRO"/>
      <family val="3"/>
      <charset val="128"/>
    </font>
    <font>
      <sz val="12"/>
      <color indexed="48"/>
      <name val="ＭＳ Ｐゴシック"/>
      <family val="3"/>
      <charset val="128"/>
    </font>
    <font>
      <sz val="11"/>
      <name val="ＭＳ ゴシック"/>
      <family val="3"/>
      <charset val="128"/>
    </font>
    <font>
      <sz val="11"/>
      <name val="??"/>
      <family val="1"/>
    </font>
    <font>
      <sz val="11"/>
      <name val="?? ?????"/>
      <family val="3"/>
    </font>
    <font>
      <sz val="14"/>
      <name val="?? ??"/>
      <family val="1"/>
    </font>
    <font>
      <u/>
      <sz val="8.4"/>
      <color indexed="12"/>
      <name val="Arial"/>
      <family val="2"/>
    </font>
    <font>
      <sz val="12"/>
      <name val="Arial"/>
      <family val="2"/>
    </font>
    <font>
      <sz val="11"/>
      <name val="?l?r ?o?S?V?b?N"/>
      <family val="3"/>
    </font>
    <font>
      <sz val="11"/>
      <name val="?l?r ?S?V?b?N"/>
      <family val="3"/>
    </font>
    <font>
      <sz val="11"/>
      <name val="??l"/>
      <family val="1"/>
    </font>
    <font>
      <sz val="10"/>
      <name val="ＭＳ 明朝"/>
      <family val="1"/>
      <charset val="128"/>
    </font>
    <font>
      <sz val="10"/>
      <name val="Geneva"/>
      <family val="2"/>
    </font>
    <font>
      <sz val="10"/>
      <color indexed="9"/>
      <name val="Arial"/>
      <family val="2"/>
    </font>
    <font>
      <sz val="11"/>
      <color indexed="9"/>
      <name val="ＭＳ Ｐゴシック"/>
      <family val="3"/>
      <charset val="128"/>
    </font>
    <font>
      <sz val="9"/>
      <name val="Tahoma"/>
      <family val="2"/>
    </font>
    <font>
      <sz val="11"/>
      <color indexed="9"/>
      <name val="Calibri"/>
      <family val="2"/>
    </font>
    <font>
      <sz val="11"/>
      <color indexed="8"/>
      <name val="Calibri"/>
      <family val="2"/>
    </font>
    <font>
      <sz val="11"/>
      <color indexed="16"/>
      <name val="Calibri"/>
      <family val="2"/>
    </font>
    <font>
      <b/>
      <i/>
      <sz val="10"/>
      <color indexed="30"/>
      <name val="Comic Sans MS"/>
      <family val="4"/>
    </font>
    <font>
      <sz val="8"/>
      <color indexed="30"/>
      <name val="Comic Sans MS"/>
      <family val="4"/>
    </font>
    <font>
      <b/>
      <sz val="8"/>
      <color indexed="30"/>
      <name val="Comic Sans MS"/>
      <family val="4"/>
    </font>
    <font>
      <sz val="10"/>
      <color indexed="30"/>
      <name val="Comic Sans MS"/>
      <family val="4"/>
    </font>
    <font>
      <sz val="12"/>
      <name val="Times New Roman"/>
      <family val="1"/>
    </font>
    <font>
      <b/>
      <sz val="11"/>
      <color indexed="53"/>
      <name val="Calibri"/>
      <family val="2"/>
    </font>
    <font>
      <b/>
      <sz val="11"/>
      <color indexed="9"/>
      <name val="Calibri"/>
      <family val="2"/>
    </font>
    <font>
      <b/>
      <sz val="9"/>
      <name val="Tahoma"/>
      <family val="2"/>
    </font>
    <font>
      <sz val="10"/>
      <name val="MS Sans Serif"/>
      <family val="2"/>
    </font>
    <font>
      <sz val="10"/>
      <name val="BERNHARD"/>
      <family val="1"/>
    </font>
    <font>
      <sz val="10"/>
      <name val="Helv"/>
      <family val="2"/>
    </font>
    <font>
      <b/>
      <sz val="10"/>
      <color indexed="30"/>
      <name val="Comic Sans MS"/>
      <family val="4"/>
    </font>
    <font>
      <sz val="12"/>
      <color indexed="30"/>
      <name val="Comic Sans MS"/>
      <family val="4"/>
    </font>
    <font>
      <sz val="9"/>
      <name val="Arial"/>
      <family val="2"/>
    </font>
    <font>
      <sz val="8"/>
      <color indexed="14"/>
      <name val="Times New Roman"/>
      <family val="1"/>
    </font>
    <font>
      <b/>
      <sz val="11"/>
      <color indexed="8"/>
      <name val="Calibri"/>
      <family val="2"/>
    </font>
    <font>
      <sz val="9"/>
      <name val="Times New Roman"/>
      <family val="1"/>
    </font>
    <font>
      <i/>
      <sz val="10"/>
      <color indexed="23"/>
      <name val="Arial"/>
      <family val="2"/>
    </font>
    <font>
      <sz val="11"/>
      <color indexed="17"/>
      <name val="Calibri"/>
      <family val="2"/>
    </font>
    <font>
      <b/>
      <sz val="10"/>
      <name val="Tahoma"/>
      <family val="2"/>
    </font>
    <font>
      <u/>
      <sz val="12"/>
      <name val="Tahoma"/>
      <family val="2"/>
    </font>
    <font>
      <u/>
      <sz val="11"/>
      <name val="Tahoma"/>
      <family val="2"/>
    </font>
    <font>
      <u/>
      <sz val="10"/>
      <name val="Tahoma"/>
      <family val="2"/>
    </font>
    <font>
      <u/>
      <sz val="9"/>
      <name val="Tahoma"/>
      <family val="2"/>
    </font>
    <font>
      <b/>
      <sz val="8"/>
      <name val="Palatino"/>
      <family val="1"/>
    </font>
    <font>
      <b/>
      <sz val="15"/>
      <color indexed="62"/>
      <name val="Calibri"/>
      <family val="2"/>
    </font>
    <font>
      <b/>
      <sz val="13"/>
      <color indexed="62"/>
      <name val="Calibri"/>
      <family val="2"/>
    </font>
    <font>
      <b/>
      <sz val="11"/>
      <color indexed="62"/>
      <name val="Calibri"/>
      <family val="2"/>
    </font>
    <font>
      <sz val="11"/>
      <color indexed="48"/>
      <name val="Calibri"/>
      <family val="2"/>
    </font>
    <font>
      <sz val="11"/>
      <color indexed="53"/>
      <name val="Calibri"/>
      <family val="2"/>
    </font>
    <font>
      <sz val="8"/>
      <name val="Times New Roman"/>
      <family val="1"/>
    </font>
    <font>
      <sz val="11"/>
      <color indexed="60"/>
      <name val="Calibri"/>
      <family val="2"/>
    </font>
    <font>
      <sz val="10"/>
      <name val="ＭＳ ゴシック"/>
      <family val="3"/>
      <charset val="128"/>
    </font>
    <font>
      <b/>
      <sz val="11"/>
      <color indexed="63"/>
      <name val="Calibri"/>
      <family val="2"/>
    </font>
    <font>
      <sz val="12"/>
      <name val="Book Antiqua"/>
      <family val="1"/>
    </font>
    <font>
      <b/>
      <sz val="10"/>
      <name val="MS Sans Serif"/>
      <family val="2"/>
    </font>
    <font>
      <sz val="8"/>
      <color indexed="16"/>
      <name val="Century Schoolbook"/>
      <family val="1"/>
    </font>
    <font>
      <b/>
      <sz val="10"/>
      <color indexed="8"/>
      <name val="Arial"/>
      <family val="2"/>
    </font>
    <font>
      <b/>
      <sz val="10"/>
      <color indexed="39"/>
      <name val="Arial"/>
      <family val="2"/>
    </font>
    <font>
      <b/>
      <sz val="12"/>
      <color indexed="8"/>
      <name val="Arial"/>
      <family val="2"/>
    </font>
    <font>
      <sz val="10"/>
      <color indexed="39"/>
      <name val="Arial"/>
      <family val="2"/>
    </font>
    <font>
      <sz val="19"/>
      <color indexed="48"/>
      <name val="Arial"/>
      <family val="2"/>
    </font>
    <font>
      <sz val="10"/>
      <color indexed="10"/>
      <name val="Arial"/>
      <family val="2"/>
    </font>
    <font>
      <b/>
      <i/>
      <sz val="10"/>
      <name val="Times New Roman"/>
      <family val="1"/>
    </font>
    <font>
      <b/>
      <sz val="18"/>
      <color indexed="62"/>
      <name val="Cambria"/>
      <family val="1"/>
    </font>
    <font>
      <b/>
      <sz val="11"/>
      <name val="Helv"/>
      <family val="2"/>
    </font>
    <font>
      <b/>
      <u/>
      <sz val="10"/>
      <name val="Tahoma"/>
      <family val="2"/>
    </font>
    <font>
      <b/>
      <sz val="11"/>
      <name val="Times New Roman"/>
      <family val="1"/>
    </font>
    <font>
      <b/>
      <sz val="9"/>
      <name val="Times New Roman"/>
      <family val="1"/>
    </font>
    <font>
      <b/>
      <sz val="11"/>
      <name val="Tahoma"/>
      <family val="2"/>
    </font>
    <font>
      <sz val="12"/>
      <name val="Tahoma"/>
      <family val="2"/>
    </font>
    <font>
      <i/>
      <sz val="11"/>
      <name val="Tahoma"/>
      <family val="2"/>
    </font>
    <font>
      <sz val="11"/>
      <name val="Tahoma"/>
      <family val="2"/>
    </font>
    <font>
      <i/>
      <sz val="10"/>
      <name val="Tahoma"/>
      <family val="2"/>
    </font>
    <font>
      <sz val="10"/>
      <name val="Tahoma"/>
      <family val="2"/>
    </font>
    <font>
      <i/>
      <sz val="9"/>
      <name val="Tahoma"/>
      <family val="2"/>
    </font>
    <font>
      <b/>
      <sz val="10"/>
      <color indexed="30"/>
      <name val="Arial"/>
      <family val="2"/>
    </font>
    <font>
      <sz val="11"/>
      <color indexed="10"/>
      <name val="Calibri"/>
      <family val="2"/>
    </font>
    <font>
      <b/>
      <sz val="18"/>
      <color indexed="56"/>
      <name val="ＭＳ Ｐゴシック"/>
      <family val="3"/>
      <charset val="128"/>
    </font>
    <font>
      <b/>
      <sz val="11"/>
      <color indexed="9"/>
      <name val="ＭＳ Ｐゴシック"/>
      <family val="3"/>
      <charset val="128"/>
    </font>
    <font>
      <sz val="11"/>
      <color indexed="60"/>
      <name val="ＭＳ Ｐゴシック"/>
      <family val="3"/>
      <charset val="128"/>
    </font>
    <font>
      <sz val="11"/>
      <color indexed="52"/>
      <name val="ＭＳ Ｐゴシック"/>
      <family val="3"/>
      <charset val="128"/>
    </font>
    <font>
      <b/>
      <sz val="11"/>
      <color indexed="52"/>
      <name val="ＭＳ Ｐゴシック"/>
      <family val="3"/>
      <charset val="128"/>
    </font>
    <font>
      <sz val="11"/>
      <color indexed="10"/>
      <name val="ＭＳ Ｐゴシック"/>
      <family val="3"/>
      <charset val="128"/>
    </font>
    <font>
      <b/>
      <sz val="15"/>
      <color indexed="56"/>
      <name val="ＭＳ Ｐゴシック"/>
      <family val="3"/>
      <charset val="128"/>
    </font>
    <font>
      <b/>
      <sz val="13"/>
      <color indexed="56"/>
      <name val="ＭＳ Ｐゴシック"/>
      <family val="3"/>
      <charset val="128"/>
    </font>
    <font>
      <b/>
      <sz val="11"/>
      <color indexed="56"/>
      <name val="ＭＳ Ｐゴシック"/>
      <family val="3"/>
      <charset val="128"/>
    </font>
    <font>
      <b/>
      <sz val="11"/>
      <color indexed="8"/>
      <name val="ＭＳ Ｐゴシック"/>
      <family val="3"/>
      <charset val="128"/>
    </font>
    <font>
      <b/>
      <sz val="11"/>
      <color indexed="63"/>
      <name val="ＭＳ Ｐゴシック"/>
      <family val="3"/>
      <charset val="128"/>
    </font>
    <font>
      <i/>
      <sz val="11"/>
      <color indexed="23"/>
      <name val="ＭＳ Ｐゴシック"/>
      <family val="3"/>
      <charset val="128"/>
    </font>
    <font>
      <sz val="11"/>
      <color indexed="62"/>
      <name val="ＭＳ Ｐゴシック"/>
      <family val="3"/>
      <charset val="128"/>
    </font>
    <font>
      <sz val="10"/>
      <color theme="1"/>
      <name val="Arial"/>
      <family val="2"/>
      <charset val="128"/>
    </font>
    <font>
      <sz val="11"/>
      <color indexed="17"/>
      <name val="ＭＳ Ｐゴシック"/>
      <family val="3"/>
      <charset val="128"/>
    </font>
    <font>
      <b/>
      <sz val="18"/>
      <color indexed="62"/>
      <name val="ＭＳ Ｐゴシック"/>
      <family val="3"/>
      <charset val="128"/>
    </font>
    <font>
      <sz val="10"/>
      <name val="ＭＳ Ｐ明朝"/>
      <family val="1"/>
      <charset val="128"/>
    </font>
    <font>
      <sz val="9"/>
      <name val="ＭＳ 明朝"/>
      <family val="1"/>
      <charset val="128"/>
    </font>
    <font>
      <u/>
      <sz val="8.25"/>
      <color indexed="36"/>
      <name val="ＭＳ Ｐゴシック"/>
      <family val="3"/>
      <charset val="128"/>
    </font>
    <font>
      <b/>
      <sz val="11"/>
      <color rgb="FFFF0000"/>
      <name val="ＭＳ Ｐゴシック"/>
      <family val="3"/>
      <charset val="128"/>
    </font>
    <font>
      <sz val="9"/>
      <color indexed="81"/>
      <name val="MS P ゴシック"/>
      <family val="2"/>
      <charset val="128"/>
    </font>
    <font>
      <b/>
      <sz val="9"/>
      <color indexed="81"/>
      <name val="MS P ゴシック"/>
      <family val="2"/>
      <charset val="128"/>
    </font>
    <font>
      <sz val="10"/>
      <color indexed="8"/>
      <name val="ＭＳ Ｐゴシック"/>
      <family val="3"/>
      <charset val="128"/>
    </font>
    <font>
      <b/>
      <sz val="28"/>
      <name val="ＭＳ Ｐゴシック"/>
      <family val="3"/>
      <charset val="128"/>
    </font>
    <font>
      <b/>
      <sz val="16"/>
      <name val="ＭＳ Ｐゴシック"/>
      <family val="3"/>
      <charset val="128"/>
    </font>
    <font>
      <sz val="12"/>
      <color rgb="FFFF0000"/>
      <name val="ＭＳ Ｐゴシック"/>
      <family val="3"/>
      <charset val="128"/>
    </font>
    <font>
      <b/>
      <sz val="14"/>
      <color rgb="FFFF0000"/>
      <name val="ＭＳ Ｐゴシック"/>
      <family val="3"/>
      <charset val="128"/>
    </font>
    <font>
      <sz val="14"/>
      <color rgb="FFFF0000"/>
      <name val="ＭＳ Ｐゴシック"/>
      <family val="3"/>
      <charset val="128"/>
    </font>
    <font>
      <sz val="11"/>
      <name val="ＭＳ Ｐゴシック"/>
      <family val="3"/>
      <charset val="128"/>
      <scheme val="minor"/>
    </font>
    <font>
      <sz val="14"/>
      <color theme="1"/>
      <name val="ＭＳ Ｐゴシック"/>
      <family val="2"/>
      <charset val="128"/>
      <scheme val="minor"/>
    </font>
    <font>
      <sz val="14"/>
      <color rgb="FF000000"/>
      <name val="ＭＳ ゴシック"/>
      <family val="3"/>
      <charset val="128"/>
    </font>
    <font>
      <sz val="6"/>
      <name val="ＭＳ Ｐゴシック"/>
      <family val="2"/>
      <charset val="128"/>
      <scheme val="minor"/>
    </font>
    <font>
      <sz val="12"/>
      <color rgb="FF7030A0"/>
      <name val="ＭＳ Ｐゴシック"/>
      <family val="3"/>
      <charset val="128"/>
    </font>
    <font>
      <vertAlign val="superscript"/>
      <sz val="14"/>
      <name val="ＭＳ Ｐゴシック"/>
      <family val="3"/>
      <charset val="128"/>
    </font>
    <font>
      <sz val="12"/>
      <color rgb="FF00B050"/>
      <name val="ＭＳ Ｐゴシック"/>
      <family val="3"/>
      <charset val="128"/>
    </font>
    <font>
      <b/>
      <sz val="14"/>
      <color rgb="FF00B050"/>
      <name val="ＭＳ Ｐゴシック"/>
      <family val="3"/>
      <charset val="128"/>
    </font>
    <font>
      <sz val="14"/>
      <name val="ＭＳ Ｐゴシック"/>
      <family val="3"/>
      <charset val="128"/>
      <scheme val="minor"/>
    </font>
    <font>
      <b/>
      <strike/>
      <sz val="14"/>
      <color rgb="FFFF0000"/>
      <name val="ＭＳ Ｐゴシック"/>
      <family val="3"/>
      <charset val="128"/>
    </font>
    <font>
      <b/>
      <sz val="16"/>
      <name val="ＭＳ Ｐゴシック"/>
      <family val="3"/>
      <charset val="128"/>
      <scheme val="minor"/>
    </font>
    <font>
      <sz val="10"/>
      <color indexed="81"/>
      <name val="ＭＳ Ｐゴシック"/>
      <family val="3"/>
      <charset val="128"/>
    </font>
    <font>
      <sz val="10"/>
      <color indexed="81"/>
      <name val="ＭＳ ゴシック"/>
      <family val="3"/>
      <charset val="128"/>
    </font>
    <font>
      <sz val="11"/>
      <color theme="1"/>
      <name val="ＭＳ Ｐゴシック"/>
      <family val="3"/>
      <charset val="128"/>
    </font>
    <font>
      <sz val="10"/>
      <color theme="1"/>
      <name val="ＭＳ Ｐゴシック"/>
      <family val="3"/>
      <charset val="128"/>
      <scheme val="minor"/>
    </font>
    <font>
      <sz val="10"/>
      <color rgb="FF0070C0"/>
      <name val="ＭＳ Ｐゴシック"/>
      <family val="3"/>
      <charset val="128"/>
    </font>
    <font>
      <b/>
      <sz val="9"/>
      <color indexed="81"/>
      <name val="MS P ゴシック"/>
      <family val="3"/>
      <charset val="128"/>
    </font>
    <font>
      <sz val="9"/>
      <color indexed="81"/>
      <name val="MS P ゴシック"/>
      <family val="3"/>
      <charset val="128"/>
    </font>
    <font>
      <sz val="10"/>
      <color rgb="FFFF0000"/>
      <name val="ＭＳ Ｐゴシック"/>
      <family val="3"/>
      <charset val="128"/>
      <scheme val="minor"/>
    </font>
    <font>
      <sz val="10"/>
      <color rgb="FF0000FF"/>
      <name val="ＭＳ Ｐゴシック"/>
      <family val="3"/>
      <charset val="128"/>
    </font>
    <font>
      <sz val="10"/>
      <color rgb="FF0000FF"/>
      <name val="ＭＳ Ｐゴシック"/>
      <family val="3"/>
      <charset val="128"/>
      <scheme val="minor"/>
    </font>
    <font>
      <sz val="12"/>
      <color rgb="FF000000"/>
      <name val="ＭＳ Ｐゴシック"/>
      <family val="3"/>
      <charset val="128"/>
    </font>
    <font>
      <sz val="10"/>
      <color rgb="FF000000"/>
      <name val="ＭＳ Ｐゴシック"/>
      <family val="3"/>
      <charset val="128"/>
    </font>
    <font>
      <sz val="10"/>
      <color rgb="FF000000"/>
      <name val="ＭＳ Ｐゴシック"/>
      <family val="3"/>
      <charset val="128"/>
      <scheme val="minor"/>
    </font>
    <font>
      <sz val="12"/>
      <color rgb="FF0000FF"/>
      <name val="ＭＳ Ｐゴシック"/>
      <family val="3"/>
      <charset val="128"/>
    </font>
    <font>
      <sz val="11"/>
      <color rgb="FF000000"/>
      <name val="ＭＳ Ｐゴシック"/>
      <family val="3"/>
      <charset val="128"/>
    </font>
  </fonts>
  <fills count="65">
    <fill>
      <patternFill patternType="none"/>
    </fill>
    <fill>
      <patternFill patternType="gray125"/>
    </fill>
    <fill>
      <patternFill patternType="solid">
        <fgColor indexed="42"/>
        <bgColor indexed="64"/>
      </patternFill>
    </fill>
    <fill>
      <patternFill patternType="solid">
        <fgColor indexed="9"/>
        <bgColor indexed="64"/>
      </patternFill>
    </fill>
    <fill>
      <patternFill patternType="solid">
        <fgColor theme="0"/>
        <bgColor indexed="64"/>
      </patternFill>
    </fill>
    <fill>
      <patternFill patternType="solid">
        <fgColor indexed="22"/>
        <bgColor indexed="64"/>
      </patternFill>
    </fill>
    <fill>
      <patternFill patternType="solid">
        <fgColor indexed="26"/>
        <bgColor indexed="64"/>
      </patternFill>
    </fill>
    <fill>
      <patternFill patternType="solid">
        <fgColor theme="0" tint="-0.249977111117893"/>
        <bgColor indexed="64"/>
      </patternFill>
    </fill>
    <fill>
      <patternFill patternType="solid">
        <fgColor indexed="40"/>
      </patternFill>
    </fill>
    <fill>
      <patternFill patternType="solid">
        <fgColor indexed="29"/>
      </patternFill>
    </fill>
    <fill>
      <patternFill patternType="solid">
        <fgColor indexed="26"/>
      </patternFill>
    </fill>
    <fill>
      <patternFill patternType="solid">
        <fgColor indexed="9"/>
      </patternFill>
    </fill>
    <fill>
      <patternFill patternType="solid">
        <fgColor indexed="44"/>
      </patternFill>
    </fill>
    <fill>
      <patternFill patternType="solid">
        <fgColor indexed="45"/>
      </patternFill>
    </fill>
    <fill>
      <patternFill patternType="solid">
        <fgColor indexed="31"/>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54"/>
      </patternFill>
    </fill>
    <fill>
      <patternFill patternType="solid">
        <fgColor indexed="57"/>
      </patternFill>
    </fill>
    <fill>
      <patternFill patternType="solid">
        <fgColor indexed="22"/>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48"/>
        <bgColor indexed="48"/>
      </patternFill>
    </fill>
    <fill>
      <patternFill patternType="solid">
        <fgColor indexed="44"/>
        <bgColor indexed="44"/>
      </patternFill>
    </fill>
    <fill>
      <patternFill patternType="solid">
        <fgColor indexed="54"/>
        <bgColor indexed="54"/>
      </patternFill>
    </fill>
    <fill>
      <patternFill patternType="solid">
        <fgColor indexed="24"/>
        <bgColor indexed="24"/>
      </patternFill>
    </fill>
    <fill>
      <patternFill patternType="solid">
        <fgColor indexed="25"/>
        <bgColor indexed="25"/>
      </patternFill>
    </fill>
    <fill>
      <patternFill patternType="solid">
        <fgColor indexed="15"/>
        <bgColor indexed="15"/>
      </patternFill>
    </fill>
    <fill>
      <patternFill patternType="solid">
        <fgColor indexed="45"/>
        <bgColor indexed="45"/>
      </patternFill>
    </fill>
    <fill>
      <patternFill patternType="solid">
        <fgColor indexed="55"/>
        <bgColor indexed="55"/>
      </patternFill>
    </fill>
    <fill>
      <patternFill patternType="solid">
        <fgColor indexed="41"/>
        <bgColor indexed="41"/>
      </patternFill>
    </fill>
    <fill>
      <patternFill patternType="solid">
        <fgColor indexed="40"/>
        <bgColor indexed="40"/>
      </patternFill>
    </fill>
    <fill>
      <patternFill patternType="solid">
        <fgColor indexed="22"/>
        <bgColor indexed="22"/>
      </patternFill>
    </fill>
    <fill>
      <patternFill patternType="solid">
        <fgColor indexed="23"/>
        <bgColor indexed="23"/>
      </patternFill>
    </fill>
    <fill>
      <patternFill patternType="solid">
        <fgColor indexed="49"/>
        <bgColor indexed="49"/>
      </patternFill>
    </fill>
    <fill>
      <patternFill patternType="solid">
        <fgColor indexed="52"/>
        <bgColor indexed="52"/>
      </patternFill>
    </fill>
    <fill>
      <patternFill patternType="solid">
        <fgColor indexed="26"/>
        <bgColor indexed="26"/>
      </patternFill>
    </fill>
    <fill>
      <patternFill patternType="solid">
        <fgColor indexed="47"/>
        <bgColor indexed="47"/>
      </patternFill>
    </fill>
    <fill>
      <patternFill patternType="solid">
        <fgColor indexed="44"/>
        <bgColor indexed="64"/>
      </patternFill>
    </fill>
    <fill>
      <patternFill patternType="solid">
        <fgColor indexed="9"/>
        <bgColor indexed="9"/>
      </patternFill>
    </fill>
    <fill>
      <patternFill patternType="lightUp">
        <fgColor indexed="9"/>
        <bgColor indexed="55"/>
      </patternFill>
    </fill>
    <fill>
      <patternFill patternType="lightUp">
        <fgColor indexed="9"/>
        <bgColor indexed="29"/>
      </patternFill>
    </fill>
    <fill>
      <patternFill patternType="lightUp">
        <fgColor indexed="9"/>
        <bgColor indexed="57"/>
      </patternFill>
    </fill>
    <fill>
      <patternFill patternType="solid">
        <fgColor indexed="42"/>
        <bgColor indexed="42"/>
      </patternFill>
    </fill>
    <fill>
      <patternFill patternType="mediumGray">
        <fgColor indexed="22"/>
      </patternFill>
    </fill>
    <fill>
      <patternFill patternType="solid">
        <fgColor indexed="43"/>
      </patternFill>
    </fill>
    <fill>
      <patternFill patternType="solid">
        <fgColor indexed="10"/>
      </patternFill>
    </fill>
    <fill>
      <patternFill patternType="solid">
        <fgColor indexed="53"/>
      </patternFill>
    </fill>
    <fill>
      <patternFill patternType="solid">
        <fgColor indexed="50"/>
      </patternFill>
    </fill>
    <fill>
      <patternFill patternType="lightUp">
        <fgColor indexed="48"/>
        <bgColor indexed="41"/>
      </patternFill>
    </fill>
    <fill>
      <patternFill patternType="solid">
        <fgColor indexed="41"/>
      </patternFill>
    </fill>
    <fill>
      <patternFill patternType="solid">
        <fgColor indexed="15"/>
      </patternFill>
    </fill>
    <fill>
      <patternFill patternType="solid">
        <fgColor indexed="62"/>
      </patternFill>
    </fill>
    <fill>
      <patternFill patternType="solid">
        <fgColor indexed="55"/>
      </patternFill>
    </fill>
    <fill>
      <patternFill patternType="solid">
        <fgColor rgb="FFCCFFCC"/>
        <bgColor indexed="64"/>
      </patternFill>
    </fill>
    <fill>
      <patternFill patternType="solid">
        <fgColor rgb="FFFFFF00"/>
        <bgColor indexed="64"/>
      </patternFill>
    </fill>
    <fill>
      <patternFill patternType="solid">
        <fgColor rgb="FFCCFFFF"/>
        <bgColor indexed="64"/>
      </patternFill>
    </fill>
    <fill>
      <patternFill patternType="solid">
        <fgColor theme="9" tint="0.59999389629810485"/>
        <bgColor indexed="64"/>
      </patternFill>
    </fill>
    <fill>
      <patternFill patternType="solid">
        <fgColor rgb="FFFFCC99"/>
        <bgColor indexed="64"/>
      </patternFill>
    </fill>
  </fills>
  <borders count="260">
    <border>
      <left/>
      <right/>
      <top/>
      <bottom/>
      <diagonal/>
    </border>
    <border>
      <left/>
      <right/>
      <top/>
      <bottom style="double">
        <color indexed="64"/>
      </bottom>
      <diagonal/>
    </border>
    <border>
      <left style="thin">
        <color indexed="64"/>
      </left>
      <right style="thin">
        <color indexed="64"/>
      </right>
      <top style="thin">
        <color indexed="64"/>
      </top>
      <bottom style="thin">
        <color indexed="64"/>
      </bottom>
      <diagonal/>
    </border>
    <border>
      <left/>
      <right style="double">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style="hair">
        <color indexed="64"/>
      </top>
      <bottom style="hair">
        <color indexed="64"/>
      </bottom>
      <diagonal/>
    </border>
    <border>
      <left style="thin">
        <color indexed="64"/>
      </left>
      <right style="double">
        <color indexed="64"/>
      </right>
      <top style="hair">
        <color indexed="64"/>
      </top>
      <bottom style="hair">
        <color indexed="64"/>
      </bottom>
      <diagonal/>
    </border>
    <border>
      <left style="thin">
        <color indexed="64"/>
      </left>
      <right style="thin">
        <color indexed="64"/>
      </right>
      <top style="hair">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bottom style="hair">
        <color indexed="64"/>
      </bottom>
      <diagonal/>
    </border>
    <border>
      <left style="thin">
        <color indexed="64"/>
      </left>
      <right style="thin">
        <color indexed="64"/>
      </right>
      <top style="double">
        <color indexed="64"/>
      </top>
      <bottom style="thin">
        <color indexed="64"/>
      </bottom>
      <diagonal/>
    </border>
    <border>
      <left style="double">
        <color indexed="64"/>
      </left>
      <right style="thin">
        <color indexed="64"/>
      </right>
      <top style="thin">
        <color indexed="64"/>
      </top>
      <bottom/>
      <diagonal/>
    </border>
    <border>
      <left style="thin">
        <color indexed="64"/>
      </left>
      <right style="double">
        <color indexed="64"/>
      </right>
      <top style="hair">
        <color indexed="64"/>
      </top>
      <bottom style="thin">
        <color indexed="64"/>
      </bottom>
      <diagonal/>
    </border>
    <border>
      <left style="thin">
        <color indexed="64"/>
      </left>
      <right style="thin">
        <color indexed="64"/>
      </right>
      <top style="hair">
        <color indexed="64"/>
      </top>
      <bottom/>
      <diagonal/>
    </border>
    <border>
      <left style="thin">
        <color indexed="64"/>
      </left>
      <right style="thin">
        <color indexed="64"/>
      </right>
      <top/>
      <bottom/>
      <diagonal/>
    </border>
    <border>
      <left style="thin">
        <color indexed="64"/>
      </left>
      <right/>
      <top style="thin">
        <color indexed="64"/>
      </top>
      <bottom style="thin">
        <color indexed="64"/>
      </bottom>
      <diagonal/>
    </border>
    <border>
      <left/>
      <right style="thin">
        <color indexed="64"/>
      </right>
      <top/>
      <bottom/>
      <diagonal/>
    </border>
    <border>
      <left style="medium">
        <color indexed="64"/>
      </left>
      <right style="medium">
        <color indexed="64"/>
      </right>
      <top style="medium">
        <color indexed="64"/>
      </top>
      <bottom/>
      <diagonal/>
    </border>
    <border>
      <left style="medium">
        <color indexed="64"/>
      </left>
      <right style="dashed">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dashed">
        <color indexed="64"/>
      </right>
      <top style="thin">
        <color indexed="64"/>
      </top>
      <bottom style="medium">
        <color indexed="64"/>
      </bottom>
      <diagonal/>
    </border>
    <border>
      <left/>
      <right/>
      <top style="thin">
        <color indexed="64"/>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thin">
        <color indexed="64"/>
      </left>
      <right style="dashed">
        <color indexed="64"/>
      </right>
      <top style="medium">
        <color indexed="64"/>
      </top>
      <bottom style="thin">
        <color indexed="64"/>
      </bottom>
      <diagonal/>
    </border>
    <border>
      <left style="dashed">
        <color indexed="64"/>
      </left>
      <right style="thin">
        <color indexed="64"/>
      </right>
      <top style="medium">
        <color indexed="64"/>
      </top>
      <bottom style="thin">
        <color indexed="64"/>
      </bottom>
      <diagonal/>
    </border>
    <border>
      <left style="medium">
        <color indexed="64"/>
      </left>
      <right/>
      <top/>
      <bottom/>
      <diagonal/>
    </border>
    <border>
      <left style="medium">
        <color indexed="64"/>
      </left>
      <right/>
      <top style="thin">
        <color indexed="64"/>
      </top>
      <bottom style="thin">
        <color indexed="64"/>
      </bottom>
      <diagonal/>
    </border>
    <border>
      <left style="medium">
        <color indexed="64"/>
      </left>
      <right style="medium">
        <color indexed="64"/>
      </right>
      <top style="thin">
        <color indexed="64"/>
      </top>
      <bottom style="thin">
        <color indexed="64"/>
      </bottom>
      <diagonal/>
    </border>
    <border>
      <left style="thin">
        <color indexed="64"/>
      </left>
      <right style="dashed">
        <color indexed="64"/>
      </right>
      <top style="thin">
        <color indexed="64"/>
      </top>
      <bottom style="thin">
        <color indexed="64"/>
      </bottom>
      <diagonal/>
    </border>
    <border>
      <left style="dashed">
        <color indexed="64"/>
      </left>
      <right style="thin">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style="dashed">
        <color indexed="64"/>
      </left>
      <right style="thin">
        <color indexed="64"/>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dashed">
        <color indexed="64"/>
      </left>
      <right style="thin">
        <color indexed="64"/>
      </right>
      <top/>
      <bottom style="thin">
        <color indexed="64"/>
      </bottom>
      <diagonal/>
    </border>
    <border>
      <left style="thin">
        <color indexed="64"/>
      </left>
      <right style="dashed">
        <color indexed="64"/>
      </right>
      <top/>
      <bottom style="thin">
        <color indexed="64"/>
      </bottom>
      <diagonal/>
    </border>
    <border>
      <left/>
      <right style="medium">
        <color indexed="64"/>
      </right>
      <top/>
      <bottom style="thin">
        <color indexed="64"/>
      </bottom>
      <diagonal/>
    </border>
    <border>
      <left/>
      <right/>
      <top style="thin">
        <color indexed="64"/>
      </top>
      <bottom style="thin">
        <color indexed="64"/>
      </bottom>
      <diagonal/>
    </border>
    <border>
      <left style="medium">
        <color indexed="64"/>
      </left>
      <right style="medium">
        <color indexed="64"/>
      </right>
      <top style="thin">
        <color indexed="64"/>
      </top>
      <bottom/>
      <diagonal/>
    </border>
    <border>
      <left style="dashed">
        <color indexed="64"/>
      </left>
      <right style="thin">
        <color indexed="64"/>
      </right>
      <top style="thin">
        <color indexed="64"/>
      </top>
      <bottom/>
      <diagonal/>
    </border>
    <border>
      <left style="thin">
        <color indexed="64"/>
      </left>
      <right style="dashed">
        <color indexed="64"/>
      </right>
      <top style="thin">
        <color indexed="64"/>
      </top>
      <bottom/>
      <diagonal/>
    </border>
    <border>
      <left style="dashed">
        <color indexed="64"/>
      </left>
      <right style="medium">
        <color indexed="64"/>
      </right>
      <top style="thin">
        <color indexed="64"/>
      </top>
      <bottom style="medium">
        <color indexed="64"/>
      </bottom>
      <diagonal/>
    </border>
    <border>
      <left/>
      <right style="medium">
        <color indexed="64"/>
      </right>
      <top style="thin">
        <color indexed="64"/>
      </top>
      <bottom/>
      <diagonal/>
    </border>
    <border>
      <left/>
      <right style="medium">
        <color indexed="64"/>
      </right>
      <top style="medium">
        <color indexed="64"/>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style="dashed">
        <color indexed="64"/>
      </left>
      <right/>
      <top style="thin">
        <color indexed="64"/>
      </top>
      <bottom style="thin">
        <color indexed="64"/>
      </bottom>
      <diagonal/>
    </border>
    <border>
      <left style="medium">
        <color indexed="64"/>
      </left>
      <right style="dashed">
        <color indexed="64"/>
      </right>
      <top style="thin">
        <color indexed="64"/>
      </top>
      <bottom style="thin">
        <color indexed="64"/>
      </bottom>
      <diagonal/>
    </border>
    <border>
      <left style="thin">
        <color indexed="64"/>
      </left>
      <right/>
      <top/>
      <bottom style="hair">
        <color indexed="64"/>
      </bottom>
      <diagonal/>
    </border>
    <border>
      <left style="medium">
        <color indexed="64"/>
      </left>
      <right style="medium">
        <color indexed="64"/>
      </right>
      <top/>
      <bottom/>
      <diagonal/>
    </border>
    <border>
      <left style="dashed">
        <color indexed="64"/>
      </left>
      <right style="thin">
        <color indexed="64"/>
      </right>
      <top/>
      <bottom/>
      <diagonal/>
    </border>
    <border>
      <left style="thin">
        <color indexed="64"/>
      </left>
      <right style="dashed">
        <color indexed="64"/>
      </right>
      <top/>
      <bottom/>
      <diagonal/>
    </border>
    <border>
      <left/>
      <right style="medium">
        <color indexed="64"/>
      </right>
      <top/>
      <bottom/>
      <diagonal/>
    </border>
    <border>
      <left/>
      <right/>
      <top style="medium">
        <color indexed="64"/>
      </top>
      <bottom style="thin">
        <color indexed="64"/>
      </bottom>
      <diagonal/>
    </border>
    <border>
      <left style="thin">
        <color indexed="64"/>
      </left>
      <right/>
      <top style="medium">
        <color indexed="64"/>
      </top>
      <bottom style="thin">
        <color indexed="64"/>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right/>
      <top style="hair">
        <color indexed="64"/>
      </top>
      <bottom style="hair">
        <color indexed="64"/>
      </bottom>
      <diagonal/>
    </border>
    <border>
      <left style="double">
        <color indexed="64"/>
      </left>
      <right style="thin">
        <color indexed="64"/>
      </right>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right/>
      <top style="thin">
        <color indexed="64"/>
      </top>
      <bottom style="hair">
        <color indexed="64"/>
      </bottom>
      <diagonal/>
    </border>
    <border>
      <left/>
      <right style="thin">
        <color indexed="64"/>
      </right>
      <top style="medium">
        <color indexed="64"/>
      </top>
      <bottom style="thin">
        <color indexed="64"/>
      </bottom>
      <diagonal/>
    </border>
    <border>
      <left/>
      <right/>
      <top style="medium">
        <color indexed="64"/>
      </top>
      <bottom style="medium">
        <color indexed="64"/>
      </bottom>
      <diagonal/>
    </border>
    <border>
      <left style="medium">
        <color indexed="64"/>
      </left>
      <right/>
      <top style="medium">
        <color indexed="64"/>
      </top>
      <bottom/>
      <diagonal/>
    </border>
    <border>
      <left style="dashed">
        <color indexed="64"/>
      </left>
      <right/>
      <top/>
      <bottom style="thin">
        <color indexed="64"/>
      </bottom>
      <diagonal/>
    </border>
    <border>
      <left style="dashed">
        <color indexed="64"/>
      </left>
      <right/>
      <top style="thin">
        <color indexed="64"/>
      </top>
      <bottom/>
      <diagonal/>
    </border>
    <border>
      <left style="dashed">
        <color indexed="64"/>
      </left>
      <right/>
      <top style="thin">
        <color indexed="64"/>
      </top>
      <bottom style="medium">
        <color indexed="64"/>
      </bottom>
      <diagonal/>
    </border>
    <border>
      <left style="dashed">
        <color indexed="64"/>
      </left>
      <right/>
      <top/>
      <bottom/>
      <diagonal/>
    </border>
    <border>
      <left style="dashed">
        <color indexed="64"/>
      </left>
      <right/>
      <top style="medium">
        <color indexed="64"/>
      </top>
      <bottom style="thin">
        <color indexed="64"/>
      </bottom>
      <diagonal/>
    </border>
    <border>
      <left/>
      <right/>
      <top/>
      <bottom style="medium">
        <color indexed="64"/>
      </bottom>
      <diagonal/>
    </border>
    <border>
      <left style="thin">
        <color indexed="64"/>
      </left>
      <right style="dashed">
        <color indexed="64"/>
      </right>
      <top style="medium">
        <color indexed="64"/>
      </top>
      <bottom/>
      <diagonal/>
    </border>
    <border>
      <left style="dashed">
        <color indexed="64"/>
      </left>
      <right style="thin">
        <color indexed="64"/>
      </right>
      <top style="medium">
        <color indexed="64"/>
      </top>
      <bottom/>
      <diagonal/>
    </border>
    <border>
      <left style="dashed">
        <color indexed="64"/>
      </left>
      <right/>
      <top style="medium">
        <color indexed="64"/>
      </top>
      <bottom/>
      <diagonal/>
    </border>
    <border>
      <left/>
      <right style="dashed">
        <color indexed="64"/>
      </right>
      <top style="thin">
        <color indexed="64"/>
      </top>
      <bottom/>
      <diagonal/>
    </border>
    <border>
      <left style="dashed">
        <color indexed="64"/>
      </left>
      <right style="medium">
        <color indexed="64"/>
      </right>
      <top style="thin">
        <color indexed="64"/>
      </top>
      <bottom style="thin">
        <color indexed="64"/>
      </bottom>
      <diagonal/>
    </border>
    <border>
      <left style="double">
        <color indexed="64"/>
      </left>
      <right style="thin">
        <color indexed="64"/>
      </right>
      <top style="hair">
        <color indexed="64"/>
      </top>
      <bottom/>
      <diagonal/>
    </border>
    <border>
      <left style="thin">
        <color indexed="64"/>
      </left>
      <right style="hair">
        <color indexed="64"/>
      </right>
      <top style="hair">
        <color indexed="64"/>
      </top>
      <bottom style="hair">
        <color indexed="64"/>
      </bottom>
      <diagonal/>
    </border>
    <border>
      <left/>
      <right/>
      <top style="thick">
        <color indexed="30"/>
      </top>
      <bottom/>
      <diagonal/>
    </border>
    <border>
      <left style="thin">
        <color indexed="30"/>
      </left>
      <right style="thin">
        <color indexed="30"/>
      </right>
      <top/>
      <bottom style="double">
        <color indexed="30"/>
      </bottom>
      <diagonal/>
    </border>
    <border>
      <left/>
      <right/>
      <top/>
      <bottom style="thin">
        <color indexed="30"/>
      </bottom>
      <diagonal/>
    </border>
    <border>
      <left/>
      <right/>
      <top/>
      <bottom style="thick">
        <color indexed="30"/>
      </bottom>
      <diagonal/>
    </border>
    <border>
      <left style="thin">
        <color indexed="30"/>
      </left>
      <right style="thin">
        <color indexed="30"/>
      </right>
      <top/>
      <bottom style="thin">
        <color indexed="30"/>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style="thin">
        <color indexed="30"/>
      </left>
      <right/>
      <top/>
      <bottom/>
      <diagonal/>
    </border>
    <border>
      <left style="thin">
        <color indexed="30"/>
      </left>
      <right style="thin">
        <color indexed="30"/>
      </right>
      <top/>
      <bottom/>
      <diagonal/>
    </border>
    <border>
      <left/>
      <right/>
      <top/>
      <bottom style="hair">
        <color indexed="22"/>
      </bottom>
      <diagonal/>
    </border>
    <border>
      <left/>
      <right/>
      <top/>
      <bottom style="thick">
        <color indexed="48"/>
      </bottom>
      <diagonal/>
    </border>
    <border>
      <left/>
      <right/>
      <top/>
      <bottom style="thick">
        <color indexed="22"/>
      </bottom>
      <diagonal/>
    </border>
    <border>
      <left/>
      <right/>
      <top/>
      <bottom style="medium">
        <color indexed="24"/>
      </bottom>
      <diagonal/>
    </border>
    <border>
      <left/>
      <right/>
      <top/>
      <bottom style="double">
        <color indexed="53"/>
      </bottom>
      <diagonal/>
    </border>
    <border>
      <left style="thin">
        <color indexed="30"/>
      </left>
      <right/>
      <top/>
      <bottom style="thin">
        <color indexed="30"/>
      </bottom>
      <diagonal/>
    </border>
    <border>
      <left/>
      <right style="thin">
        <color indexed="30"/>
      </right>
      <top/>
      <bottom/>
      <diagonal/>
    </border>
    <border>
      <left style="thin">
        <color indexed="22"/>
      </left>
      <right style="thin">
        <color indexed="22"/>
      </right>
      <top style="thin">
        <color indexed="22"/>
      </top>
      <bottom style="thin">
        <color indexed="22"/>
      </bottom>
      <diagonal/>
    </border>
    <border>
      <left style="hair">
        <color indexed="64"/>
      </left>
      <right style="hair">
        <color indexed="64"/>
      </right>
      <top style="hair">
        <color indexed="64"/>
      </top>
      <bottom style="hair">
        <color indexed="64"/>
      </bottom>
      <diagonal/>
    </border>
    <border>
      <left style="thick">
        <color indexed="30"/>
      </left>
      <right style="thin">
        <color indexed="30"/>
      </right>
      <top style="thick">
        <color indexed="30"/>
      </top>
      <bottom style="thick">
        <color indexed="30"/>
      </bottom>
      <diagonal/>
    </border>
    <border>
      <left style="thin">
        <color indexed="63"/>
      </left>
      <right style="thin">
        <color indexed="63"/>
      </right>
      <top style="thin">
        <color indexed="63"/>
      </top>
      <bottom style="thin">
        <color indexed="63"/>
      </bottom>
      <diagonal/>
    </border>
    <border>
      <left/>
      <right/>
      <top style="thin">
        <color indexed="64"/>
      </top>
      <bottom style="hair">
        <color indexed="22"/>
      </bottom>
      <diagonal/>
    </border>
    <border>
      <left/>
      <right/>
      <top style="thin">
        <color indexed="64"/>
      </top>
      <bottom style="double">
        <color indexed="64"/>
      </bottom>
      <diagonal/>
    </border>
    <border>
      <left style="thin">
        <color indexed="48"/>
      </left>
      <right style="thin">
        <color indexed="48"/>
      </right>
      <top style="thin">
        <color indexed="48"/>
      </top>
      <bottom style="thin">
        <color indexed="48"/>
      </bottom>
      <diagonal/>
    </border>
    <border>
      <left style="thin">
        <color indexed="41"/>
      </left>
      <right style="thin">
        <color indexed="48"/>
      </right>
      <top style="medium">
        <color indexed="41"/>
      </top>
      <bottom style="thin">
        <color indexed="48"/>
      </bottom>
      <diagonal/>
    </border>
    <border>
      <left/>
      <right/>
      <top style="thin">
        <color auto="1"/>
      </top>
      <bottom/>
      <diagonal/>
    </border>
    <border>
      <left/>
      <right/>
      <top style="thin">
        <color indexed="48"/>
      </top>
      <bottom style="double">
        <color indexed="48"/>
      </bottom>
      <diagonal/>
    </border>
    <border>
      <left/>
      <right/>
      <top/>
      <bottom style="double">
        <color indexed="52"/>
      </bottom>
      <diagonal/>
    </border>
    <border>
      <left/>
      <right/>
      <top/>
      <bottom style="thick">
        <color indexed="62"/>
      </bottom>
      <diagonal/>
    </border>
    <border>
      <left/>
      <right/>
      <top/>
      <bottom style="medium">
        <color indexed="30"/>
      </bottom>
      <diagonal/>
    </border>
    <border>
      <left/>
      <right/>
      <top style="thin">
        <color indexed="62"/>
      </top>
      <bottom style="double">
        <color indexed="62"/>
      </bottom>
      <diagonal/>
    </border>
    <border>
      <left style="thin">
        <color indexed="64"/>
      </left>
      <right style="thin">
        <color indexed="64"/>
      </right>
      <top style="thin">
        <color indexed="64"/>
      </top>
      <bottom style="double">
        <color indexed="64"/>
      </bottom>
      <diagonal/>
    </border>
    <border>
      <left style="thin">
        <color auto="1"/>
      </left>
      <right/>
      <top/>
      <bottom/>
      <diagonal/>
    </border>
    <border>
      <left style="double">
        <color indexed="64"/>
      </left>
      <right style="thin">
        <color indexed="64"/>
      </right>
      <top style="hair">
        <color indexed="64"/>
      </top>
      <bottom style="thin">
        <color indexed="64"/>
      </bottom>
      <diagonal/>
    </border>
    <border>
      <left style="double">
        <color indexed="64"/>
      </left>
      <right style="thin">
        <color indexed="64"/>
      </right>
      <top style="hair">
        <color indexed="64"/>
      </top>
      <bottom style="hair">
        <color indexed="64"/>
      </bottom>
      <diagonal/>
    </border>
    <border>
      <left style="double">
        <color indexed="64"/>
      </left>
      <right style="thin">
        <color indexed="64"/>
      </right>
      <top style="thin">
        <color indexed="64"/>
      </top>
      <bottom style="thin">
        <color indexed="64"/>
      </bottom>
      <diagonal/>
    </border>
    <border>
      <left style="thin">
        <color indexed="64"/>
      </left>
      <right style="double">
        <color indexed="64"/>
      </right>
      <top/>
      <bottom style="hair">
        <color indexed="64"/>
      </bottom>
      <diagonal/>
    </border>
    <border>
      <left style="thin">
        <color indexed="64"/>
      </left>
      <right style="double">
        <color indexed="64"/>
      </right>
      <top/>
      <bottom style="thin">
        <color indexed="64"/>
      </bottom>
      <diagonal/>
    </border>
    <border>
      <left/>
      <right/>
      <top/>
      <bottom style="thick">
        <color indexed="64"/>
      </bottom>
      <diagonal/>
    </border>
    <border>
      <left style="medium">
        <color indexed="64"/>
      </left>
      <right style="thin">
        <color indexed="64"/>
      </right>
      <top style="thin">
        <color indexed="64"/>
      </top>
      <bottom/>
      <diagonal/>
    </border>
    <border>
      <left style="medium">
        <color indexed="64"/>
      </left>
      <right style="thin">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right style="thin">
        <color indexed="64"/>
      </right>
      <top style="medium">
        <color indexed="64"/>
      </top>
      <bottom/>
      <diagonal/>
    </border>
    <border>
      <left style="medium">
        <color indexed="64"/>
      </left>
      <right style="thin">
        <color indexed="64"/>
      </right>
      <top style="hair">
        <color indexed="64"/>
      </top>
      <bottom style="hair">
        <color indexed="64"/>
      </bottom>
      <diagonal/>
    </border>
    <border>
      <left/>
      <right style="medium">
        <color indexed="64"/>
      </right>
      <top style="hair">
        <color indexed="64"/>
      </top>
      <bottom style="hair">
        <color indexed="64"/>
      </bottom>
      <diagonal/>
    </border>
    <border>
      <left style="medium">
        <color indexed="64"/>
      </left>
      <right style="thin">
        <color indexed="64"/>
      </right>
      <top style="hair">
        <color indexed="64"/>
      </top>
      <bottom style="medium">
        <color indexed="64"/>
      </bottom>
      <diagonal/>
    </border>
    <border>
      <left style="thin">
        <color indexed="64"/>
      </left>
      <right/>
      <top style="hair">
        <color indexed="64"/>
      </top>
      <bottom style="medium">
        <color indexed="64"/>
      </bottom>
      <diagonal/>
    </border>
    <border>
      <left style="thin">
        <color indexed="64"/>
      </left>
      <right style="thin">
        <color indexed="64"/>
      </right>
      <top style="hair">
        <color indexed="64"/>
      </top>
      <bottom style="medium">
        <color indexed="64"/>
      </bottom>
      <diagonal/>
    </border>
    <border>
      <left/>
      <right/>
      <top style="hair">
        <color indexed="64"/>
      </top>
      <bottom style="medium">
        <color indexed="64"/>
      </bottom>
      <diagonal/>
    </border>
    <border>
      <left/>
      <right style="medium">
        <color indexed="64"/>
      </right>
      <top style="hair">
        <color indexed="64"/>
      </top>
      <bottom style="medium">
        <color indexed="64"/>
      </bottom>
      <diagonal/>
    </border>
    <border>
      <left style="thin">
        <color indexed="64"/>
      </left>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dashed">
        <color indexed="64"/>
      </right>
      <top/>
      <bottom style="thin">
        <color indexed="64"/>
      </bottom>
      <diagonal/>
    </border>
    <border>
      <left style="thin">
        <color indexed="64"/>
      </left>
      <right style="medium">
        <color indexed="64"/>
      </right>
      <top style="thin">
        <color indexed="64"/>
      </top>
      <bottom style="hair">
        <color indexed="64"/>
      </bottom>
      <diagonal/>
    </border>
    <border>
      <left/>
      <right style="medium">
        <color indexed="64"/>
      </right>
      <top style="thin">
        <color indexed="64"/>
      </top>
      <bottom style="hair">
        <color indexed="64"/>
      </bottom>
      <diagonal/>
    </border>
    <border>
      <left style="medium">
        <color indexed="64"/>
      </left>
      <right style="dashed">
        <color indexed="64"/>
      </right>
      <top/>
      <bottom style="hair">
        <color indexed="64"/>
      </bottom>
      <diagonal/>
    </border>
    <border>
      <left style="dashed">
        <color indexed="64"/>
      </left>
      <right style="thin">
        <color indexed="64"/>
      </right>
      <top style="thin">
        <color indexed="64"/>
      </top>
      <bottom style="hair">
        <color indexed="64"/>
      </bottom>
      <diagonal/>
    </border>
    <border>
      <left style="thin">
        <color indexed="64"/>
      </left>
      <right style="dashed">
        <color indexed="64"/>
      </right>
      <top style="thin">
        <color indexed="64"/>
      </top>
      <bottom style="hair">
        <color indexed="64"/>
      </bottom>
      <diagonal/>
    </border>
    <border>
      <left style="thin">
        <color indexed="64"/>
      </left>
      <right style="medium">
        <color indexed="64"/>
      </right>
      <top/>
      <bottom style="hair">
        <color indexed="64"/>
      </bottom>
      <diagonal/>
    </border>
    <border>
      <left style="dashed">
        <color indexed="64"/>
      </left>
      <right style="thin">
        <color indexed="64"/>
      </right>
      <top/>
      <bottom style="hair">
        <color indexed="64"/>
      </bottom>
      <diagonal/>
    </border>
    <border>
      <left style="thin">
        <color indexed="64"/>
      </left>
      <right style="dashed">
        <color indexed="64"/>
      </right>
      <top/>
      <bottom style="hair">
        <color indexed="64"/>
      </bottom>
      <diagonal/>
    </border>
    <border>
      <left style="thin">
        <color indexed="64"/>
      </left>
      <right style="medium">
        <color indexed="64"/>
      </right>
      <top style="hair">
        <color indexed="64"/>
      </top>
      <bottom style="hair">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top style="hair">
        <color indexed="64"/>
      </top>
      <bottom style="medium">
        <color indexed="64"/>
      </bottom>
      <diagonal/>
    </border>
    <border>
      <left style="dashed">
        <color indexed="64"/>
      </left>
      <right style="thin">
        <color indexed="64"/>
      </right>
      <top/>
      <bottom style="medium">
        <color indexed="64"/>
      </bottom>
      <diagonal/>
    </border>
    <border>
      <left style="thin">
        <color indexed="64"/>
      </left>
      <right style="dashed">
        <color indexed="64"/>
      </right>
      <top/>
      <bottom style="medium">
        <color indexed="64"/>
      </bottom>
      <diagonal/>
    </border>
    <border>
      <left style="thin">
        <color indexed="64"/>
      </left>
      <right style="medium">
        <color indexed="64"/>
      </right>
      <top style="hair">
        <color indexed="64"/>
      </top>
      <bottom style="medium">
        <color indexed="64"/>
      </bottom>
      <diagonal/>
    </border>
    <border>
      <left style="thin">
        <color indexed="64"/>
      </left>
      <right style="dashed">
        <color indexed="64"/>
      </right>
      <top style="hair">
        <color indexed="64"/>
      </top>
      <bottom style="hair">
        <color indexed="64"/>
      </bottom>
      <diagonal/>
    </border>
    <border>
      <left style="dashed">
        <color indexed="64"/>
      </left>
      <right style="thin">
        <color indexed="64"/>
      </right>
      <top style="hair">
        <color indexed="64"/>
      </top>
      <bottom style="hair">
        <color indexed="64"/>
      </bottom>
      <diagonal/>
    </border>
    <border>
      <left style="thin">
        <color indexed="64"/>
      </left>
      <right style="medium">
        <color indexed="64"/>
      </right>
      <top style="hair">
        <color indexed="64"/>
      </top>
      <bottom style="thin">
        <color indexed="64"/>
      </bottom>
      <diagonal/>
    </border>
    <border>
      <left style="thin">
        <color indexed="64"/>
      </left>
      <right style="dashed">
        <color indexed="64"/>
      </right>
      <top style="hair">
        <color indexed="64"/>
      </top>
      <bottom style="thin">
        <color indexed="64"/>
      </bottom>
      <diagonal/>
    </border>
    <border>
      <left style="dashed">
        <color indexed="64"/>
      </left>
      <right style="thin">
        <color indexed="64"/>
      </right>
      <top style="hair">
        <color indexed="64"/>
      </top>
      <bottom style="thin">
        <color indexed="64"/>
      </bottom>
      <diagonal/>
    </border>
    <border>
      <left style="medium">
        <color indexed="64"/>
      </left>
      <right style="dashed">
        <color indexed="64"/>
      </right>
      <top style="thin">
        <color indexed="64"/>
      </top>
      <bottom style="hair">
        <color indexed="64"/>
      </bottom>
      <diagonal/>
    </border>
    <border>
      <left style="medium">
        <color indexed="64"/>
      </left>
      <right style="dashed">
        <color indexed="64"/>
      </right>
      <top style="hair">
        <color indexed="64"/>
      </top>
      <bottom style="hair">
        <color indexed="64"/>
      </bottom>
      <diagonal/>
    </border>
    <border>
      <left/>
      <right style="dashed">
        <color indexed="64"/>
      </right>
      <top style="hair">
        <color indexed="64"/>
      </top>
      <bottom style="hair">
        <color indexed="64"/>
      </bottom>
      <diagonal/>
    </border>
    <border>
      <left style="medium">
        <color indexed="64"/>
      </left>
      <right style="dashed">
        <color indexed="64"/>
      </right>
      <top style="hair">
        <color indexed="64"/>
      </top>
      <bottom style="thin">
        <color indexed="64"/>
      </bottom>
      <diagonal/>
    </border>
    <border>
      <left style="thin">
        <color indexed="64"/>
      </left>
      <right style="medium">
        <color indexed="64"/>
      </right>
      <top style="hair">
        <color indexed="64"/>
      </top>
      <bottom/>
      <diagonal/>
    </border>
    <border>
      <left/>
      <right style="dashed">
        <color indexed="64"/>
      </right>
      <top/>
      <bottom style="hair">
        <color indexed="64"/>
      </bottom>
      <diagonal/>
    </border>
    <border>
      <left style="medium">
        <color indexed="64"/>
      </left>
      <right style="thin">
        <color indexed="64"/>
      </right>
      <top/>
      <bottom style="medium">
        <color indexed="64"/>
      </bottom>
      <diagonal/>
    </border>
    <border>
      <left style="medium">
        <color indexed="64"/>
      </left>
      <right style="dashed">
        <color indexed="64"/>
      </right>
      <top style="hair">
        <color indexed="64"/>
      </top>
      <bottom style="medium">
        <color indexed="64"/>
      </bottom>
      <diagonal/>
    </border>
    <border>
      <left style="dashed">
        <color indexed="64"/>
      </left>
      <right style="thin">
        <color indexed="64"/>
      </right>
      <top style="hair">
        <color indexed="64"/>
      </top>
      <bottom style="medium">
        <color indexed="64"/>
      </bottom>
      <diagonal/>
    </border>
    <border>
      <left style="thin">
        <color indexed="64"/>
      </left>
      <right style="dashed">
        <color indexed="64"/>
      </right>
      <top style="hair">
        <color indexed="64"/>
      </top>
      <bottom style="medium">
        <color indexed="64"/>
      </bottom>
      <diagonal/>
    </border>
    <border>
      <left style="thin">
        <color auto="1"/>
      </left>
      <right style="thin">
        <color auto="1"/>
      </right>
      <top style="thin">
        <color auto="1"/>
      </top>
      <bottom/>
      <diagonal/>
    </border>
    <border>
      <left style="thin">
        <color auto="1"/>
      </left>
      <right/>
      <top style="thin">
        <color auto="1"/>
      </top>
      <bottom style="thin">
        <color auto="1"/>
      </bottom>
      <diagonal/>
    </border>
    <border>
      <left/>
      <right/>
      <top style="thin">
        <color auto="1"/>
      </top>
      <bottom style="thin">
        <color auto="1"/>
      </bottom>
      <diagonal/>
    </border>
    <border>
      <left/>
      <right style="medium">
        <color indexed="64"/>
      </right>
      <top style="thin">
        <color indexed="64"/>
      </top>
      <bottom style="thin">
        <color indexed="64"/>
      </bottom>
      <diagonal/>
    </border>
    <border>
      <left/>
      <right style="thin">
        <color auto="1"/>
      </right>
      <top style="thin">
        <color auto="1"/>
      </top>
      <bottom style="thin">
        <color auto="1"/>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diagonal/>
    </border>
    <border>
      <left style="medium">
        <color indexed="64"/>
      </left>
      <right/>
      <top style="thin">
        <color indexed="64"/>
      </top>
      <bottom/>
      <diagonal/>
    </border>
    <border>
      <left style="thin">
        <color auto="1"/>
      </left>
      <right style="thin">
        <color auto="1"/>
      </right>
      <top/>
      <bottom/>
      <diagonal/>
    </border>
    <border>
      <left style="medium">
        <color indexed="64"/>
      </left>
      <right style="dashed">
        <color indexed="64"/>
      </right>
      <top style="thin">
        <color indexed="64"/>
      </top>
      <bottom/>
      <diagonal/>
    </border>
    <border>
      <left style="thin">
        <color indexed="64"/>
      </left>
      <right style="dashed">
        <color indexed="64"/>
      </right>
      <top style="thin">
        <color indexed="64"/>
      </top>
      <bottom/>
      <diagonal/>
    </border>
    <border>
      <left style="dashed">
        <color indexed="64"/>
      </left>
      <right style="thin">
        <color indexed="64"/>
      </right>
      <top style="thin">
        <color indexed="64"/>
      </top>
      <bottom/>
      <diagonal/>
    </border>
    <border>
      <left/>
      <right style="dashed">
        <color indexed="64"/>
      </right>
      <top style="thin">
        <color indexed="64"/>
      </top>
      <bottom/>
      <diagonal/>
    </border>
    <border>
      <left/>
      <right style="dashed">
        <color indexed="64"/>
      </right>
      <top/>
      <bottom style="thin">
        <color indexed="64"/>
      </bottom>
      <diagonal/>
    </border>
    <border>
      <left style="thin">
        <color indexed="64"/>
      </left>
      <right/>
      <top style="thin">
        <color indexed="64"/>
      </top>
      <bottom/>
      <diagonal/>
    </border>
    <border>
      <left/>
      <right style="medium">
        <color indexed="64"/>
      </right>
      <top style="thin">
        <color indexed="64"/>
      </top>
      <bottom/>
      <diagonal/>
    </border>
    <border>
      <left/>
      <right style="dashed">
        <color indexed="64"/>
      </right>
      <top style="thin">
        <color indexed="64"/>
      </top>
      <bottom style="hair">
        <color indexed="64"/>
      </bottom>
      <diagonal/>
    </border>
    <border>
      <left/>
      <right style="medium">
        <color indexed="64"/>
      </right>
      <top/>
      <bottom style="hair">
        <color indexed="64"/>
      </bottom>
      <diagonal/>
    </border>
    <border>
      <left/>
      <right style="dashed">
        <color indexed="64"/>
      </right>
      <top style="hair">
        <color indexed="64"/>
      </top>
      <bottom style="medium">
        <color indexed="64"/>
      </bottom>
      <diagonal/>
    </border>
    <border>
      <left style="thin">
        <color indexed="64"/>
      </left>
      <right style="thin">
        <color indexed="64"/>
      </right>
      <top style="medium">
        <color indexed="64"/>
      </top>
      <bottom style="hair">
        <color indexed="64"/>
      </bottom>
      <diagonal/>
    </border>
    <border>
      <left style="thin">
        <color indexed="64"/>
      </left>
      <right style="dashed">
        <color indexed="64"/>
      </right>
      <top style="hair">
        <color indexed="64"/>
      </top>
      <bottom/>
      <diagonal/>
    </border>
    <border>
      <left style="dashed">
        <color indexed="64"/>
      </left>
      <right style="thin">
        <color indexed="64"/>
      </right>
      <top style="hair">
        <color indexed="64"/>
      </top>
      <bottom/>
      <diagonal/>
    </border>
    <border>
      <left/>
      <right style="dashed">
        <color indexed="64"/>
      </right>
      <top style="hair">
        <color indexed="64"/>
      </top>
      <bottom/>
      <diagonal/>
    </border>
    <border>
      <left style="thin">
        <color indexed="64"/>
      </left>
      <right style="medium">
        <color indexed="64"/>
      </right>
      <top style="medium">
        <color indexed="64"/>
      </top>
      <bottom style="hair">
        <color indexed="64"/>
      </bottom>
      <diagonal/>
    </border>
    <border>
      <left style="hair">
        <color indexed="64"/>
      </left>
      <right style="thin">
        <color indexed="64"/>
      </right>
      <top style="hair">
        <color indexed="64"/>
      </top>
      <bottom style="hair">
        <color indexed="64"/>
      </bottom>
      <diagonal/>
    </border>
    <border>
      <left style="medium">
        <color indexed="64"/>
      </left>
      <right style="dashed">
        <color indexed="64"/>
      </right>
      <top/>
      <bottom/>
      <diagonal/>
    </border>
    <border>
      <left/>
      <right style="dashed">
        <color indexed="64"/>
      </right>
      <top/>
      <bottom/>
      <diagonal/>
    </border>
    <border>
      <left style="medium">
        <color indexed="64"/>
      </left>
      <right/>
      <top/>
      <bottom style="double">
        <color indexed="64"/>
      </bottom>
      <diagonal/>
    </border>
    <border>
      <left style="thin">
        <color indexed="64"/>
      </left>
      <right/>
      <top/>
      <bottom style="double">
        <color indexed="64"/>
      </bottom>
      <diagonal/>
    </border>
    <border>
      <left style="thin">
        <color auto="1"/>
      </left>
      <right style="thin">
        <color auto="1"/>
      </right>
      <top/>
      <bottom style="double">
        <color indexed="64"/>
      </bottom>
      <diagonal/>
    </border>
    <border>
      <left style="thin">
        <color indexed="64"/>
      </left>
      <right style="medium">
        <color indexed="64"/>
      </right>
      <top/>
      <bottom style="double">
        <color indexed="64"/>
      </bottom>
      <diagonal/>
    </border>
    <border>
      <left style="medium">
        <color indexed="64"/>
      </left>
      <right style="dashed">
        <color indexed="64"/>
      </right>
      <top/>
      <bottom style="double">
        <color indexed="64"/>
      </bottom>
      <diagonal/>
    </border>
    <border>
      <left style="dashed">
        <color indexed="64"/>
      </left>
      <right style="thin">
        <color indexed="64"/>
      </right>
      <top/>
      <bottom style="double">
        <color indexed="64"/>
      </bottom>
      <diagonal/>
    </border>
    <border>
      <left style="thin">
        <color indexed="64"/>
      </left>
      <right style="dashed">
        <color indexed="64"/>
      </right>
      <top/>
      <bottom style="double">
        <color indexed="64"/>
      </bottom>
      <diagonal/>
    </border>
    <border>
      <left/>
      <right style="dashed">
        <color indexed="64"/>
      </right>
      <top/>
      <bottom style="double">
        <color indexed="64"/>
      </bottom>
      <diagonal/>
    </border>
    <border>
      <left/>
      <right style="medium">
        <color indexed="64"/>
      </right>
      <top style="hair">
        <color indexed="64"/>
      </top>
      <bottom/>
      <diagonal/>
    </border>
    <border>
      <left style="medium">
        <color auto="1"/>
      </left>
      <right style="thin">
        <color indexed="64"/>
      </right>
      <top/>
      <bottom style="double">
        <color auto="1"/>
      </bottom>
      <diagonal/>
    </border>
    <border>
      <left style="thin">
        <color indexed="64"/>
      </left>
      <right style="thin">
        <color indexed="64"/>
      </right>
      <top style="hair">
        <color indexed="64"/>
      </top>
      <bottom style="double">
        <color indexed="64"/>
      </bottom>
      <diagonal/>
    </border>
    <border>
      <left/>
      <right style="medium">
        <color indexed="64"/>
      </right>
      <top/>
      <bottom style="double">
        <color indexed="64"/>
      </bottom>
      <diagonal/>
    </border>
    <border>
      <left style="medium">
        <color indexed="64"/>
      </left>
      <right style="dashed">
        <color indexed="64"/>
      </right>
      <top style="hair">
        <color indexed="64"/>
      </top>
      <bottom style="double">
        <color indexed="64"/>
      </bottom>
      <diagonal/>
    </border>
    <border>
      <left style="dashed">
        <color indexed="64"/>
      </left>
      <right style="thin">
        <color indexed="64"/>
      </right>
      <top style="hair">
        <color indexed="64"/>
      </top>
      <bottom style="double">
        <color indexed="64"/>
      </bottom>
      <diagonal/>
    </border>
    <border>
      <left style="thin">
        <color indexed="64"/>
      </left>
      <right style="dashed">
        <color indexed="64"/>
      </right>
      <top style="hair">
        <color indexed="64"/>
      </top>
      <bottom style="double">
        <color indexed="64"/>
      </bottom>
      <diagonal/>
    </border>
    <border>
      <left/>
      <right style="dashed">
        <color indexed="64"/>
      </right>
      <top style="hair">
        <color indexed="64"/>
      </top>
      <bottom style="double">
        <color indexed="64"/>
      </bottom>
      <diagonal/>
    </border>
    <border>
      <left style="thin">
        <color indexed="64"/>
      </left>
      <right style="medium">
        <color indexed="64"/>
      </right>
      <top style="hair">
        <color indexed="64"/>
      </top>
      <bottom style="double">
        <color indexed="64"/>
      </bottom>
      <diagonal/>
    </border>
    <border>
      <left style="medium">
        <color auto="1"/>
      </left>
      <right/>
      <top style="double">
        <color auto="1"/>
      </top>
      <bottom/>
      <diagonal/>
    </border>
    <border>
      <left style="thin">
        <color indexed="64"/>
      </left>
      <right/>
      <top style="double">
        <color auto="1"/>
      </top>
      <bottom style="hair">
        <color indexed="64"/>
      </bottom>
      <diagonal/>
    </border>
    <border>
      <left style="thin">
        <color indexed="64"/>
      </left>
      <right style="thin">
        <color indexed="64"/>
      </right>
      <top style="double">
        <color auto="1"/>
      </top>
      <bottom style="hair">
        <color indexed="64"/>
      </bottom>
      <diagonal/>
    </border>
    <border>
      <left style="thin">
        <color indexed="64"/>
      </left>
      <right style="medium">
        <color indexed="64"/>
      </right>
      <top style="double">
        <color auto="1"/>
      </top>
      <bottom style="hair">
        <color indexed="64"/>
      </bottom>
      <diagonal/>
    </border>
    <border>
      <left style="thin">
        <color indexed="64"/>
      </left>
      <right style="dashed">
        <color indexed="64"/>
      </right>
      <top style="double">
        <color auto="1"/>
      </top>
      <bottom/>
      <diagonal/>
    </border>
    <border>
      <left style="dashed">
        <color indexed="64"/>
      </left>
      <right style="thin">
        <color indexed="64"/>
      </right>
      <top style="double">
        <color auto="1"/>
      </top>
      <bottom/>
      <diagonal/>
    </border>
    <border>
      <left/>
      <right style="dashed">
        <color indexed="64"/>
      </right>
      <top style="double">
        <color auto="1"/>
      </top>
      <bottom/>
      <diagonal/>
    </border>
    <border>
      <left/>
      <right style="dashed">
        <color indexed="64"/>
      </right>
      <top style="hair">
        <color indexed="64"/>
      </top>
      <bottom style="thin">
        <color indexed="64"/>
      </bottom>
      <diagonal/>
    </border>
    <border>
      <left style="thin">
        <color indexed="64"/>
      </left>
      <right/>
      <top/>
      <bottom style="medium">
        <color indexed="64"/>
      </bottom>
      <diagonal/>
    </border>
    <border>
      <left/>
      <right style="dashed">
        <color indexed="64"/>
      </right>
      <top/>
      <bottom style="medium">
        <color indexed="64"/>
      </bottom>
      <diagonal/>
    </border>
    <border>
      <left/>
      <right style="thin">
        <color auto="1"/>
      </right>
      <top/>
      <bottom/>
      <diagonal/>
    </border>
    <border>
      <left style="thin">
        <color indexed="64"/>
      </left>
      <right style="double">
        <color indexed="64"/>
      </right>
      <top/>
      <bottom/>
      <diagonal/>
    </border>
    <border>
      <left style="double">
        <color indexed="64"/>
      </left>
      <right style="thin">
        <color indexed="64"/>
      </right>
      <top/>
      <bottom style="thin">
        <color indexed="64"/>
      </bottom>
      <diagonal/>
    </border>
    <border>
      <left style="thin">
        <color indexed="64"/>
      </left>
      <right style="double">
        <color indexed="64"/>
      </right>
      <top style="thin">
        <color indexed="64"/>
      </top>
      <bottom style="hair">
        <color indexed="64"/>
      </bottom>
      <diagonal/>
    </border>
    <border>
      <left style="thin">
        <color indexed="64"/>
      </left>
      <right style="thin">
        <color indexed="64"/>
      </right>
      <top style="double">
        <color indexed="64"/>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right style="double">
        <color indexed="64"/>
      </right>
      <top style="thin">
        <color indexed="64"/>
      </top>
      <bottom style="hair">
        <color indexed="64"/>
      </bottom>
      <diagonal/>
    </border>
    <border>
      <left/>
      <right style="double">
        <color indexed="64"/>
      </right>
      <top style="hair">
        <color indexed="64"/>
      </top>
      <bottom style="hair">
        <color indexed="64"/>
      </bottom>
      <diagonal/>
    </border>
    <border>
      <left/>
      <right style="double">
        <color indexed="64"/>
      </right>
      <top style="hair">
        <color indexed="64"/>
      </top>
      <bottom style="thin">
        <color indexed="64"/>
      </bottom>
      <diagonal/>
    </border>
  </borders>
  <cellStyleXfs count="573">
    <xf numFmtId="0" fontId="0" fillId="0" borderId="0" applyBorder="0"/>
    <xf numFmtId="6" fontId="3" fillId="0" borderId="0" applyFont="0" applyFill="0" applyBorder="0" applyAlignment="0" applyProtection="0"/>
    <xf numFmtId="0" fontId="10" fillId="0" borderId="0">
      <alignment vertical="center"/>
    </xf>
    <xf numFmtId="0" fontId="10" fillId="0" borderId="0">
      <alignment vertical="center"/>
    </xf>
    <xf numFmtId="0" fontId="10" fillId="0" borderId="0"/>
    <xf numFmtId="0" fontId="3" fillId="0" borderId="0"/>
    <xf numFmtId="0" fontId="3" fillId="0" borderId="0"/>
    <xf numFmtId="0" fontId="3" fillId="0" borderId="0" applyBorder="0"/>
    <xf numFmtId="0" fontId="3" fillId="0" borderId="0"/>
    <xf numFmtId="0" fontId="3" fillId="0" borderId="0">
      <alignment vertical="center"/>
    </xf>
    <xf numFmtId="0" fontId="3" fillId="0" borderId="0"/>
    <xf numFmtId="0" fontId="3" fillId="0" borderId="0" applyBorder="0"/>
    <xf numFmtId="184" fontId="36" fillId="0" borderId="0" applyFill="0" applyBorder="0" applyAlignment="0"/>
    <xf numFmtId="38" fontId="37" fillId="5" borderId="0" applyNumberFormat="0" applyBorder="0" applyAlignment="0" applyProtection="0"/>
    <xf numFmtId="0" fontId="38" fillId="0" borderId="88" applyNumberFormat="0" applyAlignment="0" applyProtection="0">
      <alignment horizontal="left" vertical="center"/>
    </xf>
    <xf numFmtId="0" fontId="38" fillId="0" borderId="47">
      <alignment horizontal="left" vertical="center"/>
    </xf>
    <xf numFmtId="10" fontId="37" fillId="6" borderId="2" applyNumberFormat="0" applyBorder="0" applyAlignment="0" applyProtection="0"/>
    <xf numFmtId="38" fontId="39" fillId="0" borderId="0"/>
    <xf numFmtId="38" fontId="40" fillId="1" borderId="9"/>
    <xf numFmtId="185" fontId="41" fillId="0" borderId="0"/>
    <xf numFmtId="0" fontId="42" fillId="0" borderId="0"/>
    <xf numFmtId="0" fontId="42" fillId="0" borderId="0"/>
    <xf numFmtId="10" fontId="42" fillId="0" borderId="0" applyFont="0" applyFill="0" applyBorder="0" applyAlignment="0" applyProtection="0"/>
    <xf numFmtId="38" fontId="39" fillId="0" borderId="6"/>
    <xf numFmtId="0" fontId="43" fillId="5" borderId="0">
      <alignment horizontal="center"/>
    </xf>
    <xf numFmtId="9" fontId="3" fillId="0" borderId="0" applyFont="0" applyFill="0" applyBorder="0" applyAlignment="0" applyProtection="0"/>
    <xf numFmtId="38" fontId="3" fillId="0" borderId="0" applyFont="0" applyFill="0" applyBorder="0" applyAlignment="0" applyProtection="0"/>
    <xf numFmtId="38" fontId="3" fillId="0" borderId="0" applyFont="0" applyFill="0" applyBorder="0" applyAlignment="0" applyProtection="0"/>
    <xf numFmtId="6" fontId="3" fillId="0" borderId="0" applyFont="0" applyFill="0" applyBorder="0" applyAlignment="0" applyProtection="0"/>
    <xf numFmtId="6" fontId="3" fillId="0" borderId="0" applyFont="0" applyFill="0" applyBorder="0" applyAlignment="0" applyProtection="0"/>
    <xf numFmtId="6" fontId="3" fillId="0" borderId="0" applyFont="0" applyFill="0" applyBorder="0" applyAlignment="0" applyProtection="0"/>
    <xf numFmtId="6" fontId="3" fillId="0" borderId="0" applyFont="0" applyFill="0" applyBorder="0" applyAlignment="0" applyProtection="0"/>
    <xf numFmtId="6" fontId="3" fillId="0" borderId="0" applyFont="0" applyFill="0" applyBorder="0" applyAlignment="0" applyProtection="0"/>
    <xf numFmtId="6" fontId="3" fillId="0" borderId="0" applyFont="0" applyFill="0" applyBorder="0" applyAlignment="0" applyProtection="0"/>
    <xf numFmtId="6" fontId="3" fillId="0" borderId="0" applyFont="0" applyFill="0" applyBorder="0" applyAlignment="0" applyProtection="0"/>
    <xf numFmtId="6" fontId="3" fillId="0" borderId="0" applyFont="0" applyFill="0" applyBorder="0" applyAlignment="0" applyProtection="0"/>
    <xf numFmtId="6" fontId="3" fillId="0" borderId="0" applyFont="0" applyFill="0" applyBorder="0" applyAlignment="0" applyProtection="0"/>
    <xf numFmtId="6" fontId="3" fillId="0" borderId="0" applyFont="0" applyFill="0" applyBorder="0" applyAlignment="0" applyProtection="0"/>
    <xf numFmtId="6" fontId="3" fillId="0" borderId="0" applyFont="0" applyFill="0" applyBorder="0" applyAlignment="0" applyProtection="0"/>
    <xf numFmtId="6" fontId="3" fillId="0" borderId="0" applyFont="0" applyFill="0" applyBorder="0" applyAlignment="0" applyProtection="0"/>
    <xf numFmtId="6" fontId="3" fillId="0" borderId="0" applyFont="0" applyFill="0" applyBorder="0" applyAlignment="0" applyProtection="0"/>
    <xf numFmtId="6" fontId="3" fillId="0" borderId="0" applyFont="0" applyFill="0" applyBorder="0" applyAlignment="0" applyProtection="0"/>
    <xf numFmtId="6" fontId="3" fillId="0" borderId="0" applyFont="0" applyFill="0" applyBorder="0" applyAlignment="0" applyProtection="0"/>
    <xf numFmtId="6" fontId="3" fillId="0" borderId="0" applyFont="0" applyFill="0" applyBorder="0" applyAlignment="0" applyProtection="0"/>
    <xf numFmtId="6" fontId="3" fillId="0" borderId="0" applyFont="0" applyFill="0" applyBorder="0" applyAlignment="0" applyProtection="0"/>
    <xf numFmtId="6" fontId="3" fillId="0" borderId="0" applyFont="0" applyFill="0" applyBorder="0" applyAlignment="0" applyProtection="0"/>
    <xf numFmtId="6" fontId="3" fillId="0" borderId="0" applyFont="0" applyFill="0" applyBorder="0" applyAlignment="0" applyProtection="0"/>
    <xf numFmtId="6" fontId="3" fillId="0" borderId="0" applyFont="0" applyFill="0" applyBorder="0" applyAlignment="0" applyProtection="0"/>
    <xf numFmtId="6" fontId="3" fillId="0" borderId="0" applyFont="0" applyFill="0" applyBorder="0" applyAlignment="0" applyProtection="0"/>
    <xf numFmtId="6" fontId="3" fillId="0" borderId="0" applyFont="0" applyFill="0" applyBorder="0" applyAlignment="0" applyProtection="0"/>
    <xf numFmtId="6" fontId="3" fillId="0" borderId="0" applyFont="0" applyFill="0" applyBorder="0" applyAlignment="0" applyProtection="0"/>
    <xf numFmtId="6" fontId="3" fillId="0" borderId="0" applyFont="0" applyFill="0" applyBorder="0" applyAlignment="0" applyProtection="0"/>
    <xf numFmtId="6" fontId="3" fillId="0" borderId="0" applyFont="0" applyFill="0" applyBorder="0" applyAlignment="0" applyProtection="0"/>
    <xf numFmtId="6" fontId="3" fillId="0" borderId="0" applyFont="0" applyFill="0" applyBorder="0" applyAlignment="0" applyProtection="0"/>
    <xf numFmtId="6" fontId="3" fillId="0" borderId="0" applyFont="0" applyFill="0" applyBorder="0" applyAlignment="0" applyProtection="0"/>
    <xf numFmtId="6" fontId="3" fillId="0" borderId="0" applyFont="0" applyFill="0" applyBorder="0" applyAlignment="0" applyProtection="0"/>
    <xf numFmtId="6" fontId="3" fillId="0" borderId="0" applyFont="0" applyFill="0" applyBorder="0" applyAlignment="0" applyProtection="0"/>
    <xf numFmtId="6" fontId="3" fillId="0" borderId="0" applyFont="0" applyFill="0" applyBorder="0" applyAlignment="0" applyProtection="0"/>
    <xf numFmtId="6" fontId="3" fillId="0" borderId="0" applyFont="0" applyFill="0" applyBorder="0" applyAlignment="0" applyProtection="0"/>
    <xf numFmtId="6" fontId="3" fillId="0" borderId="0" applyFont="0" applyFill="0" applyBorder="0" applyAlignment="0" applyProtection="0"/>
    <xf numFmtId="6" fontId="3" fillId="0" borderId="0" applyFont="0" applyFill="0" applyBorder="0" applyAlignment="0" applyProtection="0"/>
    <xf numFmtId="6" fontId="3" fillId="0" borderId="0" applyFont="0" applyFill="0" applyBorder="0" applyAlignment="0" applyProtection="0"/>
    <xf numFmtId="6" fontId="3" fillId="0" borderId="0" applyFont="0" applyFill="0" applyBorder="0" applyAlignment="0" applyProtection="0"/>
    <xf numFmtId="6" fontId="3" fillId="0" borderId="0" applyFont="0" applyFill="0" applyBorder="0" applyAlignment="0" applyProtection="0"/>
    <xf numFmtId="6" fontId="3" fillId="0" borderId="0" applyFont="0" applyFill="0" applyBorder="0" applyAlignment="0" applyProtection="0"/>
    <xf numFmtId="0" fontId="3" fillId="0" borderId="0"/>
    <xf numFmtId="0" fontId="3" fillId="0" borderId="0"/>
    <xf numFmtId="0" fontId="3" fillId="0" borderId="0"/>
    <xf numFmtId="0" fontId="44" fillId="0" borderId="0">
      <alignment vertical="center"/>
    </xf>
    <xf numFmtId="0" fontId="44" fillId="0" borderId="0">
      <alignment vertical="center"/>
    </xf>
    <xf numFmtId="0" fontId="3" fillId="0" borderId="0" applyBorder="0"/>
    <xf numFmtId="0" fontId="57" fillId="0" borderId="0" applyFont="0" applyFill="0" applyBorder="0" applyAlignment="0" applyProtection="0"/>
    <xf numFmtId="0" fontId="39" fillId="0" borderId="0">
      <alignment horizontal="center"/>
    </xf>
    <xf numFmtId="189" fontId="39" fillId="0" borderId="0" applyFont="0" applyFill="0" applyBorder="0" applyAlignment="0"/>
    <xf numFmtId="0" fontId="57" fillId="0" borderId="0" applyFont="0" applyFill="0" applyBorder="0" applyAlignment="0" applyProtection="0"/>
    <xf numFmtId="0" fontId="58" fillId="0" borderId="0" applyFont="0" applyFill="0" applyBorder="0" applyAlignment="0" applyProtection="0"/>
    <xf numFmtId="190" fontId="59" fillId="0" borderId="0" applyFont="0" applyFill="0" applyBorder="0" applyAlignment="0" applyProtection="0"/>
    <xf numFmtId="1" fontId="60" fillId="0" borderId="0"/>
    <xf numFmtId="0" fontId="57" fillId="0" borderId="0" applyFont="0" applyFill="0" applyBorder="0" applyAlignment="0" applyProtection="0"/>
    <xf numFmtId="0" fontId="42" fillId="0" borderId="0" applyFont="0" applyFill="0" applyBorder="0" applyAlignment="0" applyProtection="0"/>
    <xf numFmtId="0" fontId="61" fillId="0" borderId="0" applyNumberFormat="0" applyFill="0" applyBorder="0" applyAlignment="0" applyProtection="0">
      <alignment vertical="top"/>
      <protection locked="0"/>
    </xf>
    <xf numFmtId="0" fontId="42" fillId="0" borderId="0" applyFont="0" applyFill="0" applyBorder="0" applyAlignment="0" applyProtection="0"/>
    <xf numFmtId="1" fontId="62" fillId="0" borderId="0"/>
    <xf numFmtId="40" fontId="63" fillId="0" borderId="0" applyFont="0" applyFill="0" applyBorder="0" applyAlignment="0" applyProtection="0"/>
    <xf numFmtId="38" fontId="63" fillId="0" borderId="0" applyFont="0" applyFill="0" applyBorder="0" applyAlignment="0" applyProtection="0"/>
    <xf numFmtId="40" fontId="63" fillId="0" borderId="0" applyFont="0" applyFill="0" applyBorder="0" applyAlignment="0" applyProtection="0"/>
    <xf numFmtId="38" fontId="63" fillId="0" borderId="0" applyFont="0" applyFill="0" applyBorder="0" applyAlignment="0" applyProtection="0"/>
    <xf numFmtId="0" fontId="64" fillId="0" borderId="0"/>
    <xf numFmtId="0" fontId="65" fillId="0" borderId="0"/>
    <xf numFmtId="0" fontId="57" fillId="0" borderId="0" applyFont="0" applyFill="0" applyBorder="0" applyAlignment="0" applyProtection="0"/>
    <xf numFmtId="0" fontId="57" fillId="0" borderId="0" applyFont="0" applyFill="0" applyBorder="0" applyAlignment="0" applyProtection="0"/>
    <xf numFmtId="0" fontId="57" fillId="0" borderId="0" applyFont="0" applyFill="0" applyBorder="0" applyAlignment="0" applyProtection="0"/>
    <xf numFmtId="0" fontId="57" fillId="0" borderId="0" applyFont="0" applyFill="0" applyBorder="0" applyAlignment="0" applyProtection="0"/>
    <xf numFmtId="0" fontId="66" fillId="0" borderId="0" applyFont="0" applyFill="0" applyBorder="0" applyAlignment="0" applyProtection="0"/>
    <xf numFmtId="0" fontId="57" fillId="0" borderId="0" applyFont="0" applyFill="0" applyBorder="0" applyAlignment="0" applyProtection="0"/>
    <xf numFmtId="0" fontId="57" fillId="0" borderId="0" applyFont="0" applyFill="0" applyBorder="0" applyAlignment="0" applyProtection="0"/>
    <xf numFmtId="0" fontId="66" fillId="0" borderId="0" applyFont="0" applyFill="0" applyBorder="0" applyAlignment="0" applyProtection="0"/>
    <xf numFmtId="0" fontId="57" fillId="0" borderId="0" applyFont="0" applyFill="0" applyBorder="0" applyAlignment="0" applyProtection="0"/>
    <xf numFmtId="0" fontId="57" fillId="0" borderId="0" applyFont="0" applyFill="0" applyBorder="0" applyAlignment="0" applyProtection="0"/>
    <xf numFmtId="0" fontId="66" fillId="0" borderId="0" applyFont="0" applyFill="0" applyBorder="0" applyAlignment="0" applyProtection="0"/>
    <xf numFmtId="0" fontId="57" fillId="0" borderId="0" applyFont="0" applyFill="0" applyBorder="0" applyAlignment="0" applyProtection="0"/>
    <xf numFmtId="0" fontId="57" fillId="0" borderId="0" applyFont="0" applyFill="0" applyBorder="0" applyAlignment="0" applyProtection="0"/>
    <xf numFmtId="0" fontId="57" fillId="0" borderId="0" applyFont="0" applyFill="0" applyBorder="0" applyAlignment="0" applyProtection="0"/>
    <xf numFmtId="0" fontId="66" fillId="0" borderId="0" applyFont="0" applyFill="0" applyBorder="0" applyAlignment="0" applyProtection="0"/>
    <xf numFmtId="0" fontId="57" fillId="0" borderId="0" applyFont="0" applyFill="0" applyBorder="0" applyAlignment="0" applyProtection="0"/>
    <xf numFmtId="0" fontId="57" fillId="0" borderId="0" applyFont="0" applyFill="0" applyBorder="0" applyAlignment="0" applyProtection="0"/>
    <xf numFmtId="0" fontId="57" fillId="0" borderId="0" applyFont="0" applyFill="0" applyBorder="0" applyAlignment="0" applyProtection="0"/>
    <xf numFmtId="0" fontId="57" fillId="0" borderId="0" applyFont="0" applyFill="0" applyBorder="0" applyAlignment="0" applyProtection="0"/>
    <xf numFmtId="0" fontId="66" fillId="0" borderId="0" applyFont="0" applyFill="0" applyBorder="0" applyAlignment="0" applyProtection="0"/>
    <xf numFmtId="0" fontId="57" fillId="0" borderId="0" applyFont="0" applyFill="0" applyBorder="0" applyAlignment="0" applyProtection="0"/>
    <xf numFmtId="0" fontId="57" fillId="0" borderId="0" applyFont="0" applyFill="0" applyBorder="0" applyAlignment="0" applyProtection="0"/>
    <xf numFmtId="0" fontId="57" fillId="0" borderId="0" applyFont="0" applyFill="0" applyBorder="0" applyAlignment="0" applyProtection="0"/>
    <xf numFmtId="0" fontId="66" fillId="0" borderId="0" applyFont="0" applyFill="0" applyBorder="0" applyAlignment="0" applyProtection="0"/>
    <xf numFmtId="0" fontId="57" fillId="0" borderId="0" applyFont="0" applyFill="0" applyBorder="0" applyAlignment="0" applyProtection="0"/>
    <xf numFmtId="0" fontId="57" fillId="0" borderId="0" applyFont="0" applyFill="0" applyBorder="0" applyAlignment="0" applyProtection="0"/>
    <xf numFmtId="0" fontId="57" fillId="0" borderId="0" applyFont="0" applyFill="0" applyBorder="0" applyAlignment="0" applyProtection="0"/>
    <xf numFmtId="0" fontId="66" fillId="0" borderId="0" applyFont="0" applyFill="0" applyBorder="0" applyAlignment="0" applyProtection="0"/>
    <xf numFmtId="0" fontId="57" fillId="0" borderId="0" applyFont="0" applyFill="0" applyBorder="0" applyAlignment="0" applyProtection="0"/>
    <xf numFmtId="0" fontId="57" fillId="0" borderId="0" applyFont="0" applyFill="0" applyBorder="0" applyAlignment="0" applyProtection="0"/>
    <xf numFmtId="0" fontId="57" fillId="0" borderId="0" applyFont="0" applyFill="0" applyBorder="0" applyAlignment="0" applyProtection="0"/>
    <xf numFmtId="0" fontId="66" fillId="0" borderId="0" applyFont="0" applyFill="0" applyBorder="0" applyAlignment="0" applyProtection="0"/>
    <xf numFmtId="0" fontId="57" fillId="0" borderId="0" applyFont="0" applyFill="0" applyBorder="0" applyAlignment="0" applyProtection="0"/>
    <xf numFmtId="0" fontId="57" fillId="0" borderId="0" applyFont="0" applyFill="0" applyBorder="0" applyAlignment="0" applyProtection="0"/>
    <xf numFmtId="0" fontId="57" fillId="0" borderId="0" applyFont="0" applyFill="0" applyBorder="0" applyAlignment="0" applyProtection="0"/>
    <xf numFmtId="0" fontId="57" fillId="0" borderId="0" applyFont="0" applyFill="0" applyBorder="0" applyAlignment="0" applyProtection="0"/>
    <xf numFmtId="0" fontId="66" fillId="0" borderId="0" applyFont="0" applyFill="0" applyBorder="0" applyAlignment="0" applyProtection="0"/>
    <xf numFmtId="191" fontId="3" fillId="0" borderId="0" applyFont="0" applyFill="0" applyBorder="0" applyAlignment="0" applyProtection="0"/>
    <xf numFmtId="192" fontId="3" fillId="0" borderId="0" applyFont="0" applyFill="0" applyBorder="0" applyAlignment="0" applyProtection="0"/>
    <xf numFmtId="39" fontId="3" fillId="0" borderId="0" applyFont="0" applyFill="0" applyBorder="0" applyAlignment="0" applyProtection="0"/>
    <xf numFmtId="0" fontId="57" fillId="0" borderId="0" applyFont="0" applyFill="0" applyBorder="0" applyAlignment="0" applyProtection="0"/>
    <xf numFmtId="0" fontId="57" fillId="0" borderId="0" applyFont="0" applyFill="0" applyBorder="0" applyAlignment="0" applyProtection="0"/>
    <xf numFmtId="0" fontId="57" fillId="0" borderId="0" applyFont="0" applyFill="0" applyBorder="0" applyAlignment="0" applyProtection="0"/>
    <xf numFmtId="0" fontId="57" fillId="0" borderId="0" applyFont="0" applyFill="0" applyBorder="0" applyAlignment="0" applyProtection="0"/>
    <xf numFmtId="193" fontId="3" fillId="0" borderId="0" applyFont="0" applyFill="0" applyBorder="0" applyAlignment="0" applyProtection="0"/>
    <xf numFmtId="194" fontId="3" fillId="0" borderId="0" applyFont="0" applyFill="0" applyBorder="0" applyAlignment="0" applyProtection="0"/>
    <xf numFmtId="195" fontId="3" fillId="0" borderId="0" applyFont="0" applyFill="0" applyBorder="0" applyAlignment="0" applyProtection="0"/>
    <xf numFmtId="196" fontId="3" fillId="0" borderId="0" applyFont="0" applyFill="0" applyBorder="0" applyAlignment="0" applyProtection="0"/>
    <xf numFmtId="0" fontId="57" fillId="0" borderId="0" applyFont="0" applyFill="0" applyBorder="0" applyAlignment="0" applyProtection="0"/>
    <xf numFmtId="0" fontId="66" fillId="0" borderId="0" applyFont="0" applyFill="0" applyBorder="0" applyAlignment="0" applyProtection="0"/>
    <xf numFmtId="0" fontId="57" fillId="0" borderId="0" applyFont="0" applyFill="0" applyBorder="0" applyAlignment="0" applyProtection="0"/>
    <xf numFmtId="0" fontId="57" fillId="0" borderId="0" applyFont="0" applyFill="0" applyBorder="0" applyAlignment="0" applyProtection="0"/>
    <xf numFmtId="0" fontId="57" fillId="0" borderId="0" applyFont="0" applyFill="0" applyBorder="0" applyAlignment="0" applyProtection="0"/>
    <xf numFmtId="0" fontId="66" fillId="0" borderId="0" applyFont="0" applyFill="0" applyBorder="0" applyAlignment="0" applyProtection="0"/>
    <xf numFmtId="0" fontId="57" fillId="0" borderId="0" applyFont="0" applyFill="0" applyBorder="0" applyAlignment="0" applyProtection="0"/>
    <xf numFmtId="0" fontId="57" fillId="0" borderId="0" applyFont="0" applyFill="0" applyBorder="0" applyAlignment="0" applyProtection="0"/>
    <xf numFmtId="0" fontId="57" fillId="0" borderId="0" applyFont="0" applyFill="0" applyBorder="0" applyAlignment="0" applyProtection="0"/>
    <xf numFmtId="0" fontId="66" fillId="0" borderId="0" applyFont="0" applyFill="0" applyBorder="0" applyAlignment="0" applyProtection="0"/>
    <xf numFmtId="0" fontId="57" fillId="0" borderId="0" applyFont="0" applyFill="0" applyBorder="0" applyAlignment="0" applyProtection="0"/>
    <xf numFmtId="0" fontId="57" fillId="0" borderId="0" applyFont="0" applyFill="0" applyBorder="0" applyAlignment="0" applyProtection="0"/>
    <xf numFmtId="0" fontId="57" fillId="0" borderId="0" applyFont="0" applyFill="0" applyBorder="0" applyAlignment="0" applyProtection="0"/>
    <xf numFmtId="0" fontId="66" fillId="0" borderId="0" applyFont="0" applyFill="0" applyBorder="0" applyAlignment="0" applyProtection="0"/>
    <xf numFmtId="0" fontId="57" fillId="0" borderId="0" applyFont="0" applyFill="0" applyBorder="0" applyAlignment="0" applyProtection="0"/>
    <xf numFmtId="0" fontId="57" fillId="0" borderId="0" applyFont="0" applyFill="0" applyBorder="0" applyAlignment="0" applyProtection="0"/>
    <xf numFmtId="0" fontId="57" fillId="0" borderId="0" applyFont="0" applyFill="0" applyBorder="0" applyAlignment="0" applyProtection="0"/>
    <xf numFmtId="0" fontId="57" fillId="0" borderId="0" applyFont="0" applyFill="0" applyBorder="0" applyAlignment="0" applyProtection="0"/>
    <xf numFmtId="0" fontId="57" fillId="0" borderId="0" applyFont="0" applyFill="0" applyBorder="0" applyAlignment="0" applyProtection="0"/>
    <xf numFmtId="0" fontId="57" fillId="0" borderId="0" applyFont="0" applyFill="0" applyBorder="0" applyAlignment="0" applyProtection="0"/>
    <xf numFmtId="0" fontId="57" fillId="0" borderId="0" applyFont="0" applyFill="0" applyBorder="0" applyAlignment="0" applyProtection="0"/>
    <xf numFmtId="0" fontId="57" fillId="0" borderId="0" applyFont="0" applyFill="0" applyBorder="0" applyAlignment="0" applyProtection="0"/>
    <xf numFmtId="0" fontId="66" fillId="0" borderId="0" applyFont="0" applyFill="0" applyBorder="0" applyAlignment="0" applyProtection="0"/>
    <xf numFmtId="0" fontId="57" fillId="0" borderId="0" applyFont="0" applyFill="0" applyBorder="0" applyAlignment="0" applyProtection="0"/>
    <xf numFmtId="0" fontId="57" fillId="0" borderId="0" applyFont="0" applyFill="0" applyBorder="0" applyAlignment="0" applyProtection="0"/>
    <xf numFmtId="0" fontId="57" fillId="0" borderId="0" applyFont="0" applyFill="0" applyBorder="0" applyAlignment="0" applyProtection="0"/>
    <xf numFmtId="0" fontId="57" fillId="0" borderId="0" applyFont="0" applyFill="0" applyBorder="0" applyAlignment="0" applyProtection="0"/>
    <xf numFmtId="0" fontId="66" fillId="0" borderId="0" applyFont="0" applyFill="0" applyBorder="0" applyAlignment="0" applyProtection="0"/>
    <xf numFmtId="0" fontId="66" fillId="0" borderId="0" applyFont="0" applyFill="0" applyBorder="0" applyAlignment="0" applyProtection="0"/>
    <xf numFmtId="0" fontId="57" fillId="0" borderId="0" applyFont="0" applyFill="0" applyBorder="0" applyAlignment="0" applyProtection="0"/>
    <xf numFmtId="0" fontId="66" fillId="0" borderId="0" applyFont="0" applyFill="0" applyBorder="0" applyAlignment="0" applyProtection="0"/>
    <xf numFmtId="0" fontId="57" fillId="0" borderId="0" applyFont="0" applyFill="0" applyBorder="0" applyAlignment="0" applyProtection="0"/>
    <xf numFmtId="0" fontId="66" fillId="0" borderId="0" applyFont="0" applyFill="0" applyBorder="0" applyAlignment="0" applyProtection="0"/>
    <xf numFmtId="0" fontId="57" fillId="0" borderId="0" applyFont="0" applyFill="0" applyBorder="0" applyAlignment="0" applyProtection="0"/>
    <xf numFmtId="0" fontId="66" fillId="0" borderId="0" applyFont="0" applyFill="0" applyBorder="0" applyAlignment="0" applyProtection="0"/>
    <xf numFmtId="0" fontId="57" fillId="0" borderId="0" applyFont="0" applyFill="0" applyBorder="0" applyAlignment="0" applyProtection="0"/>
    <xf numFmtId="0" fontId="66" fillId="0" borderId="0" applyFont="0" applyFill="0" applyBorder="0" applyAlignment="0" applyProtection="0"/>
    <xf numFmtId="0" fontId="57" fillId="0" borderId="0" applyFont="0" applyFill="0" applyBorder="0" applyAlignment="0" applyProtection="0"/>
    <xf numFmtId="0" fontId="66" fillId="0" borderId="0" applyFont="0" applyFill="0" applyBorder="0" applyAlignment="0" applyProtection="0"/>
    <xf numFmtId="0" fontId="57" fillId="0" borderId="0" applyFont="0" applyFill="0" applyBorder="0" applyAlignment="0" applyProtection="0"/>
    <xf numFmtId="0" fontId="57" fillId="0" borderId="0" applyFont="0" applyFill="0" applyBorder="0" applyAlignment="0" applyProtection="0"/>
    <xf numFmtId="0" fontId="57" fillId="0" borderId="0" applyFont="0" applyFill="0" applyBorder="0" applyAlignment="0" applyProtection="0"/>
    <xf numFmtId="0" fontId="57" fillId="0" borderId="0" applyFont="0" applyFill="0" applyBorder="0" applyAlignment="0" applyProtection="0"/>
    <xf numFmtId="0" fontId="57" fillId="0" borderId="0" applyFont="0" applyFill="0" applyBorder="0" applyAlignment="0" applyProtection="0"/>
    <xf numFmtId="0" fontId="57" fillId="0" borderId="0" applyFont="0" applyFill="0" applyBorder="0" applyAlignment="0" applyProtection="0"/>
    <xf numFmtId="0" fontId="57" fillId="0" borderId="0" applyFont="0" applyFill="0" applyBorder="0" applyAlignment="0" applyProtection="0"/>
    <xf numFmtId="0" fontId="57" fillId="0" borderId="0" applyFont="0" applyFill="0" applyBorder="0" applyAlignment="0" applyProtection="0"/>
    <xf numFmtId="0" fontId="57" fillId="0" borderId="0" applyFont="0" applyFill="0" applyBorder="0" applyAlignment="0" applyProtection="0"/>
    <xf numFmtId="0" fontId="57" fillId="0" borderId="0" applyFont="0" applyFill="0" applyBorder="0" applyAlignment="0" applyProtection="0"/>
    <xf numFmtId="0" fontId="57" fillId="0" borderId="0" applyFont="0" applyFill="0" applyBorder="0" applyAlignment="0" applyProtection="0"/>
    <xf numFmtId="0" fontId="57" fillId="0" borderId="0" applyFont="0" applyFill="0" applyBorder="0" applyAlignment="0" applyProtection="0"/>
    <xf numFmtId="0" fontId="57" fillId="0" borderId="0" applyFont="0" applyFill="0" applyBorder="0" applyAlignment="0" applyProtection="0"/>
    <xf numFmtId="0" fontId="57" fillId="0" borderId="0" applyFont="0" applyFill="0" applyBorder="0" applyAlignment="0" applyProtection="0"/>
    <xf numFmtId="0" fontId="57" fillId="0" borderId="0" applyFont="0" applyFill="0" applyBorder="0" applyAlignment="0" applyProtection="0"/>
    <xf numFmtId="0" fontId="57" fillId="0" borderId="0" applyFont="0" applyFill="0" applyBorder="0" applyAlignment="0" applyProtection="0"/>
    <xf numFmtId="0" fontId="57" fillId="0" borderId="0" applyFont="0" applyFill="0" applyBorder="0" applyAlignment="0" applyProtection="0"/>
    <xf numFmtId="0" fontId="57" fillId="0" borderId="0" applyFont="0" applyFill="0" applyBorder="0" applyAlignment="0" applyProtection="0"/>
    <xf numFmtId="0" fontId="57" fillId="0" borderId="0" applyFont="0" applyFill="0" applyBorder="0" applyAlignment="0" applyProtection="0"/>
    <xf numFmtId="0" fontId="57" fillId="0" borderId="0" applyFont="0" applyFill="0" applyBorder="0" applyAlignment="0" applyProtection="0"/>
    <xf numFmtId="0" fontId="66" fillId="0" borderId="0" applyFont="0" applyFill="0" applyBorder="0" applyAlignment="0" applyProtection="0"/>
    <xf numFmtId="0" fontId="65" fillId="0" borderId="0" applyFont="0" applyFill="0" applyBorder="0" applyAlignment="0" applyProtection="0"/>
    <xf numFmtId="0" fontId="65" fillId="0" borderId="0" applyFont="0" applyFill="0" applyBorder="0" applyAlignment="0" applyProtection="0"/>
    <xf numFmtId="0" fontId="5" fillId="0" borderId="0"/>
    <xf numFmtId="0" fontId="5" fillId="0" borderId="0"/>
    <xf numFmtId="0" fontId="5" fillId="0" borderId="0"/>
    <xf numFmtId="0" fontId="5" fillId="0" borderId="0"/>
    <xf numFmtId="0" fontId="28" fillId="0" borderId="102" applyNumberFormat="0" applyFont="0" applyFill="0" applyAlignment="0" applyProtection="0"/>
    <xf numFmtId="0" fontId="36" fillId="8" borderId="0" applyNumberFormat="0" applyBorder="0" applyAlignment="0" applyProtection="0"/>
    <xf numFmtId="0" fontId="36" fillId="9" borderId="0" applyNumberFormat="0" applyBorder="0" applyAlignment="0" applyProtection="0"/>
    <xf numFmtId="0" fontId="36" fillId="10" borderId="0" applyNumberFormat="0" applyBorder="0" applyAlignment="0" applyProtection="0"/>
    <xf numFmtId="0" fontId="36" fillId="11" borderId="0" applyNumberFormat="0" applyBorder="0" applyAlignment="0" applyProtection="0"/>
    <xf numFmtId="0" fontId="36" fillId="12" borderId="0" applyNumberFormat="0" applyBorder="0" applyAlignment="0" applyProtection="0"/>
    <xf numFmtId="0" fontId="36" fillId="13" borderId="0" applyNumberFormat="0" applyBorder="0" applyAlignment="0" applyProtection="0"/>
    <xf numFmtId="0" fontId="45" fillId="14" borderId="0" applyNumberFormat="0" applyBorder="0" applyAlignment="0" applyProtection="0">
      <alignment vertical="center"/>
    </xf>
    <xf numFmtId="0" fontId="45" fillId="13" borderId="0" applyNumberFormat="0" applyBorder="0" applyAlignment="0" applyProtection="0">
      <alignment vertical="center"/>
    </xf>
    <xf numFmtId="0" fontId="45" fillId="15" borderId="0" applyNumberFormat="0" applyBorder="0" applyAlignment="0" applyProtection="0">
      <alignment vertical="center"/>
    </xf>
    <xf numFmtId="0" fontId="45" fillId="16" borderId="0" applyNumberFormat="0" applyBorder="0" applyAlignment="0" applyProtection="0">
      <alignment vertical="center"/>
    </xf>
    <xf numFmtId="0" fontId="45" fillId="17" borderId="0" applyNumberFormat="0" applyBorder="0" applyAlignment="0" applyProtection="0">
      <alignment vertical="center"/>
    </xf>
    <xf numFmtId="0" fontId="45" fillId="18" borderId="0" applyNumberFormat="0" applyBorder="0" applyAlignment="0" applyProtection="0">
      <alignment vertical="center"/>
    </xf>
    <xf numFmtId="0" fontId="36" fillId="19" borderId="0" applyNumberFormat="0" applyBorder="0" applyAlignment="0" applyProtection="0"/>
    <xf numFmtId="0" fontId="36" fillId="9" borderId="0" applyNumberFormat="0" applyBorder="0" applyAlignment="0" applyProtection="0"/>
    <xf numFmtId="0" fontId="36" fillId="20" borderId="0" applyNumberFormat="0" applyBorder="0" applyAlignment="0" applyProtection="0"/>
    <xf numFmtId="0" fontId="36" fillId="21" borderId="0" applyNumberFormat="0" applyBorder="0" applyAlignment="0" applyProtection="0"/>
    <xf numFmtId="0" fontId="36" fillId="19" borderId="0" applyNumberFormat="0" applyBorder="0" applyAlignment="0" applyProtection="0"/>
    <xf numFmtId="0" fontId="36" fillId="18" borderId="0" applyNumberFormat="0" applyBorder="0" applyAlignment="0" applyProtection="0"/>
    <xf numFmtId="0" fontId="45" fillId="12" borderId="0" applyNumberFormat="0" applyBorder="0" applyAlignment="0" applyProtection="0">
      <alignment vertical="center"/>
    </xf>
    <xf numFmtId="0" fontId="45" fillId="9" borderId="0" applyNumberFormat="0" applyBorder="0" applyAlignment="0" applyProtection="0">
      <alignment vertical="center"/>
    </xf>
    <xf numFmtId="0" fontId="45" fillId="22" borderId="0" applyNumberFormat="0" applyBorder="0" applyAlignment="0" applyProtection="0">
      <alignment vertical="center"/>
    </xf>
    <xf numFmtId="0" fontId="45" fillId="16" borderId="0" applyNumberFormat="0" applyBorder="0" applyAlignment="0" applyProtection="0">
      <alignment vertical="center"/>
    </xf>
    <xf numFmtId="0" fontId="45" fillId="12" borderId="0" applyNumberFormat="0" applyBorder="0" applyAlignment="0" applyProtection="0">
      <alignment vertical="center"/>
    </xf>
    <xf numFmtId="0" fontId="45" fillId="23" borderId="0" applyNumberFormat="0" applyBorder="0" applyAlignment="0" applyProtection="0">
      <alignment vertical="center"/>
    </xf>
    <xf numFmtId="197" fontId="67" fillId="0" borderId="0">
      <alignment horizontal="center"/>
    </xf>
    <xf numFmtId="0" fontId="68" fillId="19" borderId="0" applyNumberFormat="0" applyBorder="0" applyAlignment="0" applyProtection="0"/>
    <xf numFmtId="0" fontId="68" fillId="9" borderId="0" applyNumberFormat="0" applyBorder="0" applyAlignment="0" applyProtection="0"/>
    <xf numFmtId="0" fontId="68" fillId="20" borderId="0" applyNumberFormat="0" applyBorder="0" applyAlignment="0" applyProtection="0"/>
    <xf numFmtId="0" fontId="68" fillId="21" borderId="0" applyNumberFormat="0" applyBorder="0" applyAlignment="0" applyProtection="0"/>
    <xf numFmtId="0" fontId="68" fillId="19" borderId="0" applyNumberFormat="0" applyBorder="0" applyAlignment="0" applyProtection="0"/>
    <xf numFmtId="0" fontId="68" fillId="18" borderId="0" applyNumberFormat="0" applyBorder="0" applyAlignment="0" applyProtection="0"/>
    <xf numFmtId="0" fontId="69" fillId="24" borderId="0" applyNumberFormat="0" applyBorder="0" applyAlignment="0" applyProtection="0">
      <alignment vertical="center"/>
    </xf>
    <xf numFmtId="0" fontId="69" fillId="9" borderId="0" applyNumberFormat="0" applyBorder="0" applyAlignment="0" applyProtection="0">
      <alignment vertical="center"/>
    </xf>
    <xf numFmtId="0" fontId="69" fillId="22" borderId="0" applyNumberFormat="0" applyBorder="0" applyAlignment="0" applyProtection="0">
      <alignment vertical="center"/>
    </xf>
    <xf numFmtId="0" fontId="69" fillId="25" borderId="0" applyNumberFormat="0" applyBorder="0" applyAlignment="0" applyProtection="0">
      <alignment vertical="center"/>
    </xf>
    <xf numFmtId="0" fontId="69" fillId="26" borderId="0" applyNumberFormat="0" applyBorder="0" applyAlignment="0" applyProtection="0">
      <alignment vertical="center"/>
    </xf>
    <xf numFmtId="0" fontId="69" fillId="27" borderId="0" applyNumberFormat="0" applyBorder="0" applyAlignment="0" applyProtection="0">
      <alignment vertical="center"/>
    </xf>
    <xf numFmtId="14" fontId="70" fillId="0" borderId="0"/>
    <xf numFmtId="0" fontId="71" fillId="28" borderId="0" applyNumberFormat="0" applyBorder="0" applyAlignment="0" applyProtection="0"/>
    <xf numFmtId="0" fontId="72" fillId="29" borderId="0" applyNumberFormat="0" applyBorder="0" applyAlignment="0" applyProtection="0"/>
    <xf numFmtId="0" fontId="72" fillId="30" borderId="0" applyNumberFormat="0" applyBorder="0" applyAlignment="0" applyProtection="0"/>
    <xf numFmtId="0" fontId="71" fillId="31" borderId="0" applyNumberFormat="0" applyBorder="0" applyAlignment="0" applyProtection="0"/>
    <xf numFmtId="0" fontId="71" fillId="32" borderId="0" applyNumberFormat="0" applyBorder="0" applyAlignment="0" applyProtection="0"/>
    <xf numFmtId="0" fontId="72" fillId="33" borderId="0" applyNumberFormat="0" applyBorder="0" applyAlignment="0" applyProtection="0"/>
    <xf numFmtId="0" fontId="72" fillId="34" borderId="0" applyNumberFormat="0" applyBorder="0" applyAlignment="0" applyProtection="0"/>
    <xf numFmtId="0" fontId="71" fillId="35" borderId="0" applyNumberFormat="0" applyBorder="0" applyAlignment="0" applyProtection="0"/>
    <xf numFmtId="0" fontId="71" fillId="35" borderId="0" applyNumberFormat="0" applyBorder="0" applyAlignment="0" applyProtection="0"/>
    <xf numFmtId="0" fontId="72" fillId="36" borderId="0" applyNumberFormat="0" applyBorder="0" applyAlignment="0" applyProtection="0"/>
    <xf numFmtId="0" fontId="72" fillId="37" borderId="0" applyNumberFormat="0" applyBorder="0" applyAlignment="0" applyProtection="0"/>
    <xf numFmtId="0" fontId="71" fillId="38" borderId="0" applyNumberFormat="0" applyBorder="0" applyAlignment="0" applyProtection="0"/>
    <xf numFmtId="0" fontId="71" fillId="39" borderId="0" applyNumberFormat="0" applyBorder="0" applyAlignment="0" applyProtection="0"/>
    <xf numFmtId="0" fontId="72" fillId="37" borderId="0" applyNumberFormat="0" applyBorder="0" applyAlignment="0" applyProtection="0"/>
    <xf numFmtId="0" fontId="72" fillId="38" borderId="0" applyNumberFormat="0" applyBorder="0" applyAlignment="0" applyProtection="0"/>
    <xf numFmtId="0" fontId="71" fillId="38" borderId="0" applyNumberFormat="0" applyBorder="0" applyAlignment="0" applyProtection="0"/>
    <xf numFmtId="0" fontId="71" fillId="40" borderId="0" applyNumberFormat="0" applyBorder="0" applyAlignment="0" applyProtection="0"/>
    <xf numFmtId="0" fontId="72" fillId="29" borderId="0" applyNumberFormat="0" applyBorder="0" applyAlignment="0" applyProtection="0"/>
    <xf numFmtId="0" fontId="72" fillId="30" borderId="0" applyNumberFormat="0" applyBorder="0" applyAlignment="0" applyProtection="0"/>
    <xf numFmtId="0" fontId="71" fillId="30" borderId="0" applyNumberFormat="0" applyBorder="0" applyAlignment="0" applyProtection="0"/>
    <xf numFmtId="0" fontId="71" fillId="41" borderId="0" applyNumberFormat="0" applyBorder="0" applyAlignment="0" applyProtection="0"/>
    <xf numFmtId="0" fontId="72" fillId="42" borderId="0" applyNumberFormat="0" applyBorder="0" applyAlignment="0" applyProtection="0"/>
    <xf numFmtId="0" fontId="72" fillId="34" borderId="0" applyNumberFormat="0" applyBorder="0" applyAlignment="0" applyProtection="0"/>
    <xf numFmtId="0" fontId="71" fillId="43" borderId="0" applyNumberFormat="0" applyBorder="0" applyAlignment="0" applyProtection="0"/>
    <xf numFmtId="0" fontId="73" fillId="34" borderId="0" applyNumberFormat="0" applyBorder="0" applyAlignment="0" applyProtection="0"/>
    <xf numFmtId="0" fontId="74" fillId="0" borderId="103"/>
    <xf numFmtId="0" fontId="75" fillId="44" borderId="104" applyAlignment="0">
      <alignment horizontal="center"/>
    </xf>
    <xf numFmtId="0" fontId="76" fillId="0" borderId="105"/>
    <xf numFmtId="0" fontId="77" fillId="0" borderId="106"/>
    <xf numFmtId="0" fontId="77" fillId="0" borderId="107"/>
    <xf numFmtId="198" fontId="42" fillId="0" borderId="0" applyFill="0" applyBorder="0" applyAlignment="0"/>
    <xf numFmtId="199" fontId="59" fillId="0" borderId="0" applyFill="0" applyBorder="0" applyAlignment="0"/>
    <xf numFmtId="200" fontId="59" fillId="0" borderId="0" applyFill="0" applyBorder="0" applyAlignment="0"/>
    <xf numFmtId="201" fontId="78" fillId="0" borderId="0" applyFill="0" applyBorder="0" applyAlignment="0"/>
    <xf numFmtId="202" fontId="59" fillId="0" borderId="0" applyFill="0" applyBorder="0" applyAlignment="0"/>
    <xf numFmtId="203" fontId="59" fillId="0" borderId="0" applyFill="0" applyBorder="0" applyAlignment="0"/>
    <xf numFmtId="198" fontId="42" fillId="0" borderId="0" applyFill="0" applyBorder="0" applyAlignment="0"/>
    <xf numFmtId="0" fontId="79" fillId="45" borderId="108" applyNumberFormat="0" applyAlignment="0" applyProtection="0"/>
    <xf numFmtId="0" fontId="80" fillId="35" borderId="109" applyNumberFormat="0" applyAlignment="0" applyProtection="0"/>
    <xf numFmtId="0" fontId="81" fillId="44" borderId="0" applyNumberFormat="0">
      <alignment horizontal="center"/>
    </xf>
    <xf numFmtId="204" fontId="67" fillId="0" borderId="0"/>
    <xf numFmtId="204" fontId="67" fillId="0" borderId="0"/>
    <xf numFmtId="204" fontId="67" fillId="0" borderId="0"/>
    <xf numFmtId="204" fontId="67" fillId="0" borderId="0"/>
    <xf numFmtId="204" fontId="67" fillId="0" borderId="0"/>
    <xf numFmtId="204" fontId="67" fillId="0" borderId="0"/>
    <xf numFmtId="204" fontId="67" fillId="0" borderId="0"/>
    <xf numFmtId="204" fontId="67" fillId="0" borderId="0"/>
    <xf numFmtId="37" fontId="42" fillId="0" borderId="0" applyFont="0" applyFill="0" applyBorder="0" applyAlignment="0" applyProtection="0"/>
    <xf numFmtId="191" fontId="39" fillId="0" borderId="0" applyFont="0" applyFill="0" applyBorder="0" applyAlignment="0" applyProtection="0"/>
    <xf numFmtId="205" fontId="3" fillId="0" borderId="0" applyFont="0" applyFill="0" applyBorder="0" applyAlignment="0" applyProtection="0"/>
    <xf numFmtId="202" fontId="59" fillId="0" borderId="0" applyFont="0" applyFill="0" applyBorder="0" applyAlignment="0" applyProtection="0"/>
    <xf numFmtId="191" fontId="78" fillId="0" borderId="0" applyFont="0" applyFill="0" applyBorder="0" applyAlignment="0" applyProtection="0"/>
    <xf numFmtId="40" fontId="82" fillId="0" borderId="0" applyFont="0" applyFill="0" applyBorder="0" applyAlignment="0" applyProtection="0"/>
    <xf numFmtId="0" fontId="83" fillId="0" borderId="0"/>
    <xf numFmtId="0" fontId="84" fillId="0" borderId="0"/>
    <xf numFmtId="0" fontId="83" fillId="0" borderId="0"/>
    <xf numFmtId="0" fontId="84" fillId="0" borderId="0"/>
    <xf numFmtId="206" fontId="75" fillId="0" borderId="110">
      <alignment horizontal="center"/>
      <protection locked="0" hidden="1"/>
    </xf>
    <xf numFmtId="206" fontId="75" fillId="0" borderId="111">
      <alignment horizontal="center"/>
      <protection locked="0"/>
    </xf>
    <xf numFmtId="206" fontId="85" fillId="0" borderId="103">
      <protection hidden="1"/>
    </xf>
    <xf numFmtId="206" fontId="86" fillId="0" borderId="103"/>
    <xf numFmtId="206" fontId="75" fillId="0" borderId="103">
      <alignment horizontal="right"/>
    </xf>
    <xf numFmtId="199" fontId="59" fillId="0" borderId="0">
      <alignment horizontal="center"/>
    </xf>
    <xf numFmtId="207" fontId="39" fillId="0" borderId="0" applyFont="0" applyFill="0" applyBorder="0" applyAlignment="0" applyProtection="0"/>
    <xf numFmtId="208" fontId="39" fillId="0" borderId="0" applyFont="0" applyFill="0" applyBorder="0" applyAlignment="0" applyProtection="0"/>
    <xf numFmtId="209" fontId="42" fillId="0" borderId="0" applyFont="0" applyFill="0" applyBorder="0" applyAlignment="0" applyProtection="0"/>
    <xf numFmtId="210" fontId="42" fillId="0" borderId="0" applyFont="0" applyFill="0" applyBorder="0" applyAlignment="0" applyProtection="0"/>
    <xf numFmtId="198" fontId="42" fillId="0" borderId="0" applyFont="0" applyFill="0" applyBorder="0" applyAlignment="0" applyProtection="0"/>
    <xf numFmtId="208" fontId="78" fillId="0" borderId="0" applyFont="0" applyFill="0" applyBorder="0" applyAlignment="0" applyProtection="0"/>
    <xf numFmtId="211" fontId="42" fillId="0" borderId="0" applyFont="0" applyFill="0" applyBorder="0" applyAlignment="0" applyProtection="0"/>
    <xf numFmtId="212" fontId="85" fillId="0" borderId="103">
      <alignment horizontal="center"/>
      <protection hidden="1"/>
    </xf>
    <xf numFmtId="39" fontId="70" fillId="0" borderId="0">
      <alignment horizontal="right"/>
    </xf>
    <xf numFmtId="14" fontId="75" fillId="0" borderId="111">
      <alignment horizontal="center"/>
    </xf>
    <xf numFmtId="14" fontId="39" fillId="0" borderId="0" applyFont="0" applyFill="0" applyBorder="0" applyAlignment="0" applyProtection="0"/>
    <xf numFmtId="14" fontId="78" fillId="0" borderId="0" applyFont="0" applyFill="0" applyBorder="0" applyAlignment="0" applyProtection="0"/>
    <xf numFmtId="213" fontId="87" fillId="0" borderId="0" applyFill="0" applyProtection="0">
      <alignment vertical="center"/>
    </xf>
    <xf numFmtId="214" fontId="88" fillId="0" borderId="0" applyFont="0" applyFill="0" applyBorder="0" applyAlignment="0" applyProtection="0"/>
    <xf numFmtId="0" fontId="89" fillId="46" borderId="0" applyNumberFormat="0" applyBorder="0" applyAlignment="0" applyProtection="0"/>
    <xf numFmtId="0" fontId="89" fillId="47" borderId="0" applyNumberFormat="0" applyBorder="0" applyAlignment="0" applyProtection="0"/>
    <xf numFmtId="0" fontId="89" fillId="48" borderId="0" applyNumberFormat="0" applyBorder="0" applyAlignment="0" applyProtection="0"/>
    <xf numFmtId="0" fontId="90" fillId="0" borderId="0">
      <alignment horizontal="left"/>
    </xf>
    <xf numFmtId="0" fontId="42" fillId="0" borderId="112" applyNumberFormat="0" applyFont="0" applyFill="0" applyBorder="0" applyAlignment="0" applyProtection="0"/>
    <xf numFmtId="0" fontId="91" fillId="0" borderId="0" applyNumberFormat="0" applyFill="0" applyBorder="0" applyAlignment="0" applyProtection="0"/>
    <xf numFmtId="176" fontId="70" fillId="0" borderId="0" applyBorder="0"/>
    <xf numFmtId="0" fontId="92" fillId="49" borderId="0" applyNumberFormat="0" applyBorder="0" applyAlignment="0" applyProtection="0"/>
    <xf numFmtId="0" fontId="93" fillId="0" borderId="0">
      <alignment horizontal="left" indent="2"/>
    </xf>
    <xf numFmtId="0" fontId="94" fillId="0" borderId="0" applyNumberFormat="0" applyFill="0" applyBorder="0" applyAlignment="0" applyProtection="0">
      <alignment horizontal="left"/>
    </xf>
    <xf numFmtId="0" fontId="95" fillId="0" borderId="0" applyNumberFormat="0" applyFill="0" applyBorder="0" applyAlignment="0" applyProtection="0">
      <alignment horizontal="left"/>
    </xf>
    <xf numFmtId="0" fontId="95" fillId="0" borderId="0" applyNumberFormat="0" applyFill="0" applyBorder="0" applyAlignment="0" applyProtection="0">
      <alignment horizontal="left"/>
    </xf>
    <xf numFmtId="0" fontId="96" fillId="0" borderId="0" applyNumberFormat="0" applyFill="0" applyBorder="0" applyAlignment="0" applyProtection="0">
      <alignment horizontal="left"/>
    </xf>
    <xf numFmtId="0" fontId="96" fillId="0" borderId="0" applyNumberFormat="0" applyFill="0" applyAlignment="0" applyProtection="0">
      <alignment horizontal="left"/>
    </xf>
    <xf numFmtId="0" fontId="96" fillId="0" borderId="0" applyNumberFormat="0" applyFill="0" applyBorder="0" applyAlignment="0" applyProtection="0">
      <alignment horizontal="left"/>
    </xf>
    <xf numFmtId="0" fontId="96" fillId="0" borderId="0" applyNumberFormat="0" applyFill="0" applyBorder="0" applyAlignment="0" applyProtection="0">
      <alignment horizontal="left"/>
    </xf>
    <xf numFmtId="0" fontId="97" fillId="0" borderId="0" applyNumberFormat="0" applyFill="0" applyBorder="0" applyAlignment="0" applyProtection="0">
      <alignment horizontal="left"/>
    </xf>
    <xf numFmtId="0" fontId="97" fillId="0" borderId="0" applyNumberFormat="0" applyFill="0" applyBorder="0" applyAlignment="0" applyProtection="0">
      <alignment horizontal="left"/>
    </xf>
    <xf numFmtId="0" fontId="98" fillId="0" borderId="0">
      <alignment horizontal="center"/>
    </xf>
    <xf numFmtId="0" fontId="99" fillId="0" borderId="113" applyNumberFormat="0" applyFill="0" applyAlignment="0" applyProtection="0"/>
    <xf numFmtId="0" fontId="100" fillId="0" borderId="114" applyNumberFormat="0" applyFill="0" applyAlignment="0" applyProtection="0"/>
    <xf numFmtId="0" fontId="101" fillId="0" borderId="115" applyNumberFormat="0" applyFill="0" applyAlignment="0" applyProtection="0"/>
    <xf numFmtId="0" fontId="101" fillId="0" borderId="0" applyNumberFormat="0" applyFill="0" applyBorder="0" applyAlignment="0" applyProtection="0"/>
    <xf numFmtId="0" fontId="42" fillId="44" borderId="62" applyNumberFormat="0" applyFont="0" applyBorder="0" applyAlignment="0" applyProtection="0"/>
    <xf numFmtId="37" fontId="70" fillId="0" borderId="0" applyBorder="0"/>
    <xf numFmtId="0" fontId="102" fillId="43" borderId="108" applyNumberFormat="0" applyAlignment="0" applyProtection="0"/>
    <xf numFmtId="0" fontId="42" fillId="0" borderId="110"/>
    <xf numFmtId="0" fontId="103" fillId="0" borderId="116" applyNumberFormat="0" applyFill="0" applyAlignment="0" applyProtection="0"/>
    <xf numFmtId="215" fontId="70" fillId="0" borderId="0"/>
    <xf numFmtId="216" fontId="104" fillId="0" borderId="0" applyFont="0" applyFill="0" applyBorder="0" applyAlignment="0" applyProtection="0"/>
    <xf numFmtId="217" fontId="104" fillId="0" borderId="0" applyFont="0" applyFill="0" applyBorder="0" applyAlignment="0" applyProtection="0"/>
    <xf numFmtId="218" fontId="78" fillId="0" borderId="0" applyFont="0" applyFill="0" applyBorder="0" applyAlignment="0" applyProtection="0"/>
    <xf numFmtId="0" fontId="105" fillId="43" borderId="0" applyNumberFormat="0" applyBorder="0" applyAlignment="0" applyProtection="0"/>
    <xf numFmtId="0" fontId="85" fillId="44" borderId="117"/>
    <xf numFmtId="17" fontId="85" fillId="0" borderId="111">
      <alignment horizontal="center"/>
    </xf>
    <xf numFmtId="0" fontId="77" fillId="0" borderId="111"/>
    <xf numFmtId="3" fontId="75" fillId="0" borderId="118">
      <protection locked="0"/>
    </xf>
    <xf numFmtId="9" fontId="75" fillId="0" borderId="118"/>
    <xf numFmtId="0" fontId="42" fillId="42" borderId="119" applyNumberFormat="0" applyFont="0" applyAlignment="0" applyProtection="0"/>
    <xf numFmtId="3" fontId="106" fillId="0" borderId="120"/>
    <xf numFmtId="3" fontId="3" fillId="0" borderId="10"/>
    <xf numFmtId="0" fontId="3" fillId="0" borderId="2"/>
    <xf numFmtId="0" fontId="42" fillId="0" borderId="112" applyNumberFormat="0" applyFont="0" applyFill="0" applyBorder="0" applyAlignment="0" applyProtection="0"/>
    <xf numFmtId="0" fontId="76" fillId="0" borderId="121">
      <alignment horizontal="left" wrapText="1"/>
    </xf>
    <xf numFmtId="0" fontId="107" fillId="45" borderId="122" applyNumberFormat="0" applyAlignment="0" applyProtection="0"/>
    <xf numFmtId="0" fontId="42" fillId="0" borderId="123" applyNumberFormat="0" applyFont="0" applyFill="0" applyBorder="0" applyAlignment="0" applyProtection="0"/>
    <xf numFmtId="0" fontId="42" fillId="0" borderId="124" applyNumberFormat="0" applyFont="0" applyFill="0" applyAlignment="0" applyProtection="0"/>
    <xf numFmtId="219" fontId="70" fillId="0" borderId="95" applyBorder="0"/>
    <xf numFmtId="176" fontId="39" fillId="0" borderId="0" applyFont="0" applyFill="0" applyBorder="0" applyAlignment="0" applyProtection="0"/>
    <xf numFmtId="10" fontId="39" fillId="0" borderId="0" applyFont="0" applyFill="0" applyBorder="0" applyAlignment="0" applyProtection="0"/>
    <xf numFmtId="9" fontId="78" fillId="0" borderId="0" applyFont="0" applyFill="0" applyBorder="0" applyAlignment="0" applyProtection="0"/>
    <xf numFmtId="176" fontId="78" fillId="0" borderId="0" applyFont="0" applyFill="0" applyBorder="0" applyAlignment="0" applyProtection="0"/>
    <xf numFmtId="9" fontId="85" fillId="0" borderId="103">
      <alignment horizontal="center"/>
    </xf>
    <xf numFmtId="10" fontId="108" fillId="0" borderId="0" applyFont="0" applyFill="0" applyBorder="0" applyAlignment="0" applyProtection="0"/>
    <xf numFmtId="9" fontId="85" fillId="0" borderId="103">
      <alignment horizontal="right"/>
    </xf>
    <xf numFmtId="4" fontId="90" fillId="0" borderId="0">
      <alignment horizontal="right"/>
    </xf>
    <xf numFmtId="0" fontId="82" fillId="0" borderId="0" applyNumberFormat="0" applyFont="0" applyFill="0" applyBorder="0" applyAlignment="0" applyProtection="0">
      <alignment horizontal="left"/>
    </xf>
    <xf numFmtId="15" fontId="82" fillId="0" borderId="0" applyFont="0" applyFill="0" applyBorder="0" applyAlignment="0" applyProtection="0"/>
    <xf numFmtId="4" fontId="82" fillId="0" borderId="0" applyFont="0" applyFill="0" applyBorder="0" applyAlignment="0" applyProtection="0"/>
    <xf numFmtId="0" fontId="109" fillId="0" borderId="95">
      <alignment horizontal="center"/>
    </xf>
    <xf numFmtId="3" fontId="82" fillId="0" borderId="0" applyFont="0" applyFill="0" applyBorder="0" applyAlignment="0" applyProtection="0"/>
    <xf numFmtId="0" fontId="82" fillId="50" borderId="0" applyNumberFormat="0" applyFont="0" applyBorder="0" applyAlignment="0" applyProtection="0"/>
    <xf numFmtId="0" fontId="70" fillId="0" borderId="0" applyNumberFormat="0" applyFill="0" applyBorder="0" applyAlignment="0" applyProtection="0"/>
    <xf numFmtId="0" fontId="70" fillId="0" borderId="0" applyNumberFormat="0" applyFill="0" applyBorder="0" applyAlignment="0" applyProtection="0"/>
    <xf numFmtId="0" fontId="70" fillId="0" borderId="0" applyNumberFormat="0" applyFill="0" applyBorder="0" applyAlignment="0" applyProtection="0"/>
    <xf numFmtId="0" fontId="70" fillId="0" borderId="0" applyNumberFormat="0" applyFill="0" applyBorder="0" applyAlignment="0" applyProtection="0"/>
    <xf numFmtId="0" fontId="70" fillId="0" borderId="0" applyNumberFormat="0" applyFill="0" applyBorder="0" applyAlignment="0" applyProtection="0"/>
    <xf numFmtId="0" fontId="70" fillId="0" borderId="0" applyNumberFormat="0" applyFill="0" applyBorder="0" applyAlignment="0" applyProtection="0"/>
    <xf numFmtId="0" fontId="70" fillId="0" borderId="0" applyNumberFormat="0" applyFill="0" applyBorder="0" applyAlignment="0" applyProtection="0"/>
    <xf numFmtId="0" fontId="70" fillId="0" borderId="0" applyNumberFormat="0" applyFill="0" applyBorder="0" applyAlignment="0" applyProtection="0"/>
    <xf numFmtId="0" fontId="70" fillId="0" borderId="0" applyNumberFormat="0" applyFill="0" applyBorder="0" applyAlignment="0" applyProtection="0"/>
    <xf numFmtId="4" fontId="110" fillId="0" borderId="0">
      <alignment horizontal="right"/>
    </xf>
    <xf numFmtId="4" fontId="111" fillId="51" borderId="125" applyNumberFormat="0" applyProtection="0">
      <alignment vertical="center"/>
    </xf>
    <xf numFmtId="4" fontId="112" fillId="51" borderId="125" applyNumberFormat="0" applyProtection="0">
      <alignment vertical="center"/>
    </xf>
    <xf numFmtId="4" fontId="111" fillId="51" borderId="125" applyNumberFormat="0" applyProtection="0">
      <alignment horizontal="left" vertical="center" indent="1"/>
    </xf>
    <xf numFmtId="0" fontId="111" fillId="51" borderId="125" applyNumberFormat="0" applyProtection="0">
      <alignment horizontal="left" vertical="top" indent="1"/>
    </xf>
    <xf numFmtId="4" fontId="111" fillId="8" borderId="0" applyNumberFormat="0" applyProtection="0">
      <alignment horizontal="left" vertical="center" indent="1"/>
    </xf>
    <xf numFmtId="4" fontId="36" fillId="13" borderId="125" applyNumberFormat="0" applyProtection="0">
      <alignment horizontal="right" vertical="center"/>
    </xf>
    <xf numFmtId="4" fontId="36" fillId="9" borderId="125" applyNumberFormat="0" applyProtection="0">
      <alignment horizontal="right" vertical="center"/>
    </xf>
    <xf numFmtId="4" fontId="36" fillId="52" borderId="125" applyNumberFormat="0" applyProtection="0">
      <alignment horizontal="right" vertical="center"/>
    </xf>
    <xf numFmtId="4" fontId="36" fillId="23" borderId="125" applyNumberFormat="0" applyProtection="0">
      <alignment horizontal="right" vertical="center"/>
    </xf>
    <xf numFmtId="4" fontId="36" fillId="27" borderId="125" applyNumberFormat="0" applyProtection="0">
      <alignment horizontal="right" vertical="center"/>
    </xf>
    <xf numFmtId="4" fontId="36" fillId="53" borderId="125" applyNumberFormat="0" applyProtection="0">
      <alignment horizontal="right" vertical="center"/>
    </xf>
    <xf numFmtId="4" fontId="36" fillId="20" borderId="125" applyNumberFormat="0" applyProtection="0">
      <alignment horizontal="right" vertical="center"/>
    </xf>
    <xf numFmtId="4" fontId="36" fillId="54" borderId="125" applyNumberFormat="0" applyProtection="0">
      <alignment horizontal="right" vertical="center"/>
    </xf>
    <xf numFmtId="4" fontId="36" fillId="22" borderId="125" applyNumberFormat="0" applyProtection="0">
      <alignment horizontal="right" vertical="center"/>
    </xf>
    <xf numFmtId="4" fontId="111" fillId="55" borderId="126" applyNumberFormat="0" applyProtection="0">
      <alignment horizontal="left" vertical="center" indent="1"/>
    </xf>
    <xf numFmtId="4" fontId="36" fillId="56" borderId="0" applyNumberFormat="0" applyProtection="0">
      <alignment horizontal="left" vertical="center" indent="1"/>
    </xf>
    <xf numFmtId="4" fontId="113" fillId="19" borderId="0" applyNumberFormat="0" applyProtection="0">
      <alignment horizontal="left" vertical="center" indent="1"/>
    </xf>
    <xf numFmtId="4" fontId="36" fillId="8" borderId="125" applyNumberFormat="0" applyProtection="0">
      <alignment horizontal="right" vertical="center"/>
    </xf>
    <xf numFmtId="4" fontId="36" fillId="56" borderId="0" applyNumberFormat="0" applyProtection="0">
      <alignment horizontal="left" vertical="center" indent="1"/>
    </xf>
    <xf numFmtId="4" fontId="36" fillId="8" borderId="0" applyNumberFormat="0" applyProtection="0">
      <alignment horizontal="left" vertical="center" indent="1"/>
    </xf>
    <xf numFmtId="0" fontId="42" fillId="19" borderId="125" applyNumberFormat="0" applyProtection="0">
      <alignment horizontal="left" vertical="center" indent="1"/>
    </xf>
    <xf numFmtId="0" fontId="42" fillId="19" borderId="125" applyNumberFormat="0" applyProtection="0">
      <alignment horizontal="left" vertical="top" indent="1"/>
    </xf>
    <xf numFmtId="0" fontId="42" fillId="8" borderId="125" applyNumberFormat="0" applyProtection="0">
      <alignment horizontal="left" vertical="center" indent="1"/>
    </xf>
    <xf numFmtId="0" fontId="42" fillId="8" borderId="125" applyNumberFormat="0" applyProtection="0">
      <alignment horizontal="left" vertical="top" indent="1"/>
    </xf>
    <xf numFmtId="0" fontId="42" fillId="12" borderId="125" applyNumberFormat="0" applyProtection="0">
      <alignment horizontal="left" vertical="center" indent="1"/>
    </xf>
    <xf numFmtId="0" fontId="42" fillId="12" borderId="125" applyNumberFormat="0" applyProtection="0">
      <alignment horizontal="left" vertical="top" indent="1"/>
    </xf>
    <xf numFmtId="0" fontId="42" fillId="56" borderId="125" applyNumberFormat="0" applyProtection="0">
      <alignment horizontal="left" vertical="center" indent="1"/>
    </xf>
    <xf numFmtId="0" fontId="42" fillId="56" borderId="125" applyNumberFormat="0" applyProtection="0">
      <alignment horizontal="left" vertical="top" indent="1"/>
    </xf>
    <xf numFmtId="0" fontId="42" fillId="11" borderId="2" applyNumberFormat="0">
      <protection locked="0"/>
    </xf>
    <xf numFmtId="4" fontId="36" fillId="10" borderId="125" applyNumberFormat="0" applyProtection="0">
      <alignment vertical="center"/>
    </xf>
    <xf numFmtId="4" fontId="114" fillId="10" borderId="125" applyNumberFormat="0" applyProtection="0">
      <alignment vertical="center"/>
    </xf>
    <xf numFmtId="4" fontId="36" fillId="10" borderId="125" applyNumberFormat="0" applyProtection="0">
      <alignment horizontal="left" vertical="center" indent="1"/>
    </xf>
    <xf numFmtId="0" fontId="36" fillId="10" borderId="125" applyNumberFormat="0" applyProtection="0">
      <alignment horizontal="left" vertical="top" indent="1"/>
    </xf>
    <xf numFmtId="4" fontId="36" fillId="56" borderId="125" applyNumberFormat="0" applyProtection="0">
      <alignment horizontal="right" vertical="center"/>
    </xf>
    <xf numFmtId="4" fontId="114" fillId="56" borderId="125" applyNumberFormat="0" applyProtection="0">
      <alignment horizontal="right" vertical="center"/>
    </xf>
    <xf numFmtId="4" fontId="36" fillId="8" borderId="125" applyNumberFormat="0" applyProtection="0">
      <alignment horizontal="left" vertical="center" indent="1"/>
    </xf>
    <xf numFmtId="0" fontId="36" fillId="8" borderId="125" applyNumberFormat="0" applyProtection="0">
      <alignment horizontal="left" vertical="top" indent="1"/>
    </xf>
    <xf numFmtId="4" fontId="115" fillId="57" borderId="0" applyNumberFormat="0" applyProtection="0">
      <alignment horizontal="left" vertical="center" indent="1"/>
    </xf>
    <xf numFmtId="4" fontId="116" fillId="56" borderId="125" applyNumberFormat="0" applyProtection="0">
      <alignment horizontal="right" vertical="center"/>
    </xf>
    <xf numFmtId="0" fontId="117" fillId="0" borderId="0">
      <alignment horizontal="left"/>
    </xf>
    <xf numFmtId="0" fontId="118" fillId="0" borderId="0" applyNumberFormat="0" applyFill="0" applyBorder="0" applyAlignment="0" applyProtection="0"/>
    <xf numFmtId="0" fontId="42" fillId="44" borderId="0" applyNumberFormat="0" applyBorder="0" applyProtection="0">
      <alignment horizontal="center"/>
    </xf>
    <xf numFmtId="0" fontId="119" fillId="0" borderId="0"/>
    <xf numFmtId="0" fontId="120" fillId="0" borderId="0">
      <alignment horizontal="left"/>
    </xf>
    <xf numFmtId="38" fontId="39" fillId="0" borderId="127"/>
    <xf numFmtId="38" fontId="39" fillId="0" borderId="127"/>
    <xf numFmtId="49" fontId="70" fillId="0" borderId="0"/>
    <xf numFmtId="18" fontId="70" fillId="0" borderId="0" applyFill="0" applyProtection="0">
      <alignment horizontal="center"/>
    </xf>
    <xf numFmtId="40" fontId="121" fillId="0" borderId="0"/>
    <xf numFmtId="0" fontId="122" fillId="0" borderId="0">
      <alignment horizontal="center"/>
    </xf>
    <xf numFmtId="0" fontId="123" fillId="0" borderId="0">
      <alignment horizontal="center"/>
    </xf>
    <xf numFmtId="0" fontId="93" fillId="0" borderId="0">
      <alignment horizontal="center"/>
    </xf>
    <xf numFmtId="212" fontId="85" fillId="0" borderId="103"/>
    <xf numFmtId="0" fontId="89" fillId="0" borderId="128" applyNumberFormat="0" applyFill="0" applyAlignment="0" applyProtection="0"/>
    <xf numFmtId="0" fontId="124" fillId="0" borderId="0" applyNumberFormat="0" applyFill="0" applyBorder="0" applyAlignment="0" applyProtection="0">
      <alignment horizontal="left"/>
    </xf>
    <xf numFmtId="0" fontId="125" fillId="0" borderId="0" applyNumberFormat="0" applyFill="0" applyBorder="0" applyAlignment="0" applyProtection="0">
      <alignment horizontal="left"/>
    </xf>
    <xf numFmtId="0" fontId="126" fillId="0" borderId="0" applyNumberFormat="0" applyFill="0" applyBorder="0" applyAlignment="0" applyProtection="0">
      <alignment horizontal="left"/>
    </xf>
    <xf numFmtId="0" fontId="127" fillId="0" borderId="0" applyNumberFormat="0" applyFill="0" applyBorder="0" applyAlignment="0" applyProtection="0">
      <alignment horizontal="left"/>
    </xf>
    <xf numFmtId="0" fontId="128" fillId="0" borderId="0" applyNumberFormat="0" applyFill="0" applyBorder="0" applyAlignment="0" applyProtection="0">
      <alignment horizontal="left"/>
    </xf>
    <xf numFmtId="0" fontId="127" fillId="0" borderId="6" applyNumberFormat="0" applyFill="0" applyBorder="0" applyAlignment="0" applyProtection="0">
      <alignment horizontal="left"/>
    </xf>
    <xf numFmtId="0" fontId="127" fillId="0" borderId="6" applyNumberFormat="0" applyFill="0" applyBorder="0" applyAlignment="0" applyProtection="0">
      <alignment horizontal="left"/>
    </xf>
    <xf numFmtId="0" fontId="127" fillId="0" borderId="6" applyNumberFormat="0" applyFill="0" applyBorder="0" applyAlignment="0" applyProtection="0">
      <alignment horizontal="left"/>
    </xf>
    <xf numFmtId="0" fontId="128" fillId="0" borderId="6" applyNumberFormat="0" applyFill="0" applyBorder="0" applyAlignment="0" applyProtection="0">
      <alignment horizontal="left"/>
    </xf>
    <xf numFmtId="0" fontId="128" fillId="0" borderId="6" applyNumberFormat="0" applyFill="0" applyBorder="0" applyAlignment="0" applyProtection="0">
      <alignment horizontal="left"/>
    </xf>
    <xf numFmtId="0" fontId="128" fillId="0" borderId="6" applyNumberFormat="0" applyFill="0" applyBorder="0" applyAlignment="0" applyProtection="0">
      <alignment horizontal="left"/>
    </xf>
    <xf numFmtId="0" fontId="129" fillId="0" borderId="0">
      <alignment horizontal="left"/>
    </xf>
    <xf numFmtId="0" fontId="70" fillId="0" borderId="0" applyNumberFormat="0" applyFill="0" applyBorder="0" applyAlignment="0" applyProtection="0">
      <alignment horizontal="left"/>
    </xf>
    <xf numFmtId="212" fontId="130" fillId="0" borderId="103"/>
    <xf numFmtId="37" fontId="85" fillId="0" borderId="103"/>
    <xf numFmtId="0" fontId="42" fillId="44" borderId="0" applyNumberFormat="0" applyFont="0" applyBorder="0" applyAlignment="0" applyProtection="0"/>
    <xf numFmtId="0" fontId="42" fillId="0" borderId="95" applyNumberFormat="0" applyFont="0" applyFill="0" applyAlignment="0" applyProtection="0"/>
    <xf numFmtId="0" fontId="131" fillId="0" borderId="0" applyNumberFormat="0" applyFill="0" applyBorder="0" applyAlignment="0" applyProtection="0"/>
    <xf numFmtId="0" fontId="69" fillId="58" borderId="0" applyNumberFormat="0" applyBorder="0" applyAlignment="0" applyProtection="0">
      <alignment vertical="center"/>
    </xf>
    <xf numFmtId="0" fontId="69" fillId="52" borderId="0" applyNumberFormat="0" applyBorder="0" applyAlignment="0" applyProtection="0">
      <alignment vertical="center"/>
    </xf>
    <xf numFmtId="0" fontId="69" fillId="20" borderId="0" applyNumberFormat="0" applyBorder="0" applyAlignment="0" applyProtection="0">
      <alignment vertical="center"/>
    </xf>
    <xf numFmtId="0" fontId="69" fillId="25" borderId="0" applyNumberFormat="0" applyBorder="0" applyAlignment="0" applyProtection="0">
      <alignment vertical="center"/>
    </xf>
    <xf numFmtId="0" fontId="69" fillId="26" borderId="0" applyNumberFormat="0" applyBorder="0" applyAlignment="0" applyProtection="0">
      <alignment vertical="center"/>
    </xf>
    <xf numFmtId="0" fontId="69" fillId="53" borderId="0" applyNumberFormat="0" applyBorder="0" applyAlignment="0" applyProtection="0">
      <alignment vertical="center"/>
    </xf>
    <xf numFmtId="0" fontId="57" fillId="0" borderId="0" applyFont="0" applyFill="0" applyBorder="0" applyAlignment="0" applyProtection="0"/>
    <xf numFmtId="0" fontId="57" fillId="0" borderId="0" applyFont="0" applyFill="0" applyBorder="0" applyAlignment="0" applyProtection="0"/>
    <xf numFmtId="0" fontId="132" fillId="0" borderId="0" applyNumberFormat="0" applyFill="0" applyBorder="0" applyAlignment="0" applyProtection="0">
      <alignment vertical="center"/>
    </xf>
    <xf numFmtId="0" fontId="133" fillId="59" borderId="109" applyNumberFormat="0" applyAlignment="0" applyProtection="0">
      <alignment vertical="center"/>
    </xf>
    <xf numFmtId="0" fontId="134" fillId="51" borderId="0" applyNumberFormat="0" applyBorder="0" applyAlignment="0" applyProtection="0">
      <alignment vertical="center"/>
    </xf>
    <xf numFmtId="9" fontId="45" fillId="0" borderId="0" applyFont="0" applyFill="0" applyBorder="0" applyAlignment="0" applyProtection="0">
      <alignment vertical="center"/>
    </xf>
    <xf numFmtId="9" fontId="3" fillId="0" borderId="0" applyFont="0" applyFill="0" applyBorder="0" applyAlignment="0" applyProtection="0"/>
    <xf numFmtId="9" fontId="2" fillId="0" borderId="0" applyFont="0" applyFill="0" applyBorder="0" applyAlignment="0" applyProtection="0">
      <alignment vertical="center"/>
    </xf>
    <xf numFmtId="0" fontId="3" fillId="10" borderId="119" applyNumberFormat="0" applyFont="0" applyAlignment="0" applyProtection="0">
      <alignment vertical="center"/>
    </xf>
    <xf numFmtId="0" fontId="3" fillId="10" borderId="119" applyNumberFormat="0" applyFont="0" applyAlignment="0" applyProtection="0">
      <alignment vertical="center"/>
    </xf>
    <xf numFmtId="0" fontId="3" fillId="10" borderId="119" applyNumberFormat="0" applyFont="0" applyAlignment="0" applyProtection="0">
      <alignment vertical="center"/>
    </xf>
    <xf numFmtId="0" fontId="135" fillId="0" borderId="129" applyNumberFormat="0" applyFill="0" applyAlignment="0" applyProtection="0">
      <alignment vertical="center"/>
    </xf>
    <xf numFmtId="0" fontId="46" fillId="13" borderId="0" applyNumberFormat="0" applyBorder="0" applyAlignment="0" applyProtection="0">
      <alignment vertical="center"/>
    </xf>
    <xf numFmtId="0" fontId="66" fillId="0" borderId="0">
      <alignment vertical="center"/>
    </xf>
    <xf numFmtId="0" fontId="136" fillId="21" borderId="108" applyNumberFormat="0" applyAlignment="0" applyProtection="0">
      <alignment vertical="center"/>
    </xf>
    <xf numFmtId="0" fontId="136" fillId="21" borderId="108" applyNumberFormat="0" applyAlignment="0" applyProtection="0">
      <alignment vertical="center"/>
    </xf>
    <xf numFmtId="0" fontId="136" fillId="21" borderId="108" applyNumberFormat="0" applyAlignment="0" applyProtection="0">
      <alignment vertical="center"/>
    </xf>
    <xf numFmtId="0" fontId="137" fillId="0" borderId="0" applyNumberFormat="0" applyFill="0" applyBorder="0" applyAlignment="0" applyProtection="0">
      <alignment vertical="center"/>
    </xf>
    <xf numFmtId="38" fontId="3" fillId="0" borderId="0" applyFont="0" applyFill="0" applyBorder="0" applyAlignment="0" applyProtection="0"/>
    <xf numFmtId="38" fontId="3" fillId="0" borderId="0" applyFont="0" applyFill="0" applyBorder="0" applyAlignment="0" applyProtection="0"/>
    <xf numFmtId="38" fontId="3" fillId="0" borderId="0" applyFont="0" applyFill="0" applyBorder="0" applyAlignment="0" applyProtection="0">
      <alignment vertical="center"/>
    </xf>
    <xf numFmtId="38" fontId="3" fillId="0" borderId="0" applyFont="0" applyFill="0" applyBorder="0" applyAlignment="0" applyProtection="0">
      <alignment vertical="center"/>
    </xf>
    <xf numFmtId="38" fontId="2" fillId="0" borderId="0" applyFont="0" applyFill="0" applyBorder="0" applyAlignment="0" applyProtection="0">
      <alignment vertical="center"/>
    </xf>
    <xf numFmtId="38" fontId="2" fillId="0" borderId="0" applyFont="0" applyFill="0" applyBorder="0" applyAlignment="0" applyProtection="0">
      <alignment vertical="center"/>
    </xf>
    <xf numFmtId="38" fontId="2" fillId="0" borderId="0" applyFont="0" applyFill="0" applyBorder="0" applyAlignment="0" applyProtection="0">
      <alignment vertical="center"/>
    </xf>
    <xf numFmtId="0" fontId="138" fillId="0" borderId="130" applyNumberFormat="0" applyFill="0" applyAlignment="0" applyProtection="0">
      <alignment vertical="center"/>
    </xf>
    <xf numFmtId="0" fontId="139" fillId="0" borderId="114" applyNumberFormat="0" applyFill="0" applyAlignment="0" applyProtection="0">
      <alignment vertical="center"/>
    </xf>
    <xf numFmtId="0" fontId="140" fillId="0" borderId="131" applyNumberFormat="0" applyFill="0" applyAlignment="0" applyProtection="0">
      <alignment vertical="center"/>
    </xf>
    <xf numFmtId="0" fontId="140" fillId="0" borderId="0" applyNumberFormat="0" applyFill="0" applyBorder="0" applyAlignment="0" applyProtection="0">
      <alignment vertical="center"/>
    </xf>
    <xf numFmtId="0" fontId="28" fillId="11" borderId="0"/>
    <xf numFmtId="0" fontId="141" fillId="0" borderId="132" applyNumberFormat="0" applyFill="0" applyAlignment="0" applyProtection="0">
      <alignment vertical="center"/>
    </xf>
    <xf numFmtId="0" fontId="141" fillId="0" borderId="132" applyNumberFormat="0" applyFill="0" applyAlignment="0" applyProtection="0">
      <alignment vertical="center"/>
    </xf>
    <xf numFmtId="0" fontId="141" fillId="0" borderId="132" applyNumberFormat="0" applyFill="0" applyAlignment="0" applyProtection="0">
      <alignment vertical="center"/>
    </xf>
    <xf numFmtId="0" fontId="142" fillId="21" borderId="122" applyNumberFormat="0" applyAlignment="0" applyProtection="0">
      <alignment vertical="center"/>
    </xf>
    <xf numFmtId="0" fontId="142" fillId="21" borderId="122" applyNumberFormat="0" applyAlignment="0" applyProtection="0">
      <alignment vertical="center"/>
    </xf>
    <xf numFmtId="0" fontId="142" fillId="21" borderId="122" applyNumberFormat="0" applyAlignment="0" applyProtection="0">
      <alignment vertical="center"/>
    </xf>
    <xf numFmtId="0" fontId="143" fillId="0" borderId="0" applyNumberFormat="0" applyFill="0" applyBorder="0" applyAlignment="0" applyProtection="0">
      <alignment vertical="center"/>
    </xf>
    <xf numFmtId="0" fontId="64" fillId="0" borderId="0" applyFont="0" applyFill="0" applyBorder="0" applyAlignment="0" applyProtection="0"/>
    <xf numFmtId="0" fontId="64" fillId="0" borderId="0" applyFont="0" applyFill="0" applyBorder="0" applyAlignment="0" applyProtection="0"/>
    <xf numFmtId="0" fontId="144" fillId="18" borderId="108" applyNumberFormat="0" applyAlignment="0" applyProtection="0">
      <alignment vertical="center"/>
    </xf>
    <xf numFmtId="0" fontId="144" fillId="18" borderId="108" applyNumberFormat="0" applyAlignment="0" applyProtection="0">
      <alignment vertical="center"/>
    </xf>
    <xf numFmtId="0" fontId="144" fillId="18" borderId="108" applyNumberFormat="0" applyAlignment="0" applyProtection="0">
      <alignment vertical="center"/>
    </xf>
    <xf numFmtId="0" fontId="3" fillId="0" borderId="0"/>
    <xf numFmtId="0" fontId="3" fillId="0" borderId="0"/>
    <xf numFmtId="0" fontId="3" fillId="0" borderId="0"/>
    <xf numFmtId="0" fontId="3" fillId="0" borderId="0"/>
    <xf numFmtId="0" fontId="145" fillId="0" borderId="0">
      <alignment vertical="center"/>
    </xf>
    <xf numFmtId="0" fontId="3" fillId="0" borderId="0">
      <alignment vertical="center"/>
    </xf>
    <xf numFmtId="0" fontId="3" fillId="0" borderId="0"/>
    <xf numFmtId="0" fontId="3" fillId="0" borderId="0" applyBorder="0"/>
    <xf numFmtId="0" fontId="3" fillId="0" borderId="0"/>
    <xf numFmtId="0" fontId="2" fillId="0" borderId="0">
      <alignment vertical="center"/>
    </xf>
    <xf numFmtId="0" fontId="2" fillId="0" borderId="0">
      <alignment vertical="center"/>
    </xf>
    <xf numFmtId="0" fontId="2" fillId="0" borderId="0">
      <alignment vertical="center"/>
    </xf>
    <xf numFmtId="0" fontId="3" fillId="0" borderId="0" applyBorder="0"/>
    <xf numFmtId="0" fontId="3" fillId="0" borderId="0" applyBorder="0"/>
    <xf numFmtId="0" fontId="3" fillId="0" borderId="0" applyBorder="0"/>
    <xf numFmtId="0" fontId="3" fillId="0" borderId="0" applyBorder="0"/>
    <xf numFmtId="0" fontId="3" fillId="0" borderId="0"/>
    <xf numFmtId="0" fontId="3" fillId="0" borderId="0"/>
    <xf numFmtId="0" fontId="3" fillId="0" borderId="0" applyBorder="0"/>
    <xf numFmtId="0" fontId="3" fillId="0" borderId="0" applyBorder="0"/>
    <xf numFmtId="0" fontId="3" fillId="0" borderId="0">
      <alignment vertical="center"/>
    </xf>
    <xf numFmtId="0" fontId="3" fillId="0" borderId="0"/>
    <xf numFmtId="0" fontId="3" fillId="0" borderId="0" applyBorder="0"/>
    <xf numFmtId="0" fontId="3" fillId="0" borderId="0"/>
    <xf numFmtId="0" fontId="3" fillId="0" borderId="0" applyBorder="0"/>
    <xf numFmtId="0" fontId="3" fillId="0" borderId="0" applyBorder="0"/>
    <xf numFmtId="1" fontId="29" fillId="0" borderId="0"/>
    <xf numFmtId="0" fontId="5" fillId="0" borderId="0"/>
    <xf numFmtId="0" fontId="5" fillId="0" borderId="0"/>
    <xf numFmtId="0" fontId="146" fillId="15" borderId="0" applyNumberFormat="0" applyBorder="0" applyAlignment="0" applyProtection="0">
      <alignment vertical="center"/>
    </xf>
    <xf numFmtId="0" fontId="57" fillId="0" borderId="0" applyFont="0" applyFill="0" applyBorder="0" applyAlignment="0" applyProtection="0"/>
    <xf numFmtId="0" fontId="144" fillId="51" borderId="108" applyNumberFormat="0" applyAlignment="0" applyProtection="0">
      <alignment vertical="center"/>
    </xf>
    <xf numFmtId="0" fontId="144" fillId="51" borderId="108" applyNumberFormat="0" applyAlignment="0" applyProtection="0">
      <alignment vertical="center"/>
    </xf>
    <xf numFmtId="0" fontId="143" fillId="0" borderId="0" applyNumberFormat="0" applyFill="0" applyBorder="0" applyAlignment="0" applyProtection="0">
      <alignment vertical="center"/>
    </xf>
    <xf numFmtId="0" fontId="147" fillId="0" borderId="0" applyNumberFormat="0" applyFill="0" applyBorder="0" applyAlignment="0" applyProtection="0">
      <alignment vertical="center"/>
    </xf>
    <xf numFmtId="0" fontId="148" fillId="0" borderId="0">
      <alignment vertical="center"/>
    </xf>
    <xf numFmtId="0" fontId="3" fillId="0" borderId="0">
      <alignment vertical="center"/>
    </xf>
    <xf numFmtId="0" fontId="69" fillId="26" borderId="0" applyNumberFormat="0" applyBorder="0" applyAlignment="0" applyProtection="0">
      <alignment vertical="center"/>
    </xf>
    <xf numFmtId="0" fontId="3" fillId="0" borderId="0">
      <alignment vertical="center"/>
    </xf>
    <xf numFmtId="0" fontId="149" fillId="0" borderId="0"/>
    <xf numFmtId="0" fontId="3" fillId="0" borderId="0" applyFill="0"/>
    <xf numFmtId="0" fontId="45" fillId="18" borderId="0" applyNumberFormat="0" applyBorder="0" applyAlignment="0" applyProtection="0">
      <alignment vertical="center"/>
    </xf>
    <xf numFmtId="0" fontId="3" fillId="0" borderId="0"/>
    <xf numFmtId="0" fontId="3" fillId="0" borderId="0"/>
    <xf numFmtId="0" fontId="3" fillId="0" borderId="0"/>
    <xf numFmtId="0" fontId="3" fillId="0" borderId="0"/>
    <xf numFmtId="0" fontId="150" fillId="0" borderId="0" applyNumberFormat="0" applyFill="0" applyBorder="0" applyAlignment="0" applyProtection="0">
      <alignment vertical="top"/>
      <protection locked="0"/>
    </xf>
    <xf numFmtId="0" fontId="66" fillId="0" borderId="0">
      <alignment vertical="center"/>
    </xf>
    <xf numFmtId="0" fontId="3" fillId="0" borderId="0">
      <alignment vertical="center"/>
    </xf>
    <xf numFmtId="0" fontId="3" fillId="0" borderId="0"/>
    <xf numFmtId="0" fontId="3" fillId="0" borderId="0"/>
    <xf numFmtId="9" fontId="3" fillId="0" borderId="0" applyFont="0" applyFill="0" applyBorder="0" applyAlignment="0" applyProtection="0">
      <alignment vertical="center"/>
    </xf>
    <xf numFmtId="0" fontId="3" fillId="0" borderId="0" applyBorder="0"/>
    <xf numFmtId="0" fontId="3" fillId="0" borderId="0">
      <alignment vertical="center"/>
    </xf>
    <xf numFmtId="0" fontId="3" fillId="0" borderId="0">
      <alignment vertical="center"/>
    </xf>
    <xf numFmtId="0" fontId="3" fillId="0" borderId="0">
      <alignment vertical="center"/>
    </xf>
    <xf numFmtId="0" fontId="1" fillId="0" borderId="0">
      <alignment vertical="center"/>
    </xf>
    <xf numFmtId="0" fontId="1" fillId="0" borderId="0">
      <alignment vertical="center"/>
    </xf>
    <xf numFmtId="0" fontId="3" fillId="0" borderId="0">
      <alignment vertical="center"/>
    </xf>
    <xf numFmtId="0" fontId="3" fillId="0" borderId="0">
      <alignment vertical="center"/>
    </xf>
    <xf numFmtId="0" fontId="44" fillId="0" borderId="0">
      <alignment vertical="center"/>
    </xf>
  </cellStyleXfs>
  <cellXfs count="1325">
    <xf numFmtId="0" fontId="0" fillId="0" borderId="0" xfId="0"/>
    <xf numFmtId="0" fontId="11" fillId="0" borderId="1" xfId="0" applyFont="1" applyBorder="1" applyAlignment="1">
      <alignment vertical="center"/>
    </xf>
    <xf numFmtId="0" fontId="4" fillId="0" borderId="1" xfId="0" applyFont="1" applyBorder="1" applyAlignment="1">
      <alignment vertical="center"/>
    </xf>
    <xf numFmtId="0" fontId="7" fillId="0" borderId="1" xfId="0" applyFont="1" applyBorder="1"/>
    <xf numFmtId="0" fontId="9" fillId="0" borderId="0" xfId="0" applyFont="1" applyAlignment="1">
      <alignment vertical="center"/>
    </xf>
    <xf numFmtId="0" fontId="4" fillId="0" borderId="0" xfId="0" applyFont="1" applyAlignment="1">
      <alignment vertical="center"/>
    </xf>
    <xf numFmtId="0" fontId="7" fillId="0" borderId="0" xfId="0" applyFont="1"/>
    <xf numFmtId="0" fontId="6" fillId="0" borderId="0" xfId="0" applyFont="1" applyAlignment="1">
      <alignment vertical="center"/>
    </xf>
    <xf numFmtId="0" fontId="5" fillId="2" borderId="2" xfId="0" applyFont="1" applyFill="1" applyBorder="1" applyAlignment="1">
      <alignment horizontal="center" vertical="center"/>
    </xf>
    <xf numFmtId="0" fontId="5" fillId="2" borderId="4" xfId="0" applyFont="1" applyFill="1" applyBorder="1" applyAlignment="1">
      <alignment horizontal="center" vertical="center"/>
    </xf>
    <xf numFmtId="0" fontId="6" fillId="0" borderId="0" xfId="0" applyFont="1" applyAlignment="1">
      <alignment horizontal="center" vertical="center"/>
    </xf>
    <xf numFmtId="0" fontId="5" fillId="2" borderId="2" xfId="1" applyNumberFormat="1" applyFont="1" applyFill="1" applyBorder="1" applyAlignment="1">
      <alignment horizontal="center" vertical="center"/>
    </xf>
    <xf numFmtId="0" fontId="5" fillId="0" borderId="0" xfId="0" applyFont="1" applyAlignment="1">
      <alignment horizontal="distributed" vertical="center"/>
    </xf>
    <xf numFmtId="0" fontId="6" fillId="0" borderId="0" xfId="0" applyFont="1" applyBorder="1" applyAlignment="1">
      <alignment vertical="center"/>
    </xf>
    <xf numFmtId="0" fontId="7" fillId="0" borderId="1" xfId="0" applyFont="1" applyBorder="1" applyAlignment="1">
      <alignment vertical="center"/>
    </xf>
    <xf numFmtId="0" fontId="7" fillId="0" borderId="0" xfId="0" applyFont="1" applyAlignment="1">
      <alignment vertical="center"/>
    </xf>
    <xf numFmtId="49" fontId="6" fillId="0" borderId="0" xfId="0" applyNumberFormat="1" applyFont="1" applyBorder="1" applyAlignment="1">
      <alignment horizontal="center" vertical="center" shrinkToFit="1"/>
    </xf>
    <xf numFmtId="49" fontId="6" fillId="0" borderId="9" xfId="0" applyNumberFormat="1" applyFont="1" applyBorder="1" applyAlignment="1">
      <alignment horizontal="center" vertical="center" shrinkToFit="1"/>
    </xf>
    <xf numFmtId="0" fontId="3" fillId="0" borderId="0" xfId="0" applyFont="1"/>
    <xf numFmtId="0" fontId="5" fillId="0" borderId="2" xfId="0" applyFont="1" applyBorder="1" applyAlignment="1">
      <alignment horizontal="center" vertical="center" shrinkToFit="1"/>
    </xf>
    <xf numFmtId="0" fontId="3" fillId="0" borderId="0" xfId="0" applyFont="1" applyBorder="1"/>
    <xf numFmtId="0" fontId="6" fillId="0" borderId="9" xfId="0" applyFont="1" applyBorder="1" applyAlignment="1">
      <alignment vertical="center"/>
    </xf>
    <xf numFmtId="0" fontId="0" fillId="0" borderId="0" xfId="0" applyBorder="1" applyAlignment="1" applyProtection="1">
      <alignment vertical="center"/>
      <protection locked="0"/>
    </xf>
    <xf numFmtId="49" fontId="6" fillId="0" borderId="0" xfId="0" applyNumberFormat="1" applyFont="1" applyBorder="1" applyAlignment="1">
      <alignment vertical="center"/>
    </xf>
    <xf numFmtId="179" fontId="13" fillId="0" borderId="0" xfId="0" applyNumberFormat="1" applyFont="1" applyBorder="1" applyAlignment="1">
      <alignment horizontal="center" vertical="center"/>
    </xf>
    <xf numFmtId="6" fontId="5" fillId="0" borderId="0" xfId="1" applyFont="1" applyBorder="1" applyAlignment="1">
      <alignment horizontal="center" vertical="center" shrinkToFit="1"/>
    </xf>
    <xf numFmtId="0" fontId="13" fillId="0" borderId="5" xfId="0" quotePrefix="1" applyFont="1" applyBorder="1" applyAlignment="1">
      <alignment horizontal="center" vertical="center" shrinkToFit="1"/>
    </xf>
    <xf numFmtId="0" fontId="16" fillId="0" borderId="0" xfId="0" applyFont="1" applyAlignment="1">
      <alignment vertical="center"/>
    </xf>
    <xf numFmtId="0" fontId="14" fillId="0" borderId="7" xfId="0" quotePrefix="1" applyFont="1" applyBorder="1" applyAlignment="1">
      <alignment vertical="center"/>
    </xf>
    <xf numFmtId="0" fontId="14" fillId="0" borderId="0" xfId="0" quotePrefix="1" applyFont="1" applyBorder="1" applyAlignment="1">
      <alignment vertical="center"/>
    </xf>
    <xf numFmtId="0" fontId="6" fillId="0" borderId="0" xfId="0" quotePrefix="1" applyFont="1" applyBorder="1" applyAlignment="1">
      <alignment vertical="center"/>
    </xf>
    <xf numFmtId="0" fontId="0" fillId="0" borderId="21" xfId="0" applyBorder="1" applyAlignment="1">
      <alignment horizontal="center" vertical="center" shrinkToFit="1"/>
    </xf>
    <xf numFmtId="0" fontId="0" fillId="0" borderId="2" xfId="0" applyBorder="1" applyAlignment="1">
      <alignment horizontal="center" vertical="center" shrinkToFit="1"/>
    </xf>
    <xf numFmtId="0" fontId="3" fillId="0" borderId="0" xfId="8"/>
    <xf numFmtId="0" fontId="27" fillId="0" borderId="0" xfId="8" applyFont="1"/>
    <xf numFmtId="0" fontId="28" fillId="0" borderId="0" xfId="8" applyFont="1"/>
    <xf numFmtId="0" fontId="5" fillId="0" borderId="0" xfId="0" applyFont="1" applyBorder="1" applyAlignment="1">
      <alignment horizontal="left" vertical="center" shrinkToFit="1"/>
    </xf>
    <xf numFmtId="0" fontId="3" fillId="0" borderId="0" xfId="10" applyAlignment="1">
      <alignment horizontal="centerContinuous"/>
    </xf>
    <xf numFmtId="0" fontId="25" fillId="0" borderId="0" xfId="10" quotePrefix="1" applyFont="1" applyAlignment="1">
      <alignment horizontal="left"/>
    </xf>
    <xf numFmtId="0" fontId="24" fillId="0" borderId="0" xfId="10" applyFont="1" applyAlignment="1">
      <alignment horizontal="center"/>
    </xf>
    <xf numFmtId="177" fontId="3" fillId="0" borderId="0" xfId="10" applyNumberFormat="1" applyAlignment="1">
      <alignment horizontal="centerContinuous"/>
    </xf>
    <xf numFmtId="177" fontId="26" fillId="0" borderId="0" xfId="10" applyNumberFormat="1" applyFont="1" applyAlignment="1">
      <alignment shrinkToFit="1"/>
    </xf>
    <xf numFmtId="0" fontId="3" fillId="0" borderId="0" xfId="10"/>
    <xf numFmtId="0" fontId="32" fillId="0" borderId="0" xfId="11" applyFont="1" applyAlignment="1">
      <alignment horizontal="center"/>
    </xf>
    <xf numFmtId="49" fontId="30" fillId="0" borderId="0" xfId="11" quotePrefix="1" applyNumberFormat="1" applyFont="1"/>
    <xf numFmtId="0" fontId="3" fillId="0" borderId="0" xfId="6"/>
    <xf numFmtId="0" fontId="24" fillId="0" borderId="0" xfId="11" applyFont="1"/>
    <xf numFmtId="0" fontId="3" fillId="0" borderId="0" xfId="11"/>
    <xf numFmtId="0" fontId="5" fillId="0" borderId="0" xfId="11" applyFont="1"/>
    <xf numFmtId="0" fontId="5" fillId="0" borderId="0" xfId="6" applyFont="1"/>
    <xf numFmtId="0" fontId="5" fillId="2" borderId="23" xfId="11" applyFont="1" applyFill="1" applyBorder="1"/>
    <xf numFmtId="0" fontId="5" fillId="2" borderId="28" xfId="11" applyFont="1" applyFill="1" applyBorder="1"/>
    <xf numFmtId="0" fontId="5" fillId="2" borderId="25" xfId="11" applyFont="1" applyFill="1" applyBorder="1" applyAlignment="1">
      <alignment horizontal="center" vertical="center"/>
    </xf>
    <xf numFmtId="0" fontId="5" fillId="2" borderId="26" xfId="11" applyFont="1" applyFill="1" applyBorder="1" applyAlignment="1">
      <alignment horizontal="center" vertical="center"/>
    </xf>
    <xf numFmtId="0" fontId="5" fillId="2" borderId="27" xfId="11" applyFont="1" applyFill="1" applyBorder="1" applyAlignment="1">
      <alignment horizontal="center" vertical="center"/>
    </xf>
    <xf numFmtId="49" fontId="5" fillId="0" borderId="45" xfId="11" applyNumberFormat="1" applyFont="1" applyBorder="1" applyAlignment="1">
      <alignment horizontal="center" vertical="center" shrinkToFit="1"/>
    </xf>
    <xf numFmtId="49" fontId="5" fillId="0" borderId="31" xfId="11" applyNumberFormat="1" applyFont="1" applyBorder="1" applyAlignment="1">
      <alignment horizontal="center" vertical="center" shrinkToFit="1"/>
    </xf>
    <xf numFmtId="49" fontId="5" fillId="0" borderId="36" xfId="11" applyNumberFormat="1" applyFont="1" applyBorder="1" applyAlignment="1">
      <alignment horizontal="center" vertical="center" shrinkToFit="1"/>
    </xf>
    <xf numFmtId="49" fontId="5" fillId="0" borderId="61" xfId="11" applyNumberFormat="1" applyFont="1" applyBorder="1" applyAlignment="1">
      <alignment horizontal="center" vertical="center" shrinkToFit="1"/>
    </xf>
    <xf numFmtId="49" fontId="5" fillId="0" borderId="50" xfId="11" applyNumberFormat="1" applyFont="1" applyBorder="1" applyAlignment="1">
      <alignment horizontal="center" vertical="center" shrinkToFit="1"/>
    </xf>
    <xf numFmtId="49" fontId="5" fillId="0" borderId="26" xfId="11" applyNumberFormat="1" applyFont="1" applyBorder="1" applyAlignment="1">
      <alignment horizontal="center" vertical="center" shrinkToFit="1"/>
    </xf>
    <xf numFmtId="0" fontId="0" fillId="0" borderId="13" xfId="0" applyBorder="1" applyAlignment="1">
      <alignment horizontal="center" vertical="center" shrinkToFit="1"/>
    </xf>
    <xf numFmtId="0" fontId="5" fillId="0" borderId="35" xfId="11" applyFont="1" applyBorder="1" applyAlignment="1">
      <alignment horizontal="center" vertical="center" shrinkToFit="1"/>
    </xf>
    <xf numFmtId="0" fontId="5" fillId="0" borderId="48" xfId="11" quotePrefix="1" applyFont="1" applyBorder="1" applyAlignment="1">
      <alignment horizontal="center" vertical="center" shrinkToFit="1"/>
    </xf>
    <xf numFmtId="0" fontId="5" fillId="0" borderId="55" xfId="11" quotePrefix="1" applyFont="1" applyBorder="1" applyAlignment="1">
      <alignment horizontal="center" vertical="center" shrinkToFit="1"/>
    </xf>
    <xf numFmtId="0" fontId="29" fillId="0" borderId="33" xfId="8" applyFont="1" applyBorder="1" applyAlignment="1">
      <alignment horizontal="center" vertical="center"/>
    </xf>
    <xf numFmtId="0" fontId="29" fillId="0" borderId="0" xfId="8" applyFont="1" applyAlignment="1">
      <alignment horizontal="center" vertical="center"/>
    </xf>
    <xf numFmtId="0" fontId="3" fillId="0" borderId="1" xfId="0" applyFont="1" applyBorder="1"/>
    <xf numFmtId="49" fontId="31" fillId="0" borderId="5" xfId="0" applyNumberFormat="1" applyFont="1" applyBorder="1" applyAlignment="1">
      <alignment horizontal="left" vertical="top" wrapText="1" shrinkToFit="1"/>
    </xf>
    <xf numFmtId="49" fontId="31" fillId="0" borderId="6" xfId="0" applyNumberFormat="1" applyFont="1" applyBorder="1" applyAlignment="1">
      <alignment horizontal="left" vertical="top" shrinkToFit="1"/>
    </xf>
    <xf numFmtId="49" fontId="31" fillId="0" borderId="69" xfId="0" applyNumberFormat="1" applyFont="1" applyBorder="1" applyAlignment="1">
      <alignment horizontal="left" vertical="top" shrinkToFit="1"/>
    </xf>
    <xf numFmtId="49" fontId="31" fillId="0" borderId="0" xfId="0" applyNumberFormat="1" applyFont="1" applyBorder="1" applyAlignment="1">
      <alignment horizontal="left" vertical="top" shrinkToFit="1"/>
    </xf>
    <xf numFmtId="49" fontId="31" fillId="0" borderId="22" xfId="0" applyNumberFormat="1" applyFont="1" applyBorder="1" applyAlignment="1">
      <alignment horizontal="left" vertical="top" shrinkToFit="1"/>
    </xf>
    <xf numFmtId="49" fontId="31" fillId="0" borderId="8" xfId="0" applyNumberFormat="1" applyFont="1" applyBorder="1" applyAlignment="1">
      <alignment horizontal="left" vertical="top" shrinkToFit="1"/>
    </xf>
    <xf numFmtId="49" fontId="31" fillId="0" borderId="9" xfId="0" applyNumberFormat="1" applyFont="1" applyBorder="1" applyAlignment="1">
      <alignment horizontal="left" vertical="top" shrinkToFit="1"/>
    </xf>
    <xf numFmtId="49" fontId="31" fillId="0" borderId="70" xfId="0" applyNumberFormat="1" applyFont="1" applyBorder="1" applyAlignment="1">
      <alignment horizontal="left" vertical="top" shrinkToFit="1"/>
    </xf>
    <xf numFmtId="0" fontId="3" fillId="0" borderId="2" xfId="0" applyFont="1" applyBorder="1" applyAlignment="1">
      <alignment vertical="center" shrinkToFit="1"/>
    </xf>
    <xf numFmtId="0" fontId="3" fillId="0" borderId="2" xfId="0" applyFont="1" applyBorder="1" applyAlignment="1">
      <alignment horizontal="center" vertical="center" shrinkToFit="1"/>
    </xf>
    <xf numFmtId="55" fontId="3" fillId="0" borderId="13" xfId="0" applyNumberFormat="1" applyFont="1" applyBorder="1" applyAlignment="1">
      <alignment horizontal="center" vertical="center" shrinkToFit="1"/>
    </xf>
    <xf numFmtId="0" fontId="3" fillId="0" borderId="16" xfId="0" quotePrefix="1" applyFont="1" applyBorder="1" applyAlignment="1">
      <alignment horizontal="center" vertical="center" shrinkToFit="1"/>
    </xf>
    <xf numFmtId="0" fontId="3" fillId="0" borderId="0" xfId="0" applyFont="1" applyBorder="1" applyAlignment="1">
      <alignment vertical="center" shrinkToFit="1"/>
    </xf>
    <xf numFmtId="0" fontId="13" fillId="0" borderId="0" xfId="0" applyFont="1" applyBorder="1" applyAlignment="1">
      <alignment horizontal="center" vertical="center" shrinkToFit="1"/>
    </xf>
    <xf numFmtId="49" fontId="6" fillId="0" borderId="0" xfId="0" applyNumberFormat="1" applyFont="1" applyBorder="1" applyAlignment="1">
      <alignment horizontal="left" vertical="center"/>
    </xf>
    <xf numFmtId="0" fontId="3" fillId="0" borderId="0" xfId="0" applyFont="1" applyBorder="1" applyAlignment="1">
      <alignment horizontal="left" vertical="center" shrinkToFit="1"/>
    </xf>
    <xf numFmtId="0" fontId="0" fillId="0" borderId="0" xfId="0" applyAlignment="1">
      <alignment vertical="center" wrapText="1"/>
    </xf>
    <xf numFmtId="0" fontId="47" fillId="0" borderId="0" xfId="0" applyFont="1"/>
    <xf numFmtId="0" fontId="5" fillId="0" borderId="48" xfId="11" applyFont="1" applyBorder="1" applyAlignment="1">
      <alignment horizontal="center" vertical="center" shrinkToFit="1"/>
    </xf>
    <xf numFmtId="0" fontId="0" fillId="0" borderId="0" xfId="0" applyAlignment="1">
      <alignment vertical="center"/>
    </xf>
    <xf numFmtId="49" fontId="6" fillId="0" borderId="11" xfId="0" applyNumberFormat="1" applyFont="1" applyBorder="1" applyAlignment="1">
      <alignment horizontal="center" vertical="center" shrinkToFit="1"/>
    </xf>
    <xf numFmtId="0" fontId="6" fillId="0" borderId="10" xfId="0" applyFont="1" applyBorder="1" applyAlignment="1">
      <alignment horizontal="center" vertical="center" shrinkToFit="1"/>
    </xf>
    <xf numFmtId="49" fontId="6" fillId="0" borderId="18" xfId="0" applyNumberFormat="1" applyFont="1" applyBorder="1" applyAlignment="1">
      <alignment horizontal="center" vertical="center" shrinkToFit="1"/>
    </xf>
    <xf numFmtId="49" fontId="6" fillId="0" borderId="12" xfId="0" applyNumberFormat="1" applyFont="1" applyBorder="1" applyAlignment="1">
      <alignment horizontal="center" vertical="center" shrinkToFit="1"/>
    </xf>
    <xf numFmtId="0" fontId="13" fillId="0" borderId="0" xfId="0" applyFont="1" applyBorder="1" applyAlignment="1">
      <alignment vertical="center" shrinkToFit="1"/>
    </xf>
    <xf numFmtId="0" fontId="14" fillId="2" borderId="26" xfId="8" applyFont="1" applyFill="1" applyBorder="1" applyAlignment="1">
      <alignment horizontal="center" vertical="center"/>
    </xf>
    <xf numFmtId="0" fontId="14" fillId="2" borderId="25" xfId="8" applyFont="1" applyFill="1" applyBorder="1" applyAlignment="1">
      <alignment horizontal="center" vertical="center"/>
    </xf>
    <xf numFmtId="0" fontId="14" fillId="2" borderId="27" xfId="8" applyFont="1" applyFill="1" applyBorder="1" applyAlignment="1">
      <alignment horizontal="center" vertical="center"/>
    </xf>
    <xf numFmtId="0" fontId="5" fillId="0" borderId="29" xfId="8" applyFont="1" applyBorder="1" applyAlignment="1">
      <alignment horizontal="left" vertical="center" shrinkToFit="1"/>
    </xf>
    <xf numFmtId="0" fontId="14" fillId="0" borderId="30" xfId="8" applyFont="1" applyBorder="1" applyAlignment="1">
      <alignment horizontal="center" vertical="center" shrinkToFit="1"/>
    </xf>
    <xf numFmtId="49" fontId="29" fillId="0" borderId="31" xfId="8" applyNumberFormat="1" applyFont="1" applyBorder="1" applyAlignment="1">
      <alignment horizontal="center" vertical="center" shrinkToFit="1"/>
    </xf>
    <xf numFmtId="49" fontId="29" fillId="0" borderId="32" xfId="8" applyNumberFormat="1" applyFont="1" applyBorder="1" applyAlignment="1">
      <alignment horizontal="center" vertical="center" shrinkToFit="1"/>
    </xf>
    <xf numFmtId="0" fontId="14" fillId="0" borderId="30" xfId="8" applyFont="1" applyBorder="1" applyAlignment="1">
      <alignment horizontal="left" vertical="center" shrinkToFit="1"/>
    </xf>
    <xf numFmtId="0" fontId="5" fillId="0" borderId="30" xfId="8" applyFont="1" applyBorder="1" applyAlignment="1">
      <alignment horizontal="right" vertical="center" shrinkToFit="1"/>
    </xf>
    <xf numFmtId="0" fontId="5" fillId="0" borderId="34" xfId="8" applyFont="1" applyBorder="1" applyAlignment="1">
      <alignment vertical="center" shrinkToFit="1"/>
    </xf>
    <xf numFmtId="0" fontId="14" fillId="0" borderId="35" xfId="8" applyFont="1" applyBorder="1" applyAlignment="1">
      <alignment horizontal="center" vertical="center" shrinkToFit="1"/>
    </xf>
    <xf numFmtId="49" fontId="29" fillId="0" borderId="36" xfId="8" applyNumberFormat="1" applyFont="1" applyBorder="1" applyAlignment="1">
      <alignment horizontal="center" vertical="center" shrinkToFit="1"/>
    </xf>
    <xf numFmtId="49" fontId="29" fillId="0" borderId="37" xfId="8" applyNumberFormat="1" applyFont="1" applyBorder="1" applyAlignment="1">
      <alignment horizontal="center" vertical="center" shrinkToFit="1"/>
    </xf>
    <xf numFmtId="0" fontId="14" fillId="0" borderId="35" xfId="8" applyFont="1" applyBorder="1" applyAlignment="1">
      <alignment horizontal="left" vertical="center" shrinkToFit="1"/>
    </xf>
    <xf numFmtId="0" fontId="5" fillId="0" borderId="38" xfId="8" applyFont="1" applyBorder="1" applyAlignment="1">
      <alignment vertical="center" shrinkToFit="1"/>
    </xf>
    <xf numFmtId="0" fontId="5" fillId="0" borderId="35" xfId="8" applyFont="1" applyBorder="1" applyAlignment="1">
      <alignment vertical="center" shrinkToFit="1"/>
    </xf>
    <xf numFmtId="0" fontId="5" fillId="0" borderId="39" xfId="8" applyFont="1" applyBorder="1" applyAlignment="1">
      <alignment vertical="center" shrinkToFit="1"/>
    </xf>
    <xf numFmtId="0" fontId="14" fillId="0" borderId="40" xfId="8" applyFont="1" applyBorder="1" applyAlignment="1">
      <alignment horizontal="center" vertical="center" shrinkToFit="1"/>
    </xf>
    <xf numFmtId="49" fontId="29" fillId="0" borderId="26" xfId="8" applyNumberFormat="1" applyFont="1" applyBorder="1" applyAlignment="1">
      <alignment horizontal="center" vertical="center" shrinkToFit="1"/>
    </xf>
    <xf numFmtId="49" fontId="29" fillId="0" borderId="41" xfId="8" applyNumberFormat="1" applyFont="1" applyBorder="1" applyAlignment="1">
      <alignment horizontal="center" vertical="center" shrinkToFit="1"/>
    </xf>
    <xf numFmtId="0" fontId="14" fillId="0" borderId="40" xfId="8" applyFont="1" applyBorder="1" applyAlignment="1">
      <alignment horizontal="left" vertical="center" shrinkToFit="1"/>
    </xf>
    <xf numFmtId="0" fontId="5" fillId="0" borderId="42" xfId="8" applyFont="1" applyBorder="1" applyAlignment="1">
      <alignment horizontal="right" vertical="center" shrinkToFit="1"/>
    </xf>
    <xf numFmtId="0" fontId="5" fillId="0" borderId="9" xfId="8" applyFont="1" applyBorder="1" applyAlignment="1">
      <alignment vertical="center" shrinkToFit="1"/>
    </xf>
    <xf numFmtId="0" fontId="14" fillId="0" borderId="43" xfId="8" applyFont="1" applyBorder="1" applyAlignment="1">
      <alignment horizontal="center" vertical="center" shrinkToFit="1"/>
    </xf>
    <xf numFmtId="49" fontId="29" fillId="0" borderId="45" xfId="8" applyNumberFormat="1" applyFont="1" applyBorder="1" applyAlignment="1">
      <alignment horizontal="center" vertical="center" shrinkToFit="1"/>
    </xf>
    <xf numFmtId="49" fontId="29" fillId="0" borderId="44" xfId="8" applyNumberFormat="1" applyFont="1" applyBorder="1" applyAlignment="1">
      <alignment horizontal="center" vertical="center" shrinkToFit="1"/>
    </xf>
    <xf numFmtId="0" fontId="14" fillId="0" borderId="43" xfId="8" applyFont="1" applyBorder="1" applyAlignment="1">
      <alignment horizontal="left" vertical="center" shrinkToFit="1"/>
    </xf>
    <xf numFmtId="0" fontId="5" fillId="0" borderId="46" xfId="8" applyFont="1" applyBorder="1" applyAlignment="1">
      <alignment vertical="center" shrinkToFit="1"/>
    </xf>
    <xf numFmtId="0" fontId="5" fillId="0" borderId="47" xfId="8" applyFont="1" applyBorder="1" applyAlignment="1">
      <alignment vertical="center" shrinkToFit="1"/>
    </xf>
    <xf numFmtId="0" fontId="5" fillId="0" borderId="54" xfId="8" applyFont="1" applyBorder="1" applyAlignment="1">
      <alignment vertical="center" shrinkToFit="1"/>
    </xf>
    <xf numFmtId="49" fontId="29" fillId="0" borderId="9" xfId="8" applyNumberFormat="1" applyFont="1" applyBorder="1" applyAlignment="1">
      <alignment horizontal="center" vertical="center" shrinkToFit="1"/>
    </xf>
    <xf numFmtId="49" fontId="29" fillId="0" borderId="60" xfId="8" applyNumberFormat="1" applyFont="1" applyBorder="1" applyAlignment="1">
      <alignment horizontal="center" vertical="center" shrinkToFit="1"/>
    </xf>
    <xf numFmtId="0" fontId="5" fillId="0" borderId="38" xfId="8" applyFont="1" applyBorder="1" applyAlignment="1">
      <alignment horizontal="left" vertical="center" shrinkToFit="1"/>
    </xf>
    <xf numFmtId="49" fontId="30" fillId="0" borderId="36" xfId="7" applyNumberFormat="1" applyFont="1" applyBorder="1" applyAlignment="1">
      <alignment horizontal="center" vertical="center" shrinkToFit="1"/>
    </xf>
    <xf numFmtId="49" fontId="30" fillId="0" borderId="37" xfId="7" applyNumberFormat="1" applyFont="1" applyBorder="1" applyAlignment="1">
      <alignment horizontal="center" vertical="center" shrinkToFit="1"/>
    </xf>
    <xf numFmtId="49" fontId="29" fillId="0" borderId="49" xfId="8" applyNumberFormat="1" applyFont="1" applyBorder="1" applyAlignment="1">
      <alignment horizontal="center" vertical="center" shrinkToFit="1"/>
    </xf>
    <xf numFmtId="49" fontId="29" fillId="0" borderId="50" xfId="8" applyNumberFormat="1" applyFont="1" applyBorder="1" applyAlignment="1">
      <alignment horizontal="center" vertical="center" shrinkToFit="1"/>
    </xf>
    <xf numFmtId="0" fontId="5" fillId="0" borderId="58" xfId="9" applyFont="1" applyBorder="1" applyAlignment="1">
      <alignment horizontal="left" vertical="center" shrinkToFit="1"/>
    </xf>
    <xf numFmtId="49" fontId="29" fillId="0" borderId="51" xfId="8" applyNumberFormat="1" applyFont="1" applyBorder="1" applyAlignment="1">
      <alignment horizontal="center" vertical="center" shrinkToFit="1"/>
    </xf>
    <xf numFmtId="0" fontId="14" fillId="0" borderId="48" xfId="8" applyFont="1" applyBorder="1" applyAlignment="1">
      <alignment horizontal="left" vertical="center" shrinkToFit="1"/>
    </xf>
    <xf numFmtId="0" fontId="5" fillId="0" borderId="52" xfId="8" applyFont="1" applyBorder="1" applyAlignment="1">
      <alignment horizontal="left" vertical="center" shrinkToFit="1"/>
    </xf>
    <xf numFmtId="0" fontId="5" fillId="0" borderId="29" xfId="8" applyFont="1" applyBorder="1" applyAlignment="1">
      <alignment vertical="center" shrinkToFit="1"/>
    </xf>
    <xf numFmtId="0" fontId="5" fillId="0" borderId="53" xfId="8" applyFont="1" applyBorder="1" applyAlignment="1">
      <alignment horizontal="left" vertical="center" shrinkToFit="1"/>
    </xf>
    <xf numFmtId="0" fontId="5" fillId="0" borderId="33" xfId="8" applyFont="1" applyBorder="1" applyAlignment="1">
      <alignment vertical="center" shrinkToFit="1"/>
    </xf>
    <xf numFmtId="0" fontId="14" fillId="0" borderId="59" xfId="8" applyFont="1" applyBorder="1" applyAlignment="1">
      <alignment horizontal="center" vertical="center" shrinkToFit="1"/>
    </xf>
    <xf numFmtId="49" fontId="29" fillId="0" borderId="61" xfId="8" applyNumberFormat="1" applyFont="1" applyBorder="1" applyAlignment="1">
      <alignment horizontal="center" vertical="center" shrinkToFit="1"/>
    </xf>
    <xf numFmtId="0" fontId="14" fillId="0" borderId="59" xfId="8" applyFont="1" applyBorder="1" applyAlignment="1">
      <alignment horizontal="left" vertical="center" shrinkToFit="1"/>
    </xf>
    <xf numFmtId="55" fontId="5" fillId="0" borderId="62" xfId="8" applyNumberFormat="1" applyFont="1" applyBorder="1" applyAlignment="1">
      <alignment horizontal="left" vertical="center" shrinkToFit="1"/>
    </xf>
    <xf numFmtId="0" fontId="5" fillId="0" borderId="53" xfId="8" applyFont="1" applyBorder="1" applyAlignment="1">
      <alignment vertical="center" shrinkToFit="1"/>
    </xf>
    <xf numFmtId="49" fontId="52" fillId="0" borderId="44" xfId="7" applyNumberFormat="1" applyFont="1" applyBorder="1" applyAlignment="1">
      <alignment horizontal="center" vertical="center" shrinkToFit="1"/>
    </xf>
    <xf numFmtId="0" fontId="5" fillId="0" borderId="55" xfId="8" applyFont="1" applyBorder="1" applyAlignment="1">
      <alignment vertical="center" shrinkToFit="1"/>
    </xf>
    <xf numFmtId="0" fontId="14" fillId="0" borderId="48" xfId="8" applyFont="1" applyBorder="1" applyAlignment="1">
      <alignment horizontal="center" vertical="center" shrinkToFit="1"/>
    </xf>
    <xf numFmtId="0" fontId="5" fillId="0" borderId="52" xfId="8" applyFont="1" applyBorder="1" applyAlignment="1">
      <alignment vertical="center" shrinkToFit="1"/>
    </xf>
    <xf numFmtId="0" fontId="5" fillId="0" borderId="42" xfId="8" applyFont="1" applyBorder="1" applyAlignment="1">
      <alignment vertical="center" shrinkToFit="1"/>
    </xf>
    <xf numFmtId="0" fontId="5" fillId="0" borderId="42" xfId="8" applyFont="1" applyBorder="1" applyAlignment="1">
      <alignment horizontal="left" vertical="center" shrinkToFit="1"/>
    </xf>
    <xf numFmtId="49" fontId="30" fillId="0" borderId="27" xfId="7" applyNumberFormat="1" applyFont="1" applyBorder="1" applyAlignment="1">
      <alignment horizontal="center" vertical="center" shrinkToFit="1"/>
    </xf>
    <xf numFmtId="0" fontId="5" fillId="0" borderId="43" xfId="8" applyFont="1" applyBorder="1" applyAlignment="1">
      <alignment vertical="center" shrinkToFit="1"/>
    </xf>
    <xf numFmtId="0" fontId="5" fillId="0" borderId="34" xfId="8" applyFont="1" applyBorder="1" applyAlignment="1">
      <alignment horizontal="left" vertical="center" shrinkToFit="1"/>
    </xf>
    <xf numFmtId="0" fontId="14" fillId="0" borderId="35" xfId="8" applyFont="1" applyBorder="1" applyAlignment="1">
      <alignment vertical="center" shrinkToFit="1"/>
    </xf>
    <xf numFmtId="0" fontId="14" fillId="0" borderId="40" xfId="8" applyFont="1" applyBorder="1" applyAlignment="1">
      <alignment vertical="center" shrinkToFit="1"/>
    </xf>
    <xf numFmtId="0" fontId="5" fillId="0" borderId="65" xfId="11" applyFont="1" applyBorder="1" applyAlignment="1">
      <alignment vertical="center"/>
    </xf>
    <xf numFmtId="0" fontId="5" fillId="0" borderId="23" xfId="11" quotePrefix="1" applyFont="1" applyBorder="1" applyAlignment="1">
      <alignment horizontal="center" vertical="center" shrinkToFit="1"/>
    </xf>
    <xf numFmtId="49" fontId="14" fillId="0" borderId="97" xfId="11" applyNumberFormat="1" applyFont="1" applyBorder="1" applyAlignment="1">
      <alignment horizontal="center" vertical="center" shrinkToFit="1"/>
    </xf>
    <xf numFmtId="0" fontId="5" fillId="0" borderId="6" xfId="11" applyFont="1" applyBorder="1" applyAlignment="1">
      <alignment vertical="center"/>
    </xf>
    <xf numFmtId="49" fontId="14" fillId="0" borderId="49" xfId="11" applyNumberFormat="1" applyFont="1" applyBorder="1" applyAlignment="1">
      <alignment horizontal="center" vertical="center" shrinkToFit="1"/>
    </xf>
    <xf numFmtId="49" fontId="14" fillId="0" borderId="37" xfId="11" applyNumberFormat="1" applyFont="1" applyBorder="1" applyAlignment="1">
      <alignment horizontal="center" vertical="center" shrinkToFit="1"/>
    </xf>
    <xf numFmtId="0" fontId="5" fillId="0" borderId="6" xfId="11" applyFont="1" applyBorder="1" applyAlignment="1">
      <alignment vertical="center" shrinkToFit="1"/>
    </xf>
    <xf numFmtId="0" fontId="5" fillId="0" borderId="55" xfId="11" applyFont="1" applyBorder="1" applyAlignment="1">
      <alignment vertical="center" shrinkToFit="1"/>
    </xf>
    <xf numFmtId="0" fontId="5" fillId="0" borderId="55" xfId="11" applyFont="1" applyBorder="1" applyAlignment="1">
      <alignment vertical="center"/>
    </xf>
    <xf numFmtId="0" fontId="5" fillId="0" borderId="39" xfId="11" applyFont="1" applyBorder="1" applyAlignment="1">
      <alignment vertical="center" shrinkToFit="1"/>
    </xf>
    <xf numFmtId="0" fontId="5" fillId="0" borderId="40" xfId="11" quotePrefix="1" applyFont="1" applyBorder="1" applyAlignment="1">
      <alignment horizontal="center" vertical="center" shrinkToFit="1"/>
    </xf>
    <xf numFmtId="49" fontId="14" fillId="0" borderId="41" xfId="11" applyNumberFormat="1" applyFont="1" applyBorder="1" applyAlignment="1">
      <alignment horizontal="center" vertical="center" shrinkToFit="1"/>
    </xf>
    <xf numFmtId="0" fontId="5" fillId="0" borderId="9" xfId="11" applyFont="1" applyBorder="1" applyAlignment="1">
      <alignment horizontal="left" vertical="center"/>
    </xf>
    <xf numFmtId="0" fontId="5" fillId="0" borderId="43" xfId="11" applyFont="1" applyBorder="1" applyAlignment="1">
      <alignment horizontal="center" vertical="center" shrinkToFit="1"/>
    </xf>
    <xf numFmtId="49" fontId="14" fillId="0" borderId="44" xfId="11" applyNumberFormat="1" applyFont="1" applyBorder="1" applyAlignment="1">
      <alignment horizontal="center" vertical="center" shrinkToFit="1"/>
    </xf>
    <xf numFmtId="0" fontId="5" fillId="0" borderId="47" xfId="11" applyFont="1" applyBorder="1" applyAlignment="1">
      <alignment horizontal="left" vertical="center"/>
    </xf>
    <xf numFmtId="0" fontId="5" fillId="0" borderId="6" xfId="11" applyFont="1" applyBorder="1" applyAlignment="1">
      <alignment horizontal="left" vertical="center"/>
    </xf>
    <xf numFmtId="49" fontId="14" fillId="0" borderId="60" xfId="11" applyNumberFormat="1" applyFont="1" applyBorder="1" applyAlignment="1">
      <alignment horizontal="center" vertical="center" shrinkToFit="1"/>
    </xf>
    <xf numFmtId="0" fontId="5" fillId="0" borderId="6" xfId="11" applyFont="1" applyBorder="1" applyAlignment="1">
      <alignment horizontal="left" vertical="center" wrapText="1"/>
    </xf>
    <xf numFmtId="0" fontId="5" fillId="0" borderId="27" xfId="11" applyFont="1" applyBorder="1" applyAlignment="1">
      <alignment vertical="center"/>
    </xf>
    <xf numFmtId="0" fontId="5" fillId="0" borderId="40" xfId="11" applyFont="1" applyBorder="1" applyAlignment="1">
      <alignment horizontal="center" vertical="center" shrinkToFit="1"/>
    </xf>
    <xf numFmtId="0" fontId="5" fillId="0" borderId="47" xfId="11" applyFont="1" applyBorder="1" applyAlignment="1">
      <alignment vertical="center"/>
    </xf>
    <xf numFmtId="0" fontId="5" fillId="0" borderId="54" xfId="11" quotePrefix="1" applyFont="1" applyBorder="1" applyAlignment="1">
      <alignment horizontal="left" vertical="center" wrapText="1"/>
    </xf>
    <xf numFmtId="0" fontId="5" fillId="0" borderId="43" xfId="11" quotePrefix="1" applyFont="1" applyBorder="1" applyAlignment="1">
      <alignment horizontal="center" vertical="center" shrinkToFit="1"/>
    </xf>
    <xf numFmtId="0" fontId="5" fillId="0" borderId="54" xfId="11" quotePrefix="1" applyFont="1" applyBorder="1" applyAlignment="1">
      <alignment horizontal="left" vertical="center"/>
    </xf>
    <xf numFmtId="0" fontId="5" fillId="0" borderId="0" xfId="11" quotePrefix="1" applyFont="1" applyBorder="1" applyAlignment="1">
      <alignment horizontal="left" vertical="center"/>
    </xf>
    <xf numFmtId="0" fontId="5" fillId="0" borderId="63" xfId="11" applyFont="1" applyBorder="1" applyAlignment="1">
      <alignment vertical="center"/>
    </xf>
    <xf numFmtId="0" fontId="5" fillId="0" borderId="30" xfId="11" applyFont="1" applyBorder="1" applyAlignment="1">
      <alignment horizontal="center" vertical="center" shrinkToFit="1"/>
    </xf>
    <xf numFmtId="49" fontId="14" fillId="0" borderId="32" xfId="11" applyNumberFormat="1" applyFont="1" applyBorder="1" applyAlignment="1">
      <alignment horizontal="center" vertical="center" shrinkToFit="1"/>
    </xf>
    <xf numFmtId="0" fontId="5" fillId="0" borderId="0" xfId="11" applyFont="1" applyBorder="1" applyAlignment="1">
      <alignment vertical="center"/>
    </xf>
    <xf numFmtId="0" fontId="5" fillId="0" borderId="34" xfId="11" applyFont="1" applyBorder="1" applyAlignment="1">
      <alignment vertical="center"/>
    </xf>
    <xf numFmtId="0" fontId="5" fillId="0" borderId="35" xfId="11" quotePrefix="1" applyFont="1" applyBorder="1" applyAlignment="1">
      <alignment horizontal="center" vertical="center" shrinkToFit="1"/>
    </xf>
    <xf numFmtId="0" fontId="5" fillId="0" borderId="30" xfId="11" quotePrefix="1" applyFont="1" applyBorder="1" applyAlignment="1">
      <alignment horizontal="center" vertical="center" shrinkToFit="1"/>
    </xf>
    <xf numFmtId="0" fontId="5" fillId="0" borderId="34" xfId="11" applyFont="1" applyBorder="1" applyAlignment="1">
      <alignment vertical="center" wrapText="1"/>
    </xf>
    <xf numFmtId="0" fontId="5" fillId="0" borderId="55" xfId="11" applyFont="1" applyBorder="1" applyAlignment="1">
      <alignment vertical="center" wrapText="1"/>
    </xf>
    <xf numFmtId="0" fontId="13" fillId="0" borderId="7" xfId="0" applyFont="1" applyBorder="1" applyAlignment="1">
      <alignment vertical="center" shrinkToFit="1"/>
    </xf>
    <xf numFmtId="0" fontId="13" fillId="0" borderId="8" xfId="0" applyFont="1" applyBorder="1" applyAlignment="1">
      <alignment vertical="center" shrinkToFit="1"/>
    </xf>
    <xf numFmtId="0" fontId="13" fillId="0" borderId="9" xfId="0" applyFont="1" applyBorder="1" applyAlignment="1">
      <alignment vertical="center" shrinkToFit="1"/>
    </xf>
    <xf numFmtId="0" fontId="6" fillId="0" borderId="2" xfId="0" applyFont="1" applyBorder="1" applyAlignment="1">
      <alignment horizontal="center" vertical="center" wrapText="1" shrinkToFit="1"/>
    </xf>
    <xf numFmtId="0" fontId="0" fillId="0" borderId="2" xfId="0" applyBorder="1"/>
    <xf numFmtId="186" fontId="0" fillId="0" borderId="2" xfId="0" applyNumberFormat="1" applyBorder="1"/>
    <xf numFmtId="49" fontId="15" fillId="0" borderId="8" xfId="0" applyNumberFormat="1" applyFont="1" applyBorder="1" applyAlignment="1">
      <alignment horizontal="center" vertical="center" shrinkToFit="1"/>
    </xf>
    <xf numFmtId="0" fontId="3" fillId="0" borderId="0" xfId="0" applyFont="1" applyAlignment="1">
      <alignment vertical="center"/>
    </xf>
    <xf numFmtId="0" fontId="3" fillId="0" borderId="1" xfId="0" applyFont="1" applyBorder="1" applyAlignment="1">
      <alignment vertical="center"/>
    </xf>
    <xf numFmtId="0" fontId="5" fillId="0" borderId="5" xfId="0" applyFont="1" applyBorder="1" applyAlignment="1">
      <alignment vertical="center"/>
    </xf>
    <xf numFmtId="0" fontId="5" fillId="0" borderId="6" xfId="0" applyFont="1" applyBorder="1" applyAlignment="1">
      <alignment vertical="center"/>
    </xf>
    <xf numFmtId="0" fontId="5" fillId="0" borderId="6" xfId="0" applyFont="1" applyBorder="1"/>
    <xf numFmtId="0" fontId="5" fillId="0" borderId="69" xfId="0" applyFont="1" applyBorder="1"/>
    <xf numFmtId="0" fontId="5" fillId="0" borderId="0" xfId="0" applyFont="1"/>
    <xf numFmtId="0" fontId="5" fillId="0" borderId="0" xfId="0" applyFont="1" applyAlignment="1">
      <alignment vertical="center"/>
    </xf>
    <xf numFmtId="0" fontId="5" fillId="0" borderId="7" xfId="0" applyFont="1" applyBorder="1"/>
    <xf numFmtId="0" fontId="5" fillId="0" borderId="22" xfId="0" applyFont="1" applyBorder="1"/>
    <xf numFmtId="0" fontId="5" fillId="0" borderId="79" xfId="0" applyFont="1" applyBorder="1"/>
    <xf numFmtId="0" fontId="16" fillId="0" borderId="80" xfId="0" applyFont="1" applyBorder="1" applyAlignment="1" applyProtection="1">
      <alignment vertical="center"/>
      <protection locked="0"/>
    </xf>
    <xf numFmtId="0" fontId="5" fillId="0" borderId="80" xfId="0" applyFont="1" applyBorder="1" applyAlignment="1" applyProtection="1">
      <alignment vertical="center"/>
      <protection locked="0"/>
    </xf>
    <xf numFmtId="0" fontId="5" fillId="0" borderId="80" xfId="0" applyFont="1" applyBorder="1" applyAlignment="1">
      <alignment vertical="center"/>
    </xf>
    <xf numFmtId="0" fontId="5" fillId="0" borderId="80" xfId="0" applyFont="1" applyBorder="1"/>
    <xf numFmtId="0" fontId="5" fillId="0" borderId="81" xfId="0" applyFont="1" applyBorder="1"/>
    <xf numFmtId="0" fontId="5" fillId="0" borderId="0" xfId="0" applyFont="1" applyBorder="1" applyAlignment="1" applyProtection="1">
      <alignment vertical="center"/>
      <protection locked="0"/>
    </xf>
    <xf numFmtId="0" fontId="5" fillId="0" borderId="0" xfId="0" applyFont="1" applyBorder="1" applyAlignment="1">
      <alignment vertical="center"/>
    </xf>
    <xf numFmtId="0" fontId="5" fillId="0" borderId="0" xfId="0" applyFont="1" applyBorder="1"/>
    <xf numFmtId="0" fontId="5" fillId="0" borderId="0" xfId="0" applyFont="1" applyBorder="1" applyAlignment="1" applyProtection="1">
      <alignment horizontal="left" vertical="center"/>
      <protection locked="0"/>
    </xf>
    <xf numFmtId="0" fontId="5" fillId="0" borderId="58" xfId="0" applyFont="1" applyBorder="1"/>
    <xf numFmtId="0" fontId="5" fillId="0" borderId="82" xfId="0" applyFont="1" applyBorder="1" applyAlignment="1" applyProtection="1">
      <alignment vertical="center"/>
      <protection locked="0"/>
    </xf>
    <xf numFmtId="0" fontId="5" fillId="0" borderId="82" xfId="0" applyFont="1" applyBorder="1" applyAlignment="1" applyProtection="1">
      <alignment horizontal="center" vertical="center"/>
      <protection locked="0"/>
    </xf>
    <xf numFmtId="0" fontId="5" fillId="0" borderId="82" xfId="0" applyFont="1" applyBorder="1" applyAlignment="1">
      <alignment vertical="center"/>
    </xf>
    <xf numFmtId="0" fontId="5" fillId="0" borderId="82" xfId="0" applyFont="1" applyBorder="1"/>
    <xf numFmtId="0" fontId="5" fillId="0" borderId="83" xfId="0" applyFont="1" applyBorder="1"/>
    <xf numFmtId="0" fontId="5" fillId="0" borderId="80" xfId="0" applyFont="1" applyBorder="1" applyAlignment="1" applyProtection="1">
      <alignment horizontal="center" vertical="center"/>
      <protection locked="0"/>
    </xf>
    <xf numFmtId="0" fontId="16" fillId="0" borderId="0" xfId="0" applyFont="1" applyBorder="1" applyAlignment="1">
      <alignment vertical="center"/>
    </xf>
    <xf numFmtId="56" fontId="5" fillId="0" borderId="0" xfId="0" applyNumberFormat="1" applyFont="1" applyBorder="1" applyAlignment="1" applyProtection="1">
      <alignment horizontal="left" vertical="center"/>
      <protection locked="0"/>
    </xf>
    <xf numFmtId="0" fontId="5" fillId="0" borderId="8" xfId="0" applyFont="1" applyBorder="1"/>
    <xf numFmtId="0" fontId="5" fillId="0" borderId="9" xfId="0" applyFont="1" applyBorder="1"/>
    <xf numFmtId="0" fontId="5" fillId="0" borderId="70" xfId="0" applyFont="1" applyBorder="1"/>
    <xf numFmtId="0" fontId="5" fillId="0" borderId="0" xfId="0" applyFont="1" applyAlignment="1" applyProtection="1">
      <alignment vertical="center"/>
      <protection locked="0"/>
    </xf>
    <xf numFmtId="6" fontId="5" fillId="0" borderId="0" xfId="1" applyFont="1" applyFill="1" applyBorder="1" applyAlignment="1">
      <alignment vertical="center"/>
    </xf>
    <xf numFmtId="0" fontId="5" fillId="0" borderId="0" xfId="0" applyFont="1" applyBorder="1" applyAlignment="1">
      <alignment horizontal="center" vertical="center"/>
    </xf>
    <xf numFmtId="6" fontId="5" fillId="0" borderId="0" xfId="1" applyFont="1" applyBorder="1" applyAlignment="1">
      <alignment vertical="center"/>
    </xf>
    <xf numFmtId="0" fontId="5" fillId="0" borderId="0" xfId="0" quotePrefix="1" applyFont="1" applyBorder="1" applyAlignment="1">
      <alignment vertical="center"/>
    </xf>
    <xf numFmtId="0" fontId="53" fillId="0" borderId="0" xfId="0" applyFont="1" applyBorder="1" applyAlignment="1">
      <alignment vertical="center"/>
    </xf>
    <xf numFmtId="0" fontId="55" fillId="0" borderId="0" xfId="0" applyFont="1" applyBorder="1" applyAlignment="1" applyProtection="1">
      <alignment vertical="center"/>
      <protection hidden="1"/>
    </xf>
    <xf numFmtId="0" fontId="55" fillId="0" borderId="0" xfId="0" applyFont="1" applyBorder="1" applyAlignment="1" applyProtection="1">
      <alignment horizontal="distributed" vertical="center"/>
      <protection hidden="1"/>
    </xf>
    <xf numFmtId="188" fontId="5" fillId="0" borderId="0" xfId="0" applyNumberFormat="1" applyFont="1" applyBorder="1" applyAlignment="1" applyProtection="1">
      <alignment horizontal="center" vertical="center"/>
      <protection locked="0"/>
    </xf>
    <xf numFmtId="0" fontId="56" fillId="0" borderId="0" xfId="0" applyFont="1" applyBorder="1" applyAlignment="1">
      <alignment vertical="center"/>
    </xf>
    <xf numFmtId="31" fontId="5" fillId="0" borderId="0" xfId="0" applyNumberFormat="1" applyFont="1" applyAlignment="1" applyProtection="1">
      <alignment vertical="center"/>
      <protection locked="0"/>
    </xf>
    <xf numFmtId="0" fontId="5" fillId="0" borderId="0" xfId="0" applyFont="1" applyBorder="1" applyAlignment="1" applyProtection="1">
      <alignment horizontal="center" vertical="center"/>
      <protection locked="0"/>
    </xf>
    <xf numFmtId="49" fontId="5" fillId="0" borderId="0" xfId="0" applyNumberFormat="1" applyFont="1" applyBorder="1" applyAlignment="1">
      <alignment vertical="center"/>
    </xf>
    <xf numFmtId="49" fontId="14" fillId="0" borderId="56" xfId="11" applyNumberFormat="1" applyFont="1" applyBorder="1" applyAlignment="1">
      <alignment horizontal="center" vertical="center" shrinkToFit="1"/>
    </xf>
    <xf numFmtId="49" fontId="14" fillId="0" borderId="91" xfId="11" applyNumberFormat="1" applyFont="1" applyBorder="1" applyAlignment="1">
      <alignment horizontal="center" vertical="center" shrinkToFit="1"/>
    </xf>
    <xf numFmtId="49" fontId="14" fillId="0" borderId="92" xfId="11" applyNumberFormat="1" applyFont="1" applyBorder="1" applyAlignment="1">
      <alignment horizontal="center" vertical="center" shrinkToFit="1"/>
    </xf>
    <xf numFmtId="49" fontId="6" fillId="0" borderId="14" xfId="0" applyNumberFormat="1" applyFont="1" applyBorder="1" applyAlignment="1">
      <alignment horizontal="center" vertical="center" shrinkToFit="1"/>
    </xf>
    <xf numFmtId="49" fontId="14" fillId="0" borderId="94" xfId="11" applyNumberFormat="1" applyFont="1" applyBorder="1" applyAlignment="1">
      <alignment horizontal="center" vertical="center" shrinkToFit="1"/>
    </xf>
    <xf numFmtId="49" fontId="14" fillId="0" borderId="93" xfId="11" applyNumberFormat="1" applyFont="1" applyBorder="1" applyAlignment="1">
      <alignment horizontal="center" vertical="center" shrinkToFit="1"/>
    </xf>
    <xf numFmtId="49" fontId="14" fillId="0" borderId="90" xfId="11" applyNumberFormat="1" applyFont="1" applyBorder="1" applyAlignment="1">
      <alignment horizontal="center" vertical="center" shrinkToFit="1"/>
    </xf>
    <xf numFmtId="0" fontId="3" fillId="0" borderId="5" xfId="0" applyFont="1" applyBorder="1" applyAlignment="1">
      <alignment horizontal="center" vertical="center" shrinkToFit="1"/>
    </xf>
    <xf numFmtId="0" fontId="3" fillId="0" borderId="0" xfId="0" applyFont="1" applyBorder="1" applyAlignment="1">
      <alignment vertical="center"/>
    </xf>
    <xf numFmtId="0" fontId="5" fillId="0" borderId="0" xfId="0" applyFont="1" applyBorder="1" applyAlignment="1" applyProtection="1">
      <alignment vertical="center" shrinkToFit="1"/>
      <protection locked="0"/>
    </xf>
    <xf numFmtId="0" fontId="5" fillId="0" borderId="22" xfId="0" applyFont="1" applyBorder="1" applyAlignment="1" applyProtection="1">
      <alignment vertical="center" shrinkToFit="1"/>
      <protection locked="0"/>
    </xf>
    <xf numFmtId="0" fontId="5" fillId="0" borderId="39" xfId="11" applyFont="1" applyBorder="1" applyAlignment="1">
      <alignment vertical="center"/>
    </xf>
    <xf numFmtId="49" fontId="5" fillId="0" borderId="96" xfId="11" applyNumberFormat="1" applyFont="1" applyBorder="1" applyAlignment="1">
      <alignment horizontal="center" vertical="center" shrinkToFit="1"/>
    </xf>
    <xf numFmtId="49" fontId="14" fillId="0" borderId="98" xfId="11" applyNumberFormat="1" applyFont="1" applyBorder="1" applyAlignment="1">
      <alignment horizontal="center" vertical="center" shrinkToFit="1"/>
    </xf>
    <xf numFmtId="49" fontId="14" fillId="0" borderId="51" xfId="11" applyNumberFormat="1" applyFont="1" applyBorder="1" applyAlignment="1">
      <alignment horizontal="center" vertical="center" shrinkToFit="1"/>
    </xf>
    <xf numFmtId="49" fontId="14" fillId="0" borderId="100" xfId="11" applyNumberFormat="1" applyFont="1" applyBorder="1" applyAlignment="1">
      <alignment horizontal="center" vertical="center" shrinkToFit="1"/>
    </xf>
    <xf numFmtId="0" fontId="0" fillId="0" borderId="2" xfId="0" applyBorder="1" applyAlignment="1">
      <alignment vertical="center"/>
    </xf>
    <xf numFmtId="187" fontId="0" fillId="0" borderId="2" xfId="0" applyNumberFormat="1" applyBorder="1" applyAlignment="1" applyProtection="1">
      <alignment vertical="center"/>
      <protection hidden="1"/>
    </xf>
    <xf numFmtId="186" fontId="0" fillId="0" borderId="2" xfId="0" applyNumberFormat="1" applyBorder="1" applyAlignment="1">
      <alignment vertical="center"/>
    </xf>
    <xf numFmtId="0" fontId="5" fillId="0" borderId="38" xfId="11" applyFont="1" applyBorder="1" applyAlignment="1">
      <alignment vertical="center"/>
    </xf>
    <xf numFmtId="0" fontId="0" fillId="0" borderId="0" xfId="0" applyAlignment="1">
      <alignment horizontal="center"/>
    </xf>
    <xf numFmtId="0" fontId="13" fillId="0" borderId="9" xfId="0" applyFont="1" applyBorder="1" applyAlignment="1">
      <alignment horizontal="center" vertical="center" shrinkToFit="1"/>
    </xf>
    <xf numFmtId="0" fontId="3" fillId="0" borderId="0" xfId="0" applyFont="1" applyBorder="1" applyAlignment="1">
      <alignment horizontal="center" vertical="center" shrinkToFit="1"/>
    </xf>
    <xf numFmtId="0" fontId="0" fillId="0" borderId="0" xfId="0" applyBorder="1" applyAlignment="1" applyProtection="1">
      <alignment horizontal="center" vertical="center"/>
      <protection locked="0"/>
    </xf>
    <xf numFmtId="0" fontId="3" fillId="0" borderId="0" xfId="0" applyFont="1" applyAlignment="1">
      <alignment horizontal="center"/>
    </xf>
    <xf numFmtId="49" fontId="6" fillId="0" borderId="0" xfId="0" applyNumberFormat="1" applyFont="1" applyBorder="1" applyAlignment="1">
      <alignment horizontal="center" vertical="center"/>
    </xf>
    <xf numFmtId="0" fontId="5" fillId="2" borderId="47" xfId="1" applyNumberFormat="1" applyFont="1" applyFill="1" applyBorder="1" applyAlignment="1">
      <alignment horizontal="center" vertical="center"/>
    </xf>
    <xf numFmtId="0" fontId="5" fillId="2" borderId="3" xfId="1" applyNumberFormat="1" applyFont="1" applyFill="1" applyBorder="1" applyAlignment="1">
      <alignment horizontal="center" vertical="center"/>
    </xf>
    <xf numFmtId="49" fontId="6" fillId="0" borderId="10" xfId="0" applyNumberFormat="1" applyFont="1" applyBorder="1" applyAlignment="1">
      <alignment horizontal="center" vertical="center" shrinkToFit="1"/>
    </xf>
    <xf numFmtId="49" fontId="6" fillId="0" borderId="0" xfId="0" applyNumberFormat="1" applyFont="1" applyBorder="1" applyAlignment="1">
      <alignment horizontal="left" vertical="center" shrinkToFit="1"/>
    </xf>
    <xf numFmtId="0" fontId="3" fillId="0" borderId="1" xfId="0" applyFont="1" applyBorder="1" applyAlignment="1">
      <alignment horizontal="center"/>
    </xf>
    <xf numFmtId="0" fontId="5" fillId="2" borderId="137" xfId="0" applyFont="1" applyFill="1" applyBorder="1" applyAlignment="1">
      <alignment horizontal="center" vertical="center"/>
    </xf>
    <xf numFmtId="49" fontId="31" fillId="0" borderId="134" xfId="0" applyNumberFormat="1" applyFont="1" applyBorder="1" applyAlignment="1">
      <alignment horizontal="left" vertical="top" shrinkToFit="1"/>
    </xf>
    <xf numFmtId="0" fontId="0" fillId="0" borderId="1" xfId="0" applyBorder="1"/>
    <xf numFmtId="220" fontId="6" fillId="0" borderId="72" xfId="0" applyNumberFormat="1" applyFont="1" applyBorder="1" applyAlignment="1">
      <alignment horizontal="center" vertical="center"/>
    </xf>
    <xf numFmtId="0" fontId="5" fillId="2" borderId="21" xfId="0" applyFont="1" applyFill="1" applyBorder="1" applyAlignment="1">
      <alignment horizontal="center" vertical="center"/>
    </xf>
    <xf numFmtId="0" fontId="0" fillId="0" borderId="20" xfId="0" applyBorder="1" applyAlignment="1">
      <alignment horizontal="center" vertical="center"/>
    </xf>
    <xf numFmtId="0" fontId="6" fillId="0" borderId="72" xfId="0" applyFont="1" applyBorder="1" applyAlignment="1">
      <alignment horizontal="center" vertical="center" shrinkToFit="1"/>
    </xf>
    <xf numFmtId="0" fontId="6" fillId="0" borderId="0" xfId="0" applyFont="1" applyBorder="1" applyAlignment="1">
      <alignment horizontal="center" vertical="center"/>
    </xf>
    <xf numFmtId="0" fontId="6" fillId="0" borderId="0" xfId="0" applyFont="1" applyBorder="1" applyAlignment="1">
      <alignment horizontal="left" vertical="center"/>
    </xf>
    <xf numFmtId="49" fontId="15" fillId="0" borderId="134" xfId="0" applyNumberFormat="1" applyFont="1" applyBorder="1" applyAlignment="1">
      <alignment horizontal="center" vertical="center" shrinkToFit="1"/>
    </xf>
    <xf numFmtId="49" fontId="6" fillId="0" borderId="0" xfId="0" applyNumberFormat="1" applyFont="1" applyBorder="1" applyAlignment="1">
      <alignment vertical="center" shrinkToFit="1"/>
    </xf>
    <xf numFmtId="49" fontId="6" fillId="0" borderId="22" xfId="0" applyNumberFormat="1" applyFont="1" applyBorder="1" applyAlignment="1">
      <alignment vertical="center" shrinkToFit="1"/>
    </xf>
    <xf numFmtId="49" fontId="6" fillId="0" borderId="9" xfId="0" applyNumberFormat="1" applyFont="1" applyBorder="1" applyAlignment="1">
      <alignment vertical="center" shrinkToFit="1"/>
    </xf>
    <xf numFmtId="49" fontId="6" fillId="0" borderId="70" xfId="0" applyNumberFormat="1" applyFont="1" applyBorder="1" applyAlignment="1">
      <alignment vertical="center" shrinkToFit="1"/>
    </xf>
    <xf numFmtId="0" fontId="6" fillId="0" borderId="0" xfId="0" applyFont="1" applyBorder="1" applyAlignment="1">
      <alignment horizontal="center" vertical="center" textRotation="255"/>
    </xf>
    <xf numFmtId="0" fontId="12" fillId="0" borderId="0" xfId="0" applyFont="1" applyAlignment="1">
      <alignment vertical="center"/>
    </xf>
    <xf numFmtId="0" fontId="12" fillId="0" borderId="134" xfId="0" applyFont="1" applyBorder="1" applyAlignment="1">
      <alignment horizontal="center" vertical="center"/>
    </xf>
    <xf numFmtId="0" fontId="12" fillId="0" borderId="0" xfId="0" applyFont="1" applyBorder="1" applyAlignment="1">
      <alignment horizontal="center" vertical="center"/>
    </xf>
    <xf numFmtId="0" fontId="16" fillId="0" borderId="5" xfId="0" applyFont="1" applyBorder="1" applyAlignment="1">
      <alignment horizontal="center" vertical="center" shrinkToFit="1"/>
    </xf>
    <xf numFmtId="31" fontId="5" fillId="0" borderId="6" xfId="0" applyNumberFormat="1" applyFont="1" applyBorder="1" applyAlignment="1">
      <alignment vertical="center" shrinkToFit="1"/>
    </xf>
    <xf numFmtId="0" fontId="5" fillId="0" borderId="6" xfId="0" applyFont="1" applyBorder="1" applyAlignment="1">
      <alignment vertical="center" shrinkToFit="1"/>
    </xf>
    <xf numFmtId="0" fontId="6" fillId="3" borderId="134" xfId="0" applyFont="1" applyFill="1" applyBorder="1" applyAlignment="1">
      <alignment vertical="center" shrinkToFit="1"/>
    </xf>
    <xf numFmtId="0" fontId="16" fillId="0" borderId="134" xfId="0" applyFont="1" applyBorder="1" applyAlignment="1">
      <alignment horizontal="center" vertical="center" shrinkToFit="1"/>
    </xf>
    <xf numFmtId="0" fontId="5" fillId="0" borderId="22" xfId="0" applyFont="1" applyBorder="1" applyAlignment="1">
      <alignment horizontal="left" vertical="center" shrinkToFit="1"/>
    </xf>
    <xf numFmtId="0" fontId="16" fillId="0" borderId="8" xfId="0" applyFont="1" applyBorder="1" applyAlignment="1">
      <alignment horizontal="center" vertical="center" shrinkToFit="1"/>
    </xf>
    <xf numFmtId="0" fontId="5" fillId="0" borderId="9" xfId="0" applyFont="1" applyBorder="1" applyAlignment="1">
      <alignment horizontal="left" vertical="center" shrinkToFit="1"/>
    </xf>
    <xf numFmtId="0" fontId="5" fillId="0" borderId="70" xfId="0" applyFont="1" applyBorder="1" applyAlignment="1">
      <alignment horizontal="left" vertical="center" shrinkToFit="1"/>
    </xf>
    <xf numFmtId="0" fontId="3" fillId="0" borderId="0" xfId="0" applyFont="1" applyBorder="1" applyAlignment="1" applyProtection="1">
      <alignment vertical="center"/>
      <protection locked="0"/>
    </xf>
    <xf numFmtId="0" fontId="3" fillId="0" borderId="0" xfId="0" applyFont="1" applyBorder="1" applyAlignment="1" applyProtection="1">
      <alignment horizontal="center" vertical="center"/>
      <protection locked="0"/>
    </xf>
    <xf numFmtId="181" fontId="13" fillId="0" borderId="0" xfId="0" applyNumberFormat="1" applyFont="1" applyBorder="1" applyAlignment="1">
      <alignment vertical="center" shrinkToFit="1"/>
    </xf>
    <xf numFmtId="9" fontId="13" fillId="0" borderId="0" xfId="563" applyFont="1" applyBorder="1" applyAlignment="1">
      <alignment vertical="center" shrinkToFit="1"/>
    </xf>
    <xf numFmtId="0" fontId="6" fillId="0" borderId="0" xfId="0" applyFont="1" applyBorder="1" applyAlignment="1">
      <alignment horizontal="left" vertical="center" shrinkToFit="1"/>
    </xf>
    <xf numFmtId="56" fontId="5" fillId="0" borderId="22" xfId="0" applyNumberFormat="1" applyFont="1" applyBorder="1" applyAlignment="1" applyProtection="1">
      <alignment horizontal="left" vertical="center"/>
      <protection locked="0"/>
    </xf>
    <xf numFmtId="0" fontId="5" fillId="0" borderId="134" xfId="0" applyFont="1" applyBorder="1"/>
    <xf numFmtId="0" fontId="14" fillId="0" borderId="10" xfId="565" applyFont="1" applyBorder="1" applyAlignment="1">
      <alignment horizontal="center" vertical="center"/>
    </xf>
    <xf numFmtId="0" fontId="14" fillId="0" borderId="173" xfId="565" applyFont="1" applyBorder="1" applyAlignment="1">
      <alignment horizontal="center" vertical="center"/>
    </xf>
    <xf numFmtId="0" fontId="14" fillId="0" borderId="10" xfId="9" applyFont="1" applyBorder="1" applyAlignment="1">
      <alignment horizontal="center" vertical="center"/>
    </xf>
    <xf numFmtId="0" fontId="14" fillId="7" borderId="170" xfId="565" applyFont="1" applyFill="1" applyBorder="1" applyAlignment="1">
      <alignment horizontal="center" vertical="center"/>
    </xf>
    <xf numFmtId="0" fontId="14" fillId="0" borderId="15" xfId="9" applyFont="1" applyBorder="1" applyAlignment="1">
      <alignment horizontal="center" vertical="center"/>
    </xf>
    <xf numFmtId="0" fontId="14" fillId="0" borderId="19" xfId="9" applyFont="1" applyBorder="1" applyAlignment="1">
      <alignment horizontal="center" vertical="center"/>
    </xf>
    <xf numFmtId="0" fontId="14" fillId="0" borderId="170" xfId="9" applyFont="1" applyBorder="1" applyAlignment="1">
      <alignment horizontal="center" vertical="center"/>
    </xf>
    <xf numFmtId="0" fontId="14" fillId="0" borderId="10" xfId="567" applyFont="1" applyBorder="1" applyAlignment="1">
      <alignment horizontal="center" vertical="center"/>
    </xf>
    <xf numFmtId="49" fontId="29" fillId="0" borderId="90" xfId="8" applyNumberFormat="1" applyFont="1" applyBorder="1" applyAlignment="1">
      <alignment horizontal="center" vertical="center" shrinkToFit="1"/>
    </xf>
    <xf numFmtId="49" fontId="29" fillId="0" borderId="92" xfId="8" applyNumberFormat="1" applyFont="1" applyBorder="1" applyAlignment="1">
      <alignment horizontal="center" vertical="center" shrinkToFit="1"/>
    </xf>
    <xf numFmtId="49" fontId="52" fillId="0" borderId="37" xfId="7" applyNumberFormat="1" applyFont="1" applyBorder="1" applyAlignment="1">
      <alignment horizontal="center" vertical="center" shrinkToFit="1"/>
    </xf>
    <xf numFmtId="49" fontId="5" fillId="0" borderId="99" xfId="11" applyNumberFormat="1" applyFont="1" applyBorder="1" applyAlignment="1">
      <alignment horizontal="center" vertical="center" shrinkToFit="1"/>
    </xf>
    <xf numFmtId="49" fontId="5" fillId="0" borderId="57" xfId="11" applyNumberFormat="1" applyFont="1" applyBorder="1" applyAlignment="1">
      <alignment horizontal="center" vertical="center" shrinkToFit="1"/>
    </xf>
    <xf numFmtId="49" fontId="5" fillId="0" borderId="24" xfId="11" applyNumberFormat="1" applyFont="1" applyBorder="1" applyAlignment="1">
      <alignment horizontal="center" vertical="center" shrinkToFit="1"/>
    </xf>
    <xf numFmtId="0" fontId="5" fillId="0" borderId="22" xfId="0" applyFont="1" applyBorder="1" applyAlignment="1" applyProtection="1">
      <alignment horizontal="center" vertical="center"/>
      <protection locked="0"/>
    </xf>
    <xf numFmtId="0" fontId="5" fillId="0" borderId="134" xfId="0" applyFont="1" applyBorder="1" applyAlignment="1" applyProtection="1">
      <alignment horizontal="center" vertical="center"/>
      <protection locked="0"/>
    </xf>
    <xf numFmtId="0" fontId="14" fillId="2" borderId="23" xfId="8" applyFont="1" applyFill="1" applyBorder="1" applyAlignment="1">
      <alignment horizontal="center" vertical="center"/>
    </xf>
    <xf numFmtId="0" fontId="14" fillId="2" borderId="28" xfId="8" applyFont="1" applyFill="1" applyBorder="1" applyAlignment="1">
      <alignment horizontal="center" vertical="center"/>
    </xf>
    <xf numFmtId="0" fontId="5" fillId="0" borderId="55" xfId="11" applyFont="1" applyBorder="1" applyAlignment="1">
      <alignment horizontal="left" vertical="center"/>
    </xf>
    <xf numFmtId="0" fontId="5" fillId="0" borderId="52" xfId="11" applyFont="1" applyBorder="1" applyAlignment="1">
      <alignment horizontal="left" vertical="center"/>
    </xf>
    <xf numFmtId="0" fontId="5" fillId="0" borderId="42" xfId="11" applyFont="1" applyBorder="1" applyAlignment="1">
      <alignment horizontal="center" vertical="center"/>
    </xf>
    <xf numFmtId="0" fontId="3" fillId="0" borderId="59" xfId="6" applyBorder="1" applyAlignment="1">
      <alignment horizontal="center" vertical="center" textRotation="255"/>
    </xf>
    <xf numFmtId="0" fontId="5" fillId="0" borderId="55" xfId="11" applyFont="1" applyBorder="1" applyAlignment="1">
      <alignment horizontal="center" vertical="center"/>
    </xf>
    <xf numFmtId="0" fontId="5" fillId="0" borderId="52" xfId="11" applyFont="1" applyBorder="1" applyAlignment="1">
      <alignment horizontal="center" vertical="center"/>
    </xf>
    <xf numFmtId="178" fontId="0" fillId="0" borderId="2" xfId="0" applyNumberFormat="1" applyBorder="1" applyAlignment="1">
      <alignment horizontal="right" vertical="center" shrinkToFit="1"/>
    </xf>
    <xf numFmtId="178" fontId="3" fillId="0" borderId="2" xfId="0" applyNumberFormat="1" applyFont="1" applyBorder="1" applyAlignment="1">
      <alignment horizontal="right" vertical="center" shrinkToFit="1"/>
    </xf>
    <xf numFmtId="178" fontId="3" fillId="0" borderId="71" xfId="0" applyNumberFormat="1" applyFont="1" applyBorder="1" applyAlignment="1">
      <alignment horizontal="right" vertical="center" shrinkToFit="1"/>
    </xf>
    <xf numFmtId="182" fontId="3" fillId="0" borderId="16" xfId="0" applyNumberFormat="1" applyFont="1" applyBorder="1" applyAlignment="1">
      <alignment horizontal="right" vertical="center" shrinkToFit="1"/>
    </xf>
    <xf numFmtId="178" fontId="3" fillId="0" borderId="16" xfId="0" applyNumberFormat="1" applyFont="1" applyBorder="1" applyAlignment="1">
      <alignment horizontal="right" vertical="center" shrinkToFit="1"/>
    </xf>
    <xf numFmtId="55" fontId="0" fillId="0" borderId="13" xfId="0" applyNumberFormat="1" applyBorder="1" applyAlignment="1">
      <alignment horizontal="center" vertical="center" shrinkToFit="1"/>
    </xf>
    <xf numFmtId="181" fontId="0" fillId="0" borderId="2" xfId="0" applyNumberFormat="1" applyBorder="1" applyAlignment="1">
      <alignment horizontal="right" vertical="center" shrinkToFit="1"/>
    </xf>
    <xf numFmtId="181" fontId="3" fillId="0" borderId="2" xfId="0" applyNumberFormat="1" applyFont="1" applyBorder="1" applyAlignment="1">
      <alignment horizontal="right" vertical="center" shrinkToFit="1"/>
    </xf>
    <xf numFmtId="181" fontId="0" fillId="0" borderId="71" xfId="0" applyNumberFormat="1" applyBorder="1" applyAlignment="1">
      <alignment horizontal="right" vertical="center" shrinkToFit="1"/>
    </xf>
    <xf numFmtId="181" fontId="3" fillId="0" borderId="71" xfId="0" applyNumberFormat="1" applyFont="1" applyBorder="1" applyAlignment="1">
      <alignment horizontal="right" vertical="center" shrinkToFit="1"/>
    </xf>
    <xf numFmtId="187" fontId="0" fillId="0" borderId="133" xfId="0" applyNumberFormat="1" applyBorder="1" applyAlignment="1" applyProtection="1">
      <alignment vertical="center"/>
      <protection hidden="1"/>
    </xf>
    <xf numFmtId="0" fontId="155" fillId="0" borderId="140" xfId="565" applyFont="1" applyBorder="1" applyProtection="1">
      <alignment vertical="center"/>
      <protection locked="0"/>
    </xf>
    <xf numFmtId="0" fontId="3" fillId="0" borderId="140" xfId="565" applyBorder="1">
      <alignment vertical="center"/>
    </xf>
    <xf numFmtId="0" fontId="14" fillId="0" borderId="140" xfId="565" applyFont="1" applyBorder="1" applyAlignment="1">
      <alignment horizontal="right" vertical="center"/>
    </xf>
    <xf numFmtId="0" fontId="12" fillId="0" borderId="140" xfId="565" applyFont="1" applyBorder="1" applyAlignment="1">
      <alignment horizontal="left" vertical="center"/>
    </xf>
    <xf numFmtId="0" fontId="3" fillId="0" borderId="140" xfId="565" applyBorder="1" applyAlignment="1">
      <alignment horizontal="center" vertical="center"/>
    </xf>
    <xf numFmtId="14" fontId="24" fillId="0" borderId="140" xfId="9" applyNumberFormat="1" applyFont="1" applyBorder="1">
      <alignment vertical="center"/>
    </xf>
    <xf numFmtId="0" fontId="1" fillId="0" borderId="0" xfId="568" applyProtection="1">
      <alignment vertical="center"/>
      <protection locked="0"/>
    </xf>
    <xf numFmtId="0" fontId="25" fillId="0" borderId="0" xfId="565" applyFont="1" applyProtection="1">
      <alignment vertical="center"/>
      <protection locked="0"/>
    </xf>
    <xf numFmtId="0" fontId="3" fillId="0" borderId="0" xfId="565">
      <alignment vertical="center"/>
    </xf>
    <xf numFmtId="0" fontId="3" fillId="0" borderId="0" xfId="565" applyAlignment="1">
      <alignment horizontal="center" vertical="center"/>
    </xf>
    <xf numFmtId="0" fontId="16" fillId="0" borderId="0" xfId="565" applyFont="1" applyAlignment="1" applyProtection="1">
      <alignment horizontal="center" vertical="center"/>
      <protection locked="0"/>
    </xf>
    <xf numFmtId="0" fontId="11" fillId="0" borderId="0" xfId="565" applyFont="1" applyAlignment="1">
      <alignment horizontal="left" vertical="center"/>
    </xf>
    <xf numFmtId="0" fontId="5" fillId="0" borderId="0" xfId="565" applyFont="1" applyAlignment="1">
      <alignment horizontal="center" vertical="center"/>
    </xf>
    <xf numFmtId="0" fontId="5" fillId="0" borderId="0" xfId="565" applyFont="1" applyAlignment="1" applyProtection="1">
      <alignment horizontal="center" vertical="center"/>
      <protection locked="0"/>
    </xf>
    <xf numFmtId="0" fontId="14" fillId="0" borderId="0" xfId="565" applyFont="1" applyAlignment="1">
      <alignment horizontal="center" vertical="center"/>
    </xf>
    <xf numFmtId="0" fontId="5" fillId="0" borderId="0" xfId="565" applyFont="1" applyAlignment="1" applyProtection="1">
      <alignment horizontal="left" vertical="center"/>
      <protection locked="0"/>
    </xf>
    <xf numFmtId="0" fontId="14" fillId="0" borderId="141" xfId="565" applyFont="1" applyBorder="1" applyAlignment="1">
      <alignment horizontal="center" vertical="center"/>
    </xf>
    <xf numFmtId="0" fontId="14" fillId="0" borderId="195" xfId="565" applyFont="1" applyBorder="1" applyAlignment="1">
      <alignment horizontal="center" vertical="center"/>
    </xf>
    <xf numFmtId="0" fontId="14" fillId="0" borderId="200" xfId="565" applyFont="1" applyBorder="1" applyAlignment="1">
      <alignment horizontal="center" vertical="center"/>
    </xf>
    <xf numFmtId="0" fontId="14" fillId="0" borderId="195" xfId="565" applyFont="1" applyBorder="1" applyAlignment="1">
      <alignment horizontal="center" vertical="center" shrinkToFit="1"/>
    </xf>
    <xf numFmtId="0" fontId="14" fillId="0" borderId="201" xfId="565" applyFont="1" applyBorder="1" applyAlignment="1">
      <alignment horizontal="center" vertical="center" shrinkToFit="1"/>
    </xf>
    <xf numFmtId="0" fontId="14" fillId="0" borderId="0" xfId="565" applyFont="1" applyAlignment="1">
      <alignment horizontal="left" vertical="center"/>
    </xf>
    <xf numFmtId="0" fontId="14" fillId="0" borderId="142" xfId="565" applyFont="1" applyBorder="1" applyAlignment="1">
      <alignment horizontal="left" vertical="center"/>
    </xf>
    <xf numFmtId="0" fontId="14" fillId="0" borderId="71" xfId="565" applyFont="1" applyBorder="1" applyAlignment="1">
      <alignment horizontal="left" vertical="center"/>
    </xf>
    <xf numFmtId="0" fontId="3" fillId="0" borderId="71" xfId="565" applyBorder="1" applyAlignment="1">
      <alignment horizontal="left" vertical="center"/>
    </xf>
    <xf numFmtId="222" fontId="3" fillId="0" borderId="71" xfId="565" applyNumberFormat="1" applyBorder="1" applyAlignment="1">
      <alignment horizontal="left" vertical="center"/>
    </xf>
    <xf numFmtId="0" fontId="14" fillId="0" borderId="2" xfId="565" applyFont="1" applyBorder="1" applyAlignment="1">
      <alignment horizontal="center" vertical="center"/>
    </xf>
    <xf numFmtId="0" fontId="14" fillId="0" borderId="143" xfId="565" applyFont="1" applyBorder="1" applyAlignment="1">
      <alignment horizontal="center" vertical="center"/>
    </xf>
    <xf numFmtId="0" fontId="14" fillId="0" borderId="144" xfId="565" applyFont="1" applyBorder="1" applyAlignment="1">
      <alignment horizontal="center" vertical="center" shrinkToFit="1"/>
    </xf>
    <xf numFmtId="0" fontId="14" fillId="0" borderId="2" xfId="565" applyFont="1" applyBorder="1" applyAlignment="1">
      <alignment horizontal="center" vertical="center" shrinkToFit="1"/>
    </xf>
    <xf numFmtId="0" fontId="14" fillId="0" borderId="143" xfId="565" applyFont="1" applyBorder="1" applyAlignment="1">
      <alignment horizontal="center" vertical="center" shrinkToFit="1"/>
    </xf>
    <xf numFmtId="0" fontId="14" fillId="0" borderId="142" xfId="565" applyFont="1" applyBorder="1" applyAlignment="1">
      <alignment horizontal="center" vertical="center"/>
    </xf>
    <xf numFmtId="0" fontId="14" fillId="0" borderId="71" xfId="565" applyFont="1" applyBorder="1" applyAlignment="1">
      <alignment horizontal="center" vertical="center"/>
    </xf>
    <xf numFmtId="0" fontId="14" fillId="0" borderId="145" xfId="565" applyFont="1" applyBorder="1" applyAlignment="1">
      <alignment horizontal="center" vertical="center"/>
    </xf>
    <xf numFmtId="0" fontId="14" fillId="62" borderId="146" xfId="565" applyFont="1" applyFill="1" applyBorder="1" applyAlignment="1" applyProtection="1">
      <alignment horizontal="center" vertical="center"/>
      <protection locked="0"/>
    </xf>
    <xf numFmtId="223" fontId="14" fillId="0" borderId="147" xfId="565" applyNumberFormat="1" applyFont="1" applyBorder="1" applyAlignment="1" applyProtection="1">
      <alignment horizontal="center" vertical="center"/>
      <protection locked="0"/>
    </xf>
    <xf numFmtId="227" fontId="161" fillId="0" borderId="149" xfId="568" applyNumberFormat="1" applyFont="1" applyBorder="1" applyAlignment="1" applyProtection="1">
      <alignment horizontal="center" vertical="center"/>
      <protection locked="0"/>
    </xf>
    <xf numFmtId="0" fontId="162" fillId="0" borderId="147" xfId="568" applyFont="1" applyBorder="1" applyAlignment="1" applyProtection="1">
      <alignment horizontal="center" vertical="center"/>
      <protection locked="0"/>
    </xf>
    <xf numFmtId="224" fontId="14" fillId="0" borderId="147" xfId="565" applyNumberFormat="1" applyFont="1" applyBorder="1" applyAlignment="1" applyProtection="1">
      <alignment horizontal="center" vertical="center"/>
      <protection locked="0"/>
    </xf>
    <xf numFmtId="225" fontId="14" fillId="0" borderId="148" xfId="565" applyNumberFormat="1" applyFont="1" applyBorder="1" applyAlignment="1" applyProtection="1">
      <alignment horizontal="center" vertical="center"/>
      <protection locked="0"/>
    </xf>
    <xf numFmtId="0" fontId="14" fillId="0" borderId="147" xfId="566" applyFont="1" applyBorder="1" applyAlignment="1" applyProtection="1">
      <alignment horizontal="center" vertical="center"/>
      <protection locked="0"/>
    </xf>
    <xf numFmtId="0" fontId="14" fillId="0" borderId="147" xfId="565" applyFont="1" applyBorder="1" applyAlignment="1" applyProtection="1">
      <alignment horizontal="center" vertical="center"/>
      <protection locked="0"/>
    </xf>
    <xf numFmtId="57" fontId="14" fillId="0" borderId="147" xfId="565" applyNumberFormat="1" applyFont="1" applyBorder="1" applyAlignment="1" applyProtection="1">
      <alignment horizontal="center" vertical="center" shrinkToFit="1"/>
      <protection locked="0"/>
    </xf>
    <xf numFmtId="0" fontId="14" fillId="0" borderId="149" xfId="566" applyFont="1" applyBorder="1" applyAlignment="1" applyProtection="1">
      <alignment horizontal="center" vertical="center"/>
      <protection locked="0"/>
    </xf>
    <xf numFmtId="0" fontId="14" fillId="0" borderId="146" xfId="566" applyFont="1" applyBorder="1" applyAlignment="1" applyProtection="1">
      <alignment horizontal="center" vertical="center"/>
      <protection locked="0"/>
    </xf>
    <xf numFmtId="0" fontId="14" fillId="0" borderId="148" xfId="566" applyFont="1" applyBorder="1" applyAlignment="1" applyProtection="1">
      <alignment horizontal="center" vertical="center"/>
      <protection locked="0"/>
    </xf>
    <xf numFmtId="0" fontId="14" fillId="2" borderId="29" xfId="565" applyFont="1" applyFill="1" applyBorder="1" applyAlignment="1">
      <alignment horizontal="center" vertical="center"/>
    </xf>
    <xf numFmtId="0" fontId="14" fillId="0" borderId="144" xfId="565" applyFont="1" applyBorder="1" applyAlignment="1">
      <alignment horizontal="center" vertical="center"/>
    </xf>
    <xf numFmtId="0" fontId="14" fillId="4" borderId="195" xfId="566" applyFont="1" applyFill="1" applyBorder="1" applyAlignment="1">
      <alignment horizontal="center" vertical="center" shrinkToFit="1"/>
    </xf>
    <xf numFmtId="0" fontId="14" fillId="4" borderId="2" xfId="566" applyFont="1" applyFill="1" applyBorder="1" applyAlignment="1">
      <alignment horizontal="center" vertical="center" shrinkToFit="1"/>
    </xf>
    <xf numFmtId="0" fontId="14" fillId="4" borderId="202" xfId="566" applyFont="1" applyFill="1" applyBorder="1" applyAlignment="1">
      <alignment horizontal="center" vertical="center" shrinkToFit="1"/>
    </xf>
    <xf numFmtId="0" fontId="14" fillId="0" borderId="203" xfId="565" applyFont="1" applyBorder="1" applyAlignment="1">
      <alignment horizontal="center" vertical="center" shrinkToFit="1"/>
    </xf>
    <xf numFmtId="0" fontId="14" fillId="0" borderId="33" xfId="565" applyFont="1" applyBorder="1" applyAlignment="1">
      <alignment horizontal="center" vertical="center"/>
    </xf>
    <xf numFmtId="0" fontId="14" fillId="0" borderId="40" xfId="566" applyFont="1" applyBorder="1" applyAlignment="1" applyProtection="1">
      <alignment horizontal="center" vertical="center"/>
      <protection locked="0"/>
    </xf>
    <xf numFmtId="226" fontId="14" fillId="0" borderId="33" xfId="565" applyNumberFormat="1" applyFont="1" applyBorder="1" applyAlignment="1">
      <alignment horizontal="center" vertical="center"/>
    </xf>
    <xf numFmtId="226" fontId="14" fillId="0" borderId="0" xfId="565" applyNumberFormat="1" applyFont="1" applyAlignment="1">
      <alignment horizontal="center" vertical="center"/>
    </xf>
    <xf numFmtId="0" fontId="156" fillId="0" borderId="0" xfId="565" applyFont="1" applyAlignment="1">
      <alignment horizontal="left" vertical="center"/>
    </xf>
    <xf numFmtId="0" fontId="159" fillId="0" borderId="0" xfId="565" applyFont="1" applyAlignment="1">
      <alignment horizontal="left" vertical="center"/>
    </xf>
    <xf numFmtId="0" fontId="14" fillId="2" borderId="161" xfId="565" applyFont="1" applyFill="1" applyBorder="1" applyAlignment="1">
      <alignment horizontal="center" vertical="center"/>
    </xf>
    <xf numFmtId="0" fontId="14" fillId="2" borderId="163" xfId="565" applyFont="1" applyFill="1" applyBorder="1" applyAlignment="1">
      <alignment horizontal="center" vertical="center"/>
    </xf>
    <xf numFmtId="0" fontId="14" fillId="2" borderId="163" xfId="565" applyFont="1" applyFill="1" applyBorder="1">
      <alignment vertical="center"/>
    </xf>
    <xf numFmtId="0" fontId="14" fillId="0" borderId="153" xfId="565" applyFont="1" applyBorder="1" applyAlignment="1" applyProtection="1">
      <alignment horizontal="left" vertical="center"/>
      <protection locked="0"/>
    </xf>
    <xf numFmtId="0" fontId="14" fillId="0" borderId="10" xfId="565" applyFont="1" applyBorder="1" applyAlignment="1" applyProtection="1">
      <alignment horizontal="right" vertical="center"/>
      <protection locked="0"/>
    </xf>
    <xf numFmtId="0" fontId="14" fillId="0" borderId="185" xfId="565" applyFont="1" applyBorder="1" applyAlignment="1" applyProtection="1">
      <alignment horizontal="center" vertical="center"/>
      <protection locked="0"/>
    </xf>
    <xf numFmtId="0" fontId="14" fillId="0" borderId="168" xfId="565" applyFont="1" applyBorder="1" applyAlignment="1" applyProtection="1">
      <alignment horizontal="center" vertical="center"/>
      <protection locked="0"/>
    </xf>
    <xf numFmtId="0" fontId="14" fillId="0" borderId="169" xfId="565" applyFont="1" applyBorder="1" applyAlignment="1" applyProtection="1">
      <alignment horizontal="center" vertical="center"/>
      <protection locked="0"/>
    </xf>
    <xf numFmtId="0" fontId="14" fillId="0" borderId="212" xfId="565" applyFont="1" applyBorder="1" applyAlignment="1" applyProtection="1">
      <alignment horizontal="center" vertical="center"/>
      <protection locked="0"/>
    </xf>
    <xf numFmtId="0" fontId="3" fillId="0" borderId="165" xfId="565" applyBorder="1" applyAlignment="1" applyProtection="1">
      <alignment horizontal="center" vertical="center"/>
      <protection locked="0"/>
    </xf>
    <xf numFmtId="0" fontId="14" fillId="0" borderId="19" xfId="565" applyFont="1" applyBorder="1" applyAlignment="1" applyProtection="1">
      <alignment horizontal="right" vertical="center"/>
      <protection locked="0"/>
    </xf>
    <xf numFmtId="0" fontId="14" fillId="4" borderId="82" xfId="566" applyFont="1" applyFill="1" applyBorder="1" applyAlignment="1" applyProtection="1">
      <alignment horizontal="left" vertical="center"/>
      <protection locked="0"/>
    </xf>
    <xf numFmtId="0" fontId="14" fillId="4" borderId="213" xfId="566" applyFont="1" applyFill="1" applyBorder="1" applyAlignment="1" applyProtection="1">
      <alignment horizontal="left" vertical="center"/>
      <protection locked="0"/>
    </xf>
    <xf numFmtId="0" fontId="14" fillId="0" borderId="167" xfId="565" applyFont="1" applyBorder="1" applyAlignment="1" applyProtection="1">
      <alignment horizontal="center" vertical="center"/>
      <protection locked="0"/>
    </xf>
    <xf numFmtId="0" fontId="14" fillId="0" borderId="171" xfId="565" applyFont="1" applyBorder="1" applyAlignment="1" applyProtection="1">
      <alignment horizontal="center" vertical="center"/>
      <protection locked="0"/>
    </xf>
    <xf numFmtId="0" fontId="14" fillId="0" borderId="172" xfId="565" applyFont="1" applyBorder="1" applyAlignment="1" applyProtection="1">
      <alignment horizontal="center" vertical="center"/>
      <protection locked="0"/>
    </xf>
    <xf numFmtId="0" fontId="14" fillId="0" borderId="190" xfId="565" applyFont="1" applyBorder="1" applyAlignment="1" applyProtection="1">
      <alignment horizontal="center" vertical="center"/>
      <protection locked="0"/>
    </xf>
    <xf numFmtId="0" fontId="3" fillId="0" borderId="163" xfId="565" applyBorder="1" applyAlignment="1" applyProtection="1">
      <alignment horizontal="center" vertical="center"/>
      <protection locked="0"/>
    </xf>
    <xf numFmtId="0" fontId="14" fillId="0" borderId="155" xfId="565" applyFont="1" applyBorder="1" applyAlignment="1" applyProtection="1">
      <alignment horizontal="left" vertical="center"/>
      <protection locked="0"/>
    </xf>
    <xf numFmtId="0" fontId="14" fillId="0" borderId="157" xfId="565" applyFont="1" applyBorder="1" applyAlignment="1" applyProtection="1">
      <alignment horizontal="right" vertical="center"/>
      <protection locked="0"/>
    </xf>
    <xf numFmtId="0" fontId="14" fillId="0" borderId="192" xfId="565" applyFont="1" applyBorder="1" applyAlignment="1" applyProtection="1">
      <alignment horizontal="center" vertical="center"/>
      <protection locked="0"/>
    </xf>
    <xf numFmtId="0" fontId="14" fillId="0" borderId="193" xfId="565" applyFont="1" applyBorder="1" applyAlignment="1" applyProtection="1">
      <alignment horizontal="center" vertical="center"/>
      <protection locked="0"/>
    </xf>
    <xf numFmtId="0" fontId="14" fillId="0" borderId="194" xfId="565" applyFont="1" applyBorder="1" applyAlignment="1" applyProtection="1">
      <alignment horizontal="center" vertical="center"/>
      <protection locked="0"/>
    </xf>
    <xf numFmtId="0" fontId="14" fillId="0" borderId="214" xfId="565" applyFont="1" applyBorder="1" applyAlignment="1" applyProtection="1">
      <alignment horizontal="center" vertical="center"/>
      <protection locked="0"/>
    </xf>
    <xf numFmtId="0" fontId="14" fillId="0" borderId="179" xfId="565" applyFont="1" applyBorder="1" applyAlignment="1" applyProtection="1">
      <alignment horizontal="center" vertical="center"/>
      <protection locked="0"/>
    </xf>
    <xf numFmtId="0" fontId="159" fillId="0" borderId="0" xfId="565" applyFont="1" applyAlignment="1">
      <alignment horizontal="right" vertical="center"/>
    </xf>
    <xf numFmtId="0" fontId="14" fillId="63" borderId="0" xfId="565" applyFont="1" applyFill="1" applyAlignment="1">
      <alignment horizontal="center" vertical="center" shrinkToFit="1"/>
    </xf>
    <xf numFmtId="0" fontId="5" fillId="0" borderId="0" xfId="565" applyFont="1" applyProtection="1">
      <alignment vertical="center"/>
      <protection locked="0"/>
    </xf>
    <xf numFmtId="0" fontId="14" fillId="2" borderId="65" xfId="565" applyFont="1" applyFill="1" applyBorder="1">
      <alignment vertical="center"/>
    </xf>
    <xf numFmtId="0" fontId="14" fillId="2" borderId="63" xfId="565" applyFont="1" applyFill="1" applyBorder="1">
      <alignment vertical="center"/>
    </xf>
    <xf numFmtId="0" fontId="14" fillId="2" borderId="152" xfId="565" applyFont="1" applyFill="1" applyBorder="1">
      <alignment vertical="center"/>
    </xf>
    <xf numFmtId="0" fontId="14" fillId="2" borderId="195" xfId="565" applyFont="1" applyFill="1" applyBorder="1" applyAlignment="1">
      <alignment horizontal="center" vertical="center"/>
    </xf>
    <xf numFmtId="0" fontId="14" fillId="2" borderId="2" xfId="565" applyFont="1" applyFill="1" applyBorder="1" applyAlignment="1">
      <alignment horizontal="center" vertical="center"/>
    </xf>
    <xf numFmtId="0" fontId="7" fillId="0" borderId="200" xfId="565" applyFont="1" applyBorder="1" applyAlignment="1">
      <alignment horizontal="left" vertical="center"/>
    </xf>
    <xf numFmtId="0" fontId="14" fillId="0" borderId="84" xfId="565" applyFont="1" applyBorder="1" applyAlignment="1">
      <alignment horizontal="right" vertical="center"/>
    </xf>
    <xf numFmtId="0" fontId="14" fillId="0" borderId="15" xfId="565" applyFont="1" applyBorder="1" applyAlignment="1">
      <alignment horizontal="center" vertical="center"/>
    </xf>
    <xf numFmtId="0" fontId="14" fillId="0" borderId="14" xfId="565" applyFont="1" applyBorder="1" applyAlignment="1">
      <alignment horizontal="center" vertical="center" shrinkToFit="1"/>
    </xf>
    <xf numFmtId="0" fontId="14" fillId="0" borderId="10" xfId="566" applyFont="1" applyBorder="1" applyAlignment="1" applyProtection="1">
      <alignment horizontal="center" vertical="center"/>
      <protection locked="0"/>
    </xf>
    <xf numFmtId="0" fontId="14" fillId="0" borderId="14" xfId="565" applyFont="1" applyBorder="1" applyAlignment="1">
      <alignment horizontal="center" vertical="center"/>
    </xf>
    <xf numFmtId="0" fontId="14" fillId="64" borderId="165" xfId="565" applyFont="1" applyFill="1" applyBorder="1" applyAlignment="1" applyProtection="1">
      <alignment horizontal="center" vertical="center" shrinkToFit="1"/>
      <protection locked="0"/>
    </xf>
    <xf numFmtId="0" fontId="14" fillId="0" borderId="165" xfId="565" applyFont="1" applyBorder="1" applyProtection="1">
      <alignment vertical="center"/>
      <protection locked="0"/>
    </xf>
    <xf numFmtId="0" fontId="7" fillId="0" borderId="162" xfId="565" applyFont="1" applyBorder="1" applyAlignment="1">
      <alignment horizontal="left" vertical="center"/>
    </xf>
    <xf numFmtId="0" fontId="14" fillId="0" borderId="58" xfId="565" applyFont="1" applyBorder="1" applyAlignment="1">
      <alignment horizontal="right" vertical="center"/>
    </xf>
    <xf numFmtId="0" fontId="14" fillId="0" borderId="15" xfId="565" applyFont="1" applyBorder="1" applyAlignment="1">
      <alignment horizontal="center" vertical="center" shrinkToFit="1"/>
    </xf>
    <xf numFmtId="0" fontId="14" fillId="64" borderId="173" xfId="565" applyFont="1" applyFill="1" applyBorder="1" applyAlignment="1" applyProtection="1">
      <alignment horizontal="center" vertical="center" shrinkToFit="1"/>
      <protection locked="0"/>
    </xf>
    <xf numFmtId="0" fontId="14" fillId="0" borderId="173" xfId="565" applyFont="1" applyBorder="1" applyProtection="1">
      <alignment vertical="center"/>
      <protection locked="0"/>
    </xf>
    <xf numFmtId="0" fontId="5" fillId="0" borderId="0" xfId="566" applyFont="1" applyProtection="1">
      <alignment vertical="center"/>
      <protection locked="0"/>
    </xf>
    <xf numFmtId="0" fontId="7" fillId="0" borderId="162" xfId="566" applyFont="1" applyBorder="1" applyAlignment="1">
      <alignment horizontal="left" vertical="center"/>
    </xf>
    <xf numFmtId="0" fontId="14" fillId="0" borderId="58" xfId="566" applyFont="1" applyBorder="1" applyAlignment="1">
      <alignment horizontal="right" vertical="center"/>
    </xf>
    <xf numFmtId="0" fontId="14" fillId="0" borderId="15" xfId="566" applyFont="1" applyBorder="1" applyAlignment="1">
      <alignment horizontal="center" vertical="center" shrinkToFit="1"/>
    </xf>
    <xf numFmtId="0" fontId="14" fillId="0" borderId="15" xfId="566" applyFont="1" applyBorder="1" applyAlignment="1">
      <alignment horizontal="center" vertical="center"/>
    </xf>
    <xf numFmtId="0" fontId="14" fillId="0" borderId="190" xfId="566" applyFont="1" applyBorder="1" applyAlignment="1" applyProtection="1">
      <alignment horizontal="center" vertical="center"/>
      <protection locked="0"/>
    </xf>
    <xf numFmtId="0" fontId="14" fillId="0" borderId="171" xfId="566" applyFont="1" applyBorder="1" applyAlignment="1" applyProtection="1">
      <alignment horizontal="center" vertical="center"/>
      <protection locked="0"/>
    </xf>
    <xf numFmtId="0" fontId="14" fillId="0" borderId="172" xfId="566" applyFont="1" applyBorder="1" applyAlignment="1" applyProtection="1">
      <alignment horizontal="center" vertical="center"/>
      <protection locked="0"/>
    </xf>
    <xf numFmtId="0" fontId="14" fillId="0" borderId="181" xfId="565" applyFont="1" applyBorder="1" applyAlignment="1" applyProtection="1">
      <alignment horizontal="center" vertical="center"/>
      <protection locked="0"/>
    </xf>
    <xf numFmtId="0" fontId="14" fillId="0" borderId="15" xfId="565" applyFont="1" applyBorder="1" applyAlignment="1" applyProtection="1">
      <alignment horizontal="center" vertical="center"/>
      <protection locked="0"/>
    </xf>
    <xf numFmtId="0" fontId="14" fillId="0" borderId="170" xfId="565" applyFont="1" applyBorder="1" applyAlignment="1" applyProtection="1">
      <alignment horizontal="center" vertical="center"/>
      <protection locked="0"/>
    </xf>
    <xf numFmtId="0" fontId="5" fillId="0" borderId="181" xfId="565" applyFont="1" applyBorder="1" applyAlignment="1" applyProtection="1">
      <alignment horizontal="center" vertical="center"/>
      <protection locked="0"/>
    </xf>
    <xf numFmtId="0" fontId="14" fillId="0" borderId="187" xfId="565" applyFont="1" applyBorder="1" applyAlignment="1" applyProtection="1">
      <alignment horizontal="center" vertical="center"/>
      <protection locked="0"/>
    </xf>
    <xf numFmtId="0" fontId="14" fillId="0" borderId="180" xfId="565" applyFont="1" applyBorder="1" applyAlignment="1" applyProtection="1">
      <alignment horizontal="center" vertical="center"/>
      <protection locked="0"/>
    </xf>
    <xf numFmtId="0" fontId="14" fillId="0" borderId="72" xfId="565" applyFont="1" applyBorder="1" applyAlignment="1">
      <alignment horizontal="right" vertical="center"/>
    </xf>
    <xf numFmtId="0" fontId="14" fillId="0" borderId="10" xfId="565" applyFont="1" applyBorder="1" applyAlignment="1">
      <alignment horizontal="center" vertical="center" shrinkToFit="1"/>
    </xf>
    <xf numFmtId="0" fontId="14" fillId="0" borderId="10" xfId="565" applyFont="1" applyBorder="1" applyAlignment="1" applyProtection="1">
      <alignment horizontal="center" vertical="center"/>
      <protection locked="0"/>
    </xf>
    <xf numFmtId="0" fontId="14" fillId="0" borderId="173" xfId="565" applyFont="1" applyBorder="1" applyAlignment="1" applyProtection="1">
      <alignment horizontal="center" vertical="center"/>
      <protection locked="0"/>
    </xf>
    <xf numFmtId="0" fontId="14" fillId="7" borderId="172" xfId="565" applyFont="1" applyFill="1" applyBorder="1" applyAlignment="1" applyProtection="1">
      <alignment horizontal="center" vertical="center"/>
      <protection locked="0"/>
    </xf>
    <xf numFmtId="0" fontId="14" fillId="7" borderId="181" xfId="565" applyFont="1" applyFill="1" applyBorder="1" applyAlignment="1" applyProtection="1">
      <alignment horizontal="center" vertical="center"/>
      <protection locked="0"/>
    </xf>
    <xf numFmtId="0" fontId="14" fillId="7" borderId="173" xfId="565" applyFont="1" applyFill="1" applyBorder="1" applyProtection="1">
      <alignment vertical="center"/>
      <protection locked="0"/>
    </xf>
    <xf numFmtId="0" fontId="7" fillId="0" borderId="191" xfId="565" applyFont="1" applyBorder="1" applyAlignment="1">
      <alignment horizontal="left" vertical="center"/>
    </xf>
    <xf numFmtId="0" fontId="14" fillId="0" borderId="156" xfId="565" applyFont="1" applyBorder="1" applyAlignment="1">
      <alignment horizontal="right" vertical="center"/>
    </xf>
    <xf numFmtId="0" fontId="14" fillId="0" borderId="157" xfId="565" applyFont="1" applyBorder="1" applyAlignment="1">
      <alignment horizontal="center" vertical="center"/>
    </xf>
    <xf numFmtId="0" fontId="14" fillId="0" borderId="157" xfId="565" applyFont="1" applyBorder="1" applyAlignment="1">
      <alignment horizontal="center" vertical="center" shrinkToFit="1"/>
    </xf>
    <xf numFmtId="0" fontId="14" fillId="0" borderId="157" xfId="566" applyFont="1" applyBorder="1" applyAlignment="1" applyProtection="1">
      <alignment horizontal="center" vertical="center"/>
      <protection locked="0"/>
    </xf>
    <xf numFmtId="0" fontId="14" fillId="0" borderId="157" xfId="565" applyFont="1" applyBorder="1" applyAlignment="1" applyProtection="1">
      <alignment horizontal="center" vertical="center"/>
      <protection locked="0"/>
    </xf>
    <xf numFmtId="0" fontId="5" fillId="0" borderId="193" xfId="565" applyFont="1" applyBorder="1" applyAlignment="1" applyProtection="1">
      <alignment horizontal="center" vertical="center"/>
      <protection locked="0"/>
    </xf>
    <xf numFmtId="0" fontId="14" fillId="0" borderId="179" xfId="565" applyFont="1" applyBorder="1" applyProtection="1">
      <alignment vertical="center"/>
      <protection locked="0"/>
    </xf>
    <xf numFmtId="0" fontId="14" fillId="0" borderId="15" xfId="566" applyFont="1" applyBorder="1" applyAlignment="1" applyProtection="1">
      <alignment horizontal="center" vertical="center"/>
      <protection locked="0"/>
    </xf>
    <xf numFmtId="0" fontId="161" fillId="0" borderId="215" xfId="568" applyFont="1" applyBorder="1" applyAlignment="1">
      <alignment horizontal="center" vertical="center"/>
    </xf>
    <xf numFmtId="0" fontId="14" fillId="0" borderId="170" xfId="565" applyFont="1" applyBorder="1" applyProtection="1">
      <alignment vertical="center"/>
      <protection locked="0"/>
    </xf>
    <xf numFmtId="0" fontId="14" fillId="0" borderId="134" xfId="565" applyFont="1" applyBorder="1" applyAlignment="1">
      <alignment horizontal="right" vertical="center"/>
    </xf>
    <xf numFmtId="0" fontId="14" fillId="0" borderId="10" xfId="9" applyFont="1" applyBorder="1" applyAlignment="1">
      <alignment horizontal="center" vertical="center" shrinkToFit="1"/>
    </xf>
    <xf numFmtId="0" fontId="14" fillId="0" borderId="10" xfId="9" applyFont="1" applyBorder="1" applyAlignment="1" applyProtection="1">
      <alignment horizontal="center" vertical="center"/>
      <protection locked="0"/>
    </xf>
    <xf numFmtId="0" fontId="1" fillId="0" borderId="0" xfId="568">
      <alignment vertical="center"/>
    </xf>
    <xf numFmtId="0" fontId="14" fillId="0" borderId="163" xfId="565" applyFont="1" applyBorder="1" applyAlignment="1" applyProtection="1">
      <alignment horizontal="center" vertical="center"/>
      <protection locked="0"/>
    </xf>
    <xf numFmtId="0" fontId="14" fillId="0" borderId="216" xfId="565" applyFont="1" applyBorder="1" applyAlignment="1" applyProtection="1">
      <alignment horizontal="center" vertical="center"/>
      <protection locked="0"/>
    </xf>
    <xf numFmtId="0" fontId="14" fillId="0" borderId="217" xfId="565" applyFont="1" applyBorder="1" applyAlignment="1" applyProtection="1">
      <alignment horizontal="center" vertical="center"/>
      <protection locked="0"/>
    </xf>
    <xf numFmtId="0" fontId="14" fillId="0" borderId="218" xfId="565" applyFont="1" applyBorder="1" applyAlignment="1" applyProtection="1">
      <alignment horizontal="center" vertical="center"/>
      <protection locked="0"/>
    </xf>
    <xf numFmtId="0" fontId="14" fillId="0" borderId="189" xfId="565" applyFont="1" applyBorder="1" applyProtection="1">
      <alignment vertical="center"/>
      <protection locked="0"/>
    </xf>
    <xf numFmtId="0" fontId="5" fillId="0" borderId="0" xfId="9" applyFont="1" applyProtection="1">
      <alignment vertical="center"/>
      <protection locked="0"/>
    </xf>
    <xf numFmtId="0" fontId="7" fillId="0" borderId="191" xfId="9" applyFont="1" applyBorder="1" applyAlignment="1">
      <alignment horizontal="left" vertical="center"/>
    </xf>
    <xf numFmtId="0" fontId="14" fillId="0" borderId="157" xfId="9" applyFont="1" applyBorder="1" applyAlignment="1">
      <alignment horizontal="right" vertical="center" shrinkToFit="1"/>
    </xf>
    <xf numFmtId="0" fontId="14" fillId="0" borderId="157" xfId="9" applyFont="1" applyBorder="1" applyAlignment="1">
      <alignment horizontal="center" vertical="center" shrinkToFit="1"/>
    </xf>
    <xf numFmtId="0" fontId="14" fillId="0" borderId="157" xfId="9" applyFont="1" applyBorder="1" applyAlignment="1">
      <alignment horizontal="center" vertical="center"/>
    </xf>
    <xf numFmtId="0" fontId="14" fillId="0" borderId="157" xfId="9" applyFont="1" applyBorder="1" applyAlignment="1" applyProtection="1">
      <alignment horizontal="center" vertical="center"/>
      <protection locked="0"/>
    </xf>
    <xf numFmtId="0" fontId="14" fillId="0" borderId="194" xfId="9" applyFont="1" applyBorder="1" applyAlignment="1" applyProtection="1">
      <alignment horizontal="center" vertical="center"/>
      <protection locked="0"/>
    </xf>
    <xf numFmtId="0" fontId="14" fillId="0" borderId="193" xfId="9" applyFont="1" applyBorder="1" applyAlignment="1" applyProtection="1">
      <alignment horizontal="center" vertical="center"/>
      <protection locked="0"/>
    </xf>
    <xf numFmtId="0" fontId="14" fillId="0" borderId="214" xfId="9" applyFont="1" applyBorder="1" applyAlignment="1" applyProtection="1">
      <alignment horizontal="center" vertical="center"/>
      <protection locked="0"/>
    </xf>
    <xf numFmtId="0" fontId="14" fillId="0" borderId="179" xfId="9" applyFont="1" applyBorder="1" applyProtection="1">
      <alignment vertical="center"/>
      <protection locked="0"/>
    </xf>
    <xf numFmtId="0" fontId="14" fillId="7" borderId="173" xfId="565" applyFont="1" applyFill="1" applyBorder="1" applyAlignment="1" applyProtection="1">
      <alignment horizontal="center" vertical="center"/>
      <protection locked="0"/>
    </xf>
    <xf numFmtId="0" fontId="14" fillId="64" borderId="173" xfId="565" applyFont="1" applyFill="1" applyBorder="1" applyAlignment="1" applyProtection="1">
      <alignment horizontal="center" vertical="center"/>
      <protection locked="0"/>
    </xf>
    <xf numFmtId="0" fontId="14" fillId="0" borderId="15" xfId="565" applyFont="1" applyBorder="1" applyAlignment="1" applyProtection="1">
      <alignment horizontal="center" vertical="center" shrinkToFit="1"/>
      <protection locked="0"/>
    </xf>
    <xf numFmtId="0" fontId="7" fillId="0" borderId="162" xfId="9" applyFont="1" applyBorder="1" applyAlignment="1">
      <alignment horizontal="left" vertical="center"/>
    </xf>
    <xf numFmtId="0" fontId="14" fillId="0" borderId="58" xfId="9" applyFont="1" applyBorder="1" applyAlignment="1">
      <alignment horizontal="right" vertical="center"/>
    </xf>
    <xf numFmtId="0" fontId="14" fillId="0" borderId="15" xfId="9" applyFont="1" applyBorder="1" applyAlignment="1">
      <alignment horizontal="center" vertical="center" shrinkToFit="1"/>
    </xf>
    <xf numFmtId="0" fontId="14" fillId="0" borderId="15" xfId="9" applyFont="1" applyBorder="1" applyAlignment="1" applyProtection="1">
      <alignment horizontal="center" vertical="center"/>
      <protection locked="0"/>
    </xf>
    <xf numFmtId="0" fontId="14" fillId="0" borderId="170" xfId="9" applyFont="1" applyBorder="1" applyAlignment="1" applyProtection="1">
      <alignment vertical="center" shrinkToFit="1"/>
      <protection locked="0"/>
    </xf>
    <xf numFmtId="0" fontId="14" fillId="0" borderId="72" xfId="565" applyFont="1" applyBorder="1" applyAlignment="1">
      <alignment horizontal="right" vertical="center" wrapText="1"/>
    </xf>
    <xf numFmtId="0" fontId="14" fillId="0" borderId="186" xfId="565" applyFont="1" applyBorder="1" applyAlignment="1" applyProtection="1">
      <alignment horizontal="center" vertical="center"/>
      <protection locked="0"/>
    </xf>
    <xf numFmtId="0" fontId="14" fillId="0" borderId="157" xfId="565" applyFont="1" applyBorder="1" applyAlignment="1">
      <alignment horizontal="right" vertical="center" wrapText="1"/>
    </xf>
    <xf numFmtId="0" fontId="14" fillId="0" borderId="58" xfId="565" applyFont="1" applyBorder="1" applyProtection="1">
      <alignment vertical="center"/>
      <protection locked="0"/>
    </xf>
    <xf numFmtId="0" fontId="14" fillId="64" borderId="170" xfId="565" applyFont="1" applyFill="1" applyBorder="1" applyAlignment="1">
      <alignment horizontal="center" vertical="center"/>
    </xf>
    <xf numFmtId="56" fontId="14" fillId="0" borderId="171" xfId="565" quotePrefix="1" applyNumberFormat="1" applyFont="1" applyBorder="1" applyAlignment="1" applyProtection="1">
      <alignment horizontal="center" vertical="center"/>
      <protection locked="0"/>
    </xf>
    <xf numFmtId="0" fontId="157" fillId="0" borderId="0" xfId="9" applyFont="1" applyProtection="1">
      <alignment vertical="center"/>
      <protection locked="0"/>
    </xf>
    <xf numFmtId="0" fontId="158" fillId="0" borderId="162" xfId="9" applyFont="1" applyBorder="1" applyAlignment="1">
      <alignment horizontal="left" vertical="center"/>
    </xf>
    <xf numFmtId="0" fontId="14" fillId="0" borderId="167" xfId="9" applyFont="1" applyBorder="1" applyAlignment="1" applyProtection="1">
      <alignment horizontal="center" vertical="center"/>
      <protection locked="0"/>
    </xf>
    <xf numFmtId="0" fontId="14" fillId="0" borderId="181" xfId="9" applyFont="1" applyBorder="1" applyAlignment="1" applyProtection="1">
      <alignment horizontal="center" vertical="center"/>
      <protection locked="0"/>
    </xf>
    <xf numFmtId="0" fontId="14" fillId="0" borderId="180" xfId="9" applyFont="1" applyBorder="1" applyAlignment="1" applyProtection="1">
      <alignment horizontal="center" vertical="center"/>
      <protection locked="0"/>
    </xf>
    <xf numFmtId="0" fontId="14" fillId="0" borderId="173" xfId="9" applyFont="1" applyBorder="1" applyProtection="1">
      <alignment vertical="center"/>
      <protection locked="0"/>
    </xf>
    <xf numFmtId="0" fontId="14" fillId="0" borderId="186" xfId="9" applyFont="1" applyBorder="1" applyAlignment="1" applyProtection="1">
      <alignment horizontal="center" vertical="center"/>
      <protection locked="0"/>
    </xf>
    <xf numFmtId="0" fontId="14" fillId="0" borderId="58" xfId="565" applyFont="1" applyBorder="1" applyAlignment="1">
      <alignment horizontal="right" vertical="center" wrapText="1"/>
    </xf>
    <xf numFmtId="0" fontId="14" fillId="0" borderId="170" xfId="9" applyFont="1" applyBorder="1" applyAlignment="1" applyProtection="1">
      <alignment horizontal="center" vertical="center"/>
      <protection locked="0"/>
    </xf>
    <xf numFmtId="0" fontId="14" fillId="0" borderId="172" xfId="9" applyFont="1" applyBorder="1" applyAlignment="1" applyProtection="1">
      <alignment horizontal="center" vertical="center"/>
      <protection locked="0"/>
    </xf>
    <xf numFmtId="0" fontId="14" fillId="0" borderId="171" xfId="9" applyFont="1" applyBorder="1" applyAlignment="1" applyProtection="1">
      <alignment horizontal="center" vertical="center"/>
      <protection locked="0"/>
    </xf>
    <xf numFmtId="0" fontId="14" fillId="64" borderId="173" xfId="565" applyFont="1" applyFill="1" applyBorder="1" applyAlignment="1">
      <alignment horizontal="center" vertical="center"/>
    </xf>
    <xf numFmtId="0" fontId="5" fillId="4" borderId="0" xfId="565" applyFont="1" applyFill="1" applyProtection="1">
      <alignment vertical="center"/>
      <protection locked="0"/>
    </xf>
    <xf numFmtId="0" fontId="7" fillId="4" borderId="162" xfId="565" applyFont="1" applyFill="1" applyBorder="1" applyAlignment="1">
      <alignment horizontal="left" vertical="center"/>
    </xf>
    <xf numFmtId="0" fontId="14" fillId="0" borderId="58" xfId="9" applyFont="1" applyBorder="1" applyAlignment="1">
      <alignment horizontal="right" vertical="center" shrinkToFit="1"/>
    </xf>
    <xf numFmtId="0" fontId="14" fillId="0" borderId="187" xfId="9" applyFont="1" applyBorder="1" applyAlignment="1" applyProtection="1">
      <alignment horizontal="center" vertical="center"/>
      <protection locked="0"/>
    </xf>
    <xf numFmtId="0" fontId="14" fillId="61" borderId="58" xfId="9" applyFont="1" applyFill="1" applyBorder="1" applyAlignment="1">
      <alignment horizontal="right" vertical="center" shrinkToFit="1"/>
    </xf>
    <xf numFmtId="0" fontId="14" fillId="0" borderId="72" xfId="9" applyFont="1" applyBorder="1" applyAlignment="1">
      <alignment horizontal="right" vertical="center" shrinkToFit="1"/>
    </xf>
    <xf numFmtId="0" fontId="14" fillId="0" borderId="173" xfId="9" applyFont="1" applyBorder="1" applyAlignment="1" applyProtection="1">
      <alignment horizontal="center" vertical="center"/>
      <protection locked="0"/>
    </xf>
    <xf numFmtId="0" fontId="14" fillId="0" borderId="219" xfId="565" applyFont="1" applyBorder="1" applyAlignment="1" applyProtection="1">
      <alignment horizontal="center" vertical="center"/>
      <protection locked="0"/>
    </xf>
    <xf numFmtId="0" fontId="14" fillId="0" borderId="170" xfId="565" applyFont="1" applyBorder="1" applyAlignment="1" applyProtection="1">
      <alignment vertical="center" shrinkToFit="1"/>
      <protection locked="0"/>
    </xf>
    <xf numFmtId="0" fontId="14" fillId="0" borderId="10" xfId="9" applyFont="1" applyBorder="1" applyAlignment="1" applyProtection="1">
      <alignment horizontal="center" vertical="center" shrinkToFit="1"/>
      <protection locked="0"/>
    </xf>
    <xf numFmtId="0" fontId="14" fillId="0" borderId="173" xfId="567" applyFont="1" applyBorder="1" applyAlignment="1" applyProtection="1">
      <alignment horizontal="center" vertical="center"/>
      <protection locked="0"/>
    </xf>
    <xf numFmtId="0" fontId="14" fillId="0" borderId="74" xfId="568" applyFont="1" applyBorder="1" applyAlignment="1">
      <alignment horizontal="center" vertical="center"/>
    </xf>
    <xf numFmtId="0" fontId="14" fillId="0" borderId="73" xfId="9" applyFont="1" applyBorder="1" applyAlignment="1" applyProtection="1">
      <alignment horizontal="center" vertical="center"/>
      <protection locked="0"/>
    </xf>
    <xf numFmtId="0" fontId="14" fillId="0" borderId="190" xfId="9" applyFont="1" applyBorder="1" applyAlignment="1" applyProtection="1">
      <alignment horizontal="center" vertical="center"/>
      <protection locked="0"/>
    </xf>
    <xf numFmtId="0" fontId="14" fillId="0" borderId="10" xfId="565" applyFont="1" applyBorder="1" applyAlignment="1">
      <alignment horizontal="right" vertical="center"/>
    </xf>
    <xf numFmtId="0" fontId="14" fillId="0" borderId="72" xfId="565" applyFont="1" applyBorder="1" applyAlignment="1" applyProtection="1">
      <alignment horizontal="center" vertical="center"/>
      <protection locked="0"/>
    </xf>
    <xf numFmtId="0" fontId="164" fillId="0" borderId="0" xfId="565" applyFont="1" applyProtection="1">
      <alignment vertical="center"/>
      <protection locked="0"/>
    </xf>
    <xf numFmtId="0" fontId="14" fillId="0" borderId="173" xfId="565" applyFont="1" applyBorder="1" applyAlignment="1" applyProtection="1">
      <alignment vertical="center" shrinkToFit="1"/>
      <protection locked="0"/>
    </xf>
    <xf numFmtId="0" fontId="14" fillId="0" borderId="170" xfId="9" applyFont="1" applyBorder="1" applyProtection="1">
      <alignment vertical="center"/>
      <protection locked="0"/>
    </xf>
    <xf numFmtId="0" fontId="14" fillId="0" borderId="10" xfId="565" applyFont="1" applyBorder="1" applyAlignment="1" applyProtection="1">
      <alignment horizontal="center" vertical="center" shrinkToFit="1"/>
      <protection locked="0"/>
    </xf>
    <xf numFmtId="0" fontId="14" fillId="0" borderId="10" xfId="568" applyFont="1" applyBorder="1" applyAlignment="1">
      <alignment horizontal="center" vertical="center"/>
    </xf>
    <xf numFmtId="0" fontId="14" fillId="0" borderId="189" xfId="565" applyFont="1" applyBorder="1" applyAlignment="1" applyProtection="1">
      <alignment horizontal="center" vertical="center"/>
      <protection locked="0"/>
    </xf>
    <xf numFmtId="0" fontId="14" fillId="0" borderId="10" xfId="567" applyFont="1" applyBorder="1" applyAlignment="1" applyProtection="1">
      <alignment horizontal="center" vertical="center"/>
      <protection locked="0"/>
    </xf>
    <xf numFmtId="0" fontId="14" fillId="0" borderId="15" xfId="567" applyFont="1" applyBorder="1" applyAlignment="1">
      <alignment horizontal="right" vertical="center"/>
    </xf>
    <xf numFmtId="0" fontId="14" fillId="0" borderId="15" xfId="567" applyFont="1" applyBorder="1" applyAlignment="1">
      <alignment horizontal="center" vertical="center" shrinkToFit="1"/>
    </xf>
    <xf numFmtId="0" fontId="14" fillId="0" borderId="15" xfId="567" applyFont="1" applyBorder="1" applyAlignment="1">
      <alignment horizontal="center" vertical="center"/>
    </xf>
    <xf numFmtId="0" fontId="14" fillId="64" borderId="189" xfId="567" applyFont="1" applyFill="1" applyBorder="1" applyAlignment="1">
      <alignment horizontal="center" vertical="center"/>
    </xf>
    <xf numFmtId="0" fontId="14" fillId="0" borderId="167" xfId="566" applyFont="1" applyBorder="1" applyAlignment="1" applyProtection="1">
      <alignment horizontal="center" vertical="center"/>
      <protection locked="0"/>
    </xf>
    <xf numFmtId="0" fontId="14" fillId="0" borderId="170" xfId="566" applyFont="1" applyBorder="1" applyProtection="1">
      <alignment vertical="center"/>
      <protection locked="0"/>
    </xf>
    <xf numFmtId="0" fontId="14" fillId="0" borderId="72" xfId="567" applyFont="1" applyBorder="1" applyAlignment="1">
      <alignment horizontal="right" vertical="center"/>
    </xf>
    <xf numFmtId="0" fontId="14" fillId="0" borderId="10" xfId="567" applyFont="1" applyBorder="1" applyAlignment="1">
      <alignment horizontal="center" vertical="center" shrinkToFit="1"/>
    </xf>
    <xf numFmtId="0" fontId="14" fillId="64" borderId="173" xfId="567" applyFont="1" applyFill="1" applyBorder="1" applyAlignment="1">
      <alignment horizontal="center" vertical="center"/>
    </xf>
    <xf numFmtId="0" fontId="14" fillId="0" borderId="180" xfId="566" applyFont="1" applyBorder="1" applyAlignment="1" applyProtection="1">
      <alignment horizontal="center" vertical="center"/>
      <protection locked="0"/>
    </xf>
    <xf numFmtId="0" fontId="14" fillId="0" borderId="181" xfId="566" applyFont="1" applyBorder="1" applyAlignment="1" applyProtection="1">
      <alignment horizontal="center" vertical="center"/>
      <protection locked="0"/>
    </xf>
    <xf numFmtId="0" fontId="14" fillId="0" borderId="187" xfId="566" applyFont="1" applyBorder="1" applyAlignment="1" applyProtection="1">
      <alignment horizontal="center" vertical="center"/>
      <protection locked="0"/>
    </xf>
    <xf numFmtId="0" fontId="14" fillId="0" borderId="79" xfId="567" applyFont="1" applyBorder="1" applyAlignment="1">
      <alignment horizontal="right" vertical="center"/>
    </xf>
    <xf numFmtId="0" fontId="14" fillId="0" borderId="19" xfId="565" applyFont="1" applyBorder="1" applyAlignment="1">
      <alignment horizontal="center" vertical="center"/>
    </xf>
    <xf numFmtId="0" fontId="14" fillId="0" borderId="189" xfId="567" applyFont="1" applyBorder="1" applyAlignment="1" applyProtection="1">
      <alignment horizontal="center" vertical="center"/>
      <protection locked="0"/>
    </xf>
    <xf numFmtId="0" fontId="14" fillId="0" borderId="216" xfId="566" applyFont="1" applyBorder="1" applyAlignment="1" applyProtection="1">
      <alignment horizontal="center" vertical="center"/>
      <protection locked="0"/>
    </xf>
    <xf numFmtId="0" fontId="14" fillId="0" borderId="217" xfId="566" applyFont="1" applyBorder="1" applyAlignment="1" applyProtection="1">
      <alignment horizontal="center" vertical="center"/>
      <protection locked="0"/>
    </xf>
    <xf numFmtId="0" fontId="14" fillId="0" borderId="218" xfId="566" applyFont="1" applyBorder="1" applyAlignment="1" applyProtection="1">
      <alignment horizontal="center" vertical="center"/>
      <protection locked="0"/>
    </xf>
    <xf numFmtId="0" fontId="14" fillId="0" borderId="216" xfId="9" applyFont="1" applyBorder="1" applyAlignment="1" applyProtection="1">
      <alignment horizontal="center" vertical="center"/>
      <protection locked="0"/>
    </xf>
    <xf numFmtId="0" fontId="14" fillId="0" borderId="19" xfId="567" applyFont="1" applyBorder="1" applyAlignment="1">
      <alignment horizontal="center" vertical="center" shrinkToFit="1"/>
    </xf>
    <xf numFmtId="0" fontId="14" fillId="0" borderId="80" xfId="568" applyFont="1" applyBorder="1" applyAlignment="1">
      <alignment horizontal="center" vertical="center"/>
    </xf>
    <xf numFmtId="0" fontId="14" fillId="0" borderId="19" xfId="567" applyFont="1" applyBorder="1" applyAlignment="1" applyProtection="1">
      <alignment horizontal="center" vertical="center"/>
      <protection locked="0"/>
    </xf>
    <xf numFmtId="0" fontId="14" fillId="0" borderId="173" xfId="566" applyFont="1" applyBorder="1" applyProtection="1">
      <alignment vertical="center"/>
      <protection locked="0"/>
    </xf>
    <xf numFmtId="0" fontId="14" fillId="0" borderId="186" xfId="566" applyFont="1" applyBorder="1" applyAlignment="1" applyProtection="1">
      <alignment horizontal="center" vertical="center"/>
      <protection locked="0"/>
    </xf>
    <xf numFmtId="0" fontId="157" fillId="0" borderId="0" xfId="566" applyFont="1" applyProtection="1">
      <alignment vertical="center"/>
      <protection locked="0"/>
    </xf>
    <xf numFmtId="0" fontId="158" fillId="0" borderId="162" xfId="566" applyFont="1" applyBorder="1" applyAlignment="1">
      <alignment horizontal="left" vertical="center"/>
    </xf>
    <xf numFmtId="0" fontId="166" fillId="0" borderId="0" xfId="565" applyFont="1" applyProtection="1">
      <alignment vertical="center"/>
      <protection locked="0"/>
    </xf>
    <xf numFmtId="0" fontId="167" fillId="0" borderId="162" xfId="565" applyFont="1" applyBorder="1" applyAlignment="1">
      <alignment horizontal="left" vertical="center"/>
    </xf>
    <xf numFmtId="0" fontId="7" fillId="0" borderId="33" xfId="566" applyFont="1" applyBorder="1" applyAlignment="1">
      <alignment horizontal="left" vertical="center"/>
    </xf>
    <xf numFmtId="0" fontId="14" fillId="0" borderId="10" xfId="567" applyFont="1" applyBorder="1" applyAlignment="1" applyProtection="1">
      <alignment horizontal="center" vertical="center" shrinkToFit="1"/>
      <protection locked="0"/>
    </xf>
    <xf numFmtId="0" fontId="14" fillId="0" borderId="173" xfId="565" applyFont="1" applyBorder="1" applyAlignment="1" applyProtection="1">
      <alignment vertical="center" wrapText="1"/>
      <protection locked="0"/>
    </xf>
    <xf numFmtId="0" fontId="14" fillId="0" borderId="10" xfId="566" applyFont="1" applyBorder="1" applyAlignment="1" applyProtection="1">
      <alignment horizontal="right" vertical="center"/>
      <protection locked="0"/>
    </xf>
    <xf numFmtId="0" fontId="7" fillId="0" borderId="67" xfId="566" applyFont="1" applyBorder="1" applyAlignment="1">
      <alignment horizontal="left" vertical="center"/>
    </xf>
    <xf numFmtId="0" fontId="14" fillId="0" borderId="157" xfId="567" applyFont="1" applyBorder="1" applyAlignment="1" applyProtection="1">
      <alignment horizontal="center" vertical="center" shrinkToFit="1"/>
      <protection locked="0"/>
    </xf>
    <xf numFmtId="0" fontId="14" fillId="0" borderId="179" xfId="567" applyFont="1" applyBorder="1" applyAlignment="1" applyProtection="1">
      <alignment horizontal="center" vertical="center"/>
      <protection locked="0"/>
    </xf>
    <xf numFmtId="0" fontId="14" fillId="0" borderId="192" xfId="566" applyFont="1" applyBorder="1" applyAlignment="1" applyProtection="1">
      <alignment horizontal="center" vertical="center"/>
      <protection locked="0"/>
    </xf>
    <xf numFmtId="0" fontId="14" fillId="0" borderId="193" xfId="566" applyFont="1" applyBorder="1" applyAlignment="1" applyProtection="1">
      <alignment horizontal="center" vertical="center"/>
      <protection locked="0"/>
    </xf>
    <xf numFmtId="0" fontId="14" fillId="0" borderId="194" xfId="566" applyFont="1" applyBorder="1" applyAlignment="1" applyProtection="1">
      <alignment horizontal="center" vertical="center"/>
      <protection locked="0"/>
    </xf>
    <xf numFmtId="0" fontId="14" fillId="0" borderId="214" xfId="566" applyFont="1" applyBorder="1" applyAlignment="1" applyProtection="1">
      <alignment horizontal="center" vertical="center"/>
      <protection locked="0"/>
    </xf>
    <xf numFmtId="0" fontId="14" fillId="0" borderId="179" xfId="566" applyFont="1" applyBorder="1" applyProtection="1">
      <alignment vertical="center"/>
      <protection locked="0"/>
    </xf>
    <xf numFmtId="0" fontId="7" fillId="0" borderId="33" xfId="565" applyFont="1" applyBorder="1" applyAlignment="1">
      <alignment horizontal="left" vertical="center"/>
    </xf>
    <xf numFmtId="0" fontId="14" fillId="0" borderId="58" xfId="570" applyFont="1" applyBorder="1" applyAlignment="1">
      <alignment horizontal="right" vertical="center" shrinkToFit="1"/>
    </xf>
    <xf numFmtId="0" fontId="14" fillId="0" borderId="15" xfId="570" applyFont="1" applyBorder="1" applyAlignment="1">
      <alignment horizontal="center" vertical="center"/>
    </xf>
    <xf numFmtId="0" fontId="14" fillId="0" borderId="15" xfId="570" applyFont="1" applyBorder="1" applyAlignment="1">
      <alignment horizontal="center" vertical="center" shrinkToFit="1"/>
    </xf>
    <xf numFmtId="0" fontId="14" fillId="0" borderId="15" xfId="570" applyFont="1" applyBorder="1" applyAlignment="1" applyProtection="1">
      <alignment horizontal="center" vertical="center"/>
      <protection locked="0"/>
    </xf>
    <xf numFmtId="0" fontId="14" fillId="0" borderId="170" xfId="570" applyFont="1" applyBorder="1" applyAlignment="1" applyProtection="1">
      <alignment horizontal="center" vertical="center"/>
      <protection locked="0"/>
    </xf>
    <xf numFmtId="0" fontId="14" fillId="0" borderId="167" xfId="571" applyFont="1" applyBorder="1" applyAlignment="1" applyProtection="1">
      <alignment horizontal="center" vertical="center"/>
      <protection locked="0"/>
    </xf>
    <xf numFmtId="0" fontId="14" fillId="0" borderId="171" xfId="571" applyFont="1" applyBorder="1" applyAlignment="1" applyProtection="1">
      <alignment horizontal="center" vertical="center"/>
      <protection locked="0"/>
    </xf>
    <xf numFmtId="0" fontId="14" fillId="0" borderId="172" xfId="570" applyFont="1" applyBorder="1" applyAlignment="1" applyProtection="1">
      <alignment horizontal="center" vertical="center"/>
      <protection locked="0"/>
    </xf>
    <xf numFmtId="0" fontId="14" fillId="0" borderId="171" xfId="570" applyFont="1" applyBorder="1" applyAlignment="1" applyProtection="1">
      <alignment horizontal="center" vertical="center"/>
      <protection locked="0"/>
    </xf>
    <xf numFmtId="0" fontId="14" fillId="0" borderId="172" xfId="571" applyFont="1" applyBorder="1" applyAlignment="1" applyProtection="1">
      <alignment horizontal="center" vertical="center"/>
      <protection locked="0"/>
    </xf>
    <xf numFmtId="0" fontId="14" fillId="0" borderId="190" xfId="571" applyFont="1" applyBorder="1" applyAlignment="1" applyProtection="1">
      <alignment horizontal="center" vertical="center"/>
      <protection locked="0"/>
    </xf>
    <xf numFmtId="0" fontId="14" fillId="0" borderId="170" xfId="571" applyFont="1" applyBorder="1" applyProtection="1">
      <alignment vertical="center"/>
      <protection locked="0"/>
    </xf>
    <xf numFmtId="0" fontId="14" fillId="0" borderId="72" xfId="9" applyFont="1" applyBorder="1" applyAlignment="1">
      <alignment horizontal="right" vertical="center"/>
    </xf>
    <xf numFmtId="0" fontId="14" fillId="0" borderId="220" xfId="9" applyFont="1" applyBorder="1" applyAlignment="1" applyProtection="1">
      <alignment horizontal="center" vertical="center"/>
      <protection locked="0"/>
    </xf>
    <xf numFmtId="0" fontId="14" fillId="0" borderId="173" xfId="9" applyFont="1" applyBorder="1" applyAlignment="1" applyProtection="1">
      <alignment vertical="center" wrapText="1"/>
      <protection locked="0"/>
    </xf>
    <xf numFmtId="0" fontId="14" fillId="0" borderId="58" xfId="9" applyFont="1" applyBorder="1" applyAlignment="1">
      <alignment horizontal="right" vertical="center" wrapText="1" shrinkToFit="1"/>
    </xf>
    <xf numFmtId="0" fontId="14" fillId="0" borderId="134" xfId="9" applyFont="1" applyBorder="1" applyAlignment="1">
      <alignment horizontal="right" vertical="center" shrinkToFit="1"/>
    </xf>
    <xf numFmtId="0" fontId="14" fillId="0" borderId="204" xfId="565" applyFont="1" applyBorder="1" applyAlignment="1">
      <alignment horizontal="center" vertical="center"/>
    </xf>
    <xf numFmtId="0" fontId="14" fillId="0" borderId="204" xfId="9" applyFont="1" applyBorder="1" applyAlignment="1">
      <alignment horizontal="center" vertical="center" shrinkToFit="1"/>
    </xf>
    <xf numFmtId="0" fontId="14" fillId="0" borderId="19" xfId="9" applyFont="1" applyBorder="1" applyAlignment="1" applyProtection="1">
      <alignment horizontal="center" vertical="center"/>
      <protection locked="0"/>
    </xf>
    <xf numFmtId="0" fontId="14" fillId="0" borderId="221" xfId="9" applyFont="1" applyBorder="1" applyAlignment="1" applyProtection="1">
      <alignment horizontal="center" vertical="center"/>
      <protection locked="0"/>
    </xf>
    <xf numFmtId="0" fontId="14" fillId="0" borderId="60" xfId="9" applyFont="1" applyBorder="1" applyAlignment="1" applyProtection="1">
      <alignment horizontal="center" vertical="center"/>
      <protection locked="0"/>
    </xf>
    <xf numFmtId="0" fontId="14" fillId="0" borderId="61" xfId="9" applyFont="1" applyBorder="1" applyAlignment="1" applyProtection="1">
      <alignment horizontal="center" vertical="center"/>
      <protection locked="0"/>
    </xf>
    <xf numFmtId="0" fontId="14" fillId="0" borderId="222" xfId="9" applyFont="1" applyBorder="1" applyAlignment="1" applyProtection="1">
      <alignment horizontal="center" vertical="center"/>
      <protection locked="0"/>
    </xf>
    <xf numFmtId="0" fontId="14" fillId="0" borderId="163" xfId="565" applyFont="1" applyBorder="1" applyProtection="1">
      <alignment vertical="center"/>
      <protection locked="0"/>
    </xf>
    <xf numFmtId="0" fontId="7" fillId="0" borderId="33" xfId="9" applyFont="1" applyBorder="1" applyAlignment="1">
      <alignment horizontal="left" vertical="center"/>
    </xf>
    <xf numFmtId="0" fontId="7" fillId="0" borderId="223" xfId="9" applyFont="1" applyBorder="1" applyAlignment="1">
      <alignment horizontal="left" vertical="center"/>
    </xf>
    <xf numFmtId="0" fontId="14" fillId="0" borderId="224" xfId="9" applyFont="1" applyBorder="1" applyAlignment="1">
      <alignment horizontal="right" vertical="center" shrinkToFit="1"/>
    </xf>
    <xf numFmtId="0" fontId="14" fillId="0" borderId="225" xfId="565" applyFont="1" applyBorder="1" applyAlignment="1">
      <alignment horizontal="center" vertical="center"/>
    </xf>
    <xf numFmtId="0" fontId="14" fillId="0" borderId="225" xfId="9" applyFont="1" applyBorder="1" applyAlignment="1">
      <alignment horizontal="center" vertical="center" shrinkToFit="1"/>
    </xf>
    <xf numFmtId="0" fontId="14" fillId="0" borderId="225" xfId="9" applyFont="1" applyBorder="1" applyAlignment="1" applyProtection="1">
      <alignment horizontal="center" vertical="center"/>
      <protection locked="0"/>
    </xf>
    <xf numFmtId="0" fontId="14" fillId="0" borderId="225" xfId="9" applyFont="1" applyBorder="1" applyAlignment="1">
      <alignment horizontal="center" vertical="center"/>
    </xf>
    <xf numFmtId="0" fontId="14" fillId="0" borderId="226" xfId="565" applyFont="1" applyBorder="1" applyAlignment="1" applyProtection="1">
      <alignment horizontal="center" vertical="center"/>
      <protection locked="0"/>
    </xf>
    <xf numFmtId="0" fontId="14" fillId="0" borderId="227" xfId="9" applyFont="1" applyBorder="1" applyAlignment="1" applyProtection="1">
      <alignment horizontal="center" vertical="center"/>
      <protection locked="0"/>
    </xf>
    <xf numFmtId="0" fontId="14" fillId="0" borderId="228" xfId="9" applyFont="1" applyBorder="1" applyAlignment="1" applyProtection="1">
      <alignment horizontal="center" vertical="center"/>
      <protection locked="0"/>
    </xf>
    <xf numFmtId="0" fontId="14" fillId="0" borderId="229" xfId="9" applyFont="1" applyBorder="1" applyAlignment="1" applyProtection="1">
      <alignment horizontal="center" vertical="center"/>
      <protection locked="0"/>
    </xf>
    <xf numFmtId="0" fontId="14" fillId="0" borderId="230" xfId="9" applyFont="1" applyBorder="1" applyAlignment="1" applyProtection="1">
      <alignment horizontal="center" vertical="center"/>
      <protection locked="0"/>
    </xf>
    <xf numFmtId="0" fontId="14" fillId="0" borderId="226" xfId="565" applyFont="1" applyBorder="1" applyProtection="1">
      <alignment vertical="center"/>
      <protection locked="0"/>
    </xf>
    <xf numFmtId="0" fontId="7" fillId="0" borderId="33" xfId="565" applyFont="1" applyBorder="1" applyAlignment="1">
      <alignment horizontal="left" vertical="center" shrinkToFit="1"/>
    </xf>
    <xf numFmtId="0" fontId="14" fillId="0" borderId="15" xfId="565" applyFont="1" applyBorder="1" applyAlignment="1">
      <alignment horizontal="center" vertical="center" wrapText="1"/>
    </xf>
    <xf numFmtId="0" fontId="7" fillId="0" borderId="162" xfId="565" applyFont="1" applyBorder="1" applyAlignment="1">
      <alignment horizontal="left" vertical="center" shrinkToFit="1"/>
    </xf>
    <xf numFmtId="0" fontId="14" fillId="0" borderId="10" xfId="565" applyFont="1" applyBorder="1" applyAlignment="1">
      <alignment horizontal="center" vertical="center" wrapText="1"/>
    </xf>
    <xf numFmtId="0" fontId="14" fillId="0" borderId="217" xfId="9" applyFont="1" applyBorder="1" applyAlignment="1" applyProtection="1">
      <alignment horizontal="center" vertical="center"/>
      <protection locked="0"/>
    </xf>
    <xf numFmtId="0" fontId="14" fillId="0" borderId="10" xfId="9" applyFont="1" applyBorder="1" applyAlignment="1">
      <alignment horizontal="right" vertical="center" shrinkToFit="1"/>
    </xf>
    <xf numFmtId="0" fontId="168" fillId="0" borderId="181" xfId="9" applyFont="1" applyBorder="1" applyAlignment="1" applyProtection="1">
      <alignment horizontal="center" vertical="center"/>
      <protection locked="0"/>
    </xf>
    <xf numFmtId="0" fontId="14" fillId="0" borderId="173" xfId="9" applyFont="1" applyBorder="1" applyAlignment="1" applyProtection="1">
      <alignment vertical="center" shrinkToFit="1"/>
      <protection locked="0"/>
    </xf>
    <xf numFmtId="0" fontId="14" fillId="0" borderId="10" xfId="9" applyFont="1" applyBorder="1" applyAlignment="1">
      <alignment horizontal="center" vertical="center" wrapText="1" shrinkToFit="1"/>
    </xf>
    <xf numFmtId="0" fontId="14" fillId="0" borderId="231" xfId="9" applyFont="1" applyBorder="1" applyAlignment="1">
      <alignment horizontal="center" vertical="center"/>
    </xf>
    <xf numFmtId="0" fontId="14" fillId="0" borderId="154" xfId="9" applyFont="1" applyBorder="1" applyAlignment="1">
      <alignment horizontal="center" vertical="center"/>
    </xf>
    <xf numFmtId="0" fontId="159" fillId="0" borderId="15" xfId="565" applyFont="1" applyBorder="1" applyAlignment="1" applyProtection="1">
      <alignment horizontal="center" vertical="center" shrinkToFit="1"/>
      <protection locked="0"/>
    </xf>
    <xf numFmtId="0" fontId="159" fillId="0" borderId="15" xfId="565" applyFont="1" applyBorder="1" applyAlignment="1" applyProtection="1">
      <alignment horizontal="center" vertical="center"/>
      <protection locked="0"/>
    </xf>
    <xf numFmtId="0" fontId="14" fillId="0" borderId="154" xfId="565" applyFont="1" applyBorder="1" applyAlignment="1" applyProtection="1">
      <alignment horizontal="center" vertical="center"/>
      <protection locked="0"/>
    </xf>
    <xf numFmtId="0" fontId="14" fillId="0" borderId="170" xfId="9" applyFont="1" applyBorder="1" applyAlignment="1" applyProtection="1">
      <alignment vertical="center" wrapText="1"/>
      <protection locked="0"/>
    </xf>
    <xf numFmtId="0" fontId="7" fillId="0" borderId="232" xfId="9" applyFont="1" applyBorder="1" applyAlignment="1">
      <alignment horizontal="left" vertical="center"/>
    </xf>
    <xf numFmtId="0" fontId="14" fillId="0" borderId="233" xfId="9" applyFont="1" applyBorder="1" applyAlignment="1">
      <alignment horizontal="right" vertical="center"/>
    </xf>
    <xf numFmtId="0" fontId="14" fillId="0" borderId="233" xfId="565" applyFont="1" applyBorder="1" applyAlignment="1">
      <alignment horizontal="center" vertical="center" wrapText="1"/>
    </xf>
    <xf numFmtId="0" fontId="14" fillId="0" borderId="233" xfId="9" applyFont="1" applyBorder="1" applyAlignment="1">
      <alignment horizontal="center" vertical="center" shrinkToFit="1"/>
    </xf>
    <xf numFmtId="0" fontId="14" fillId="0" borderId="233" xfId="566" applyFont="1" applyBorder="1" applyAlignment="1" applyProtection="1">
      <alignment horizontal="center" vertical="center"/>
      <protection locked="0"/>
    </xf>
    <xf numFmtId="0" fontId="14" fillId="0" borderId="234" xfId="9" applyFont="1" applyBorder="1" applyAlignment="1">
      <alignment horizontal="center" vertical="center"/>
    </xf>
    <xf numFmtId="0" fontId="14" fillId="0" borderId="235" xfId="9" applyFont="1" applyBorder="1" applyAlignment="1" applyProtection="1">
      <alignment horizontal="center" vertical="center"/>
      <protection locked="0"/>
    </xf>
    <xf numFmtId="0" fontId="14" fillId="0" borderId="236" xfId="9" applyFont="1" applyBorder="1" applyAlignment="1" applyProtection="1">
      <alignment horizontal="center" vertical="center"/>
      <protection locked="0"/>
    </xf>
    <xf numFmtId="0" fontId="14" fillId="0" borderId="237" xfId="9" applyFont="1" applyBorder="1" applyAlignment="1" applyProtection="1">
      <alignment horizontal="center" vertical="center"/>
      <protection locked="0"/>
    </xf>
    <xf numFmtId="0" fontId="14" fillId="0" borderId="238" xfId="9" applyFont="1" applyBorder="1" applyAlignment="1" applyProtection="1">
      <alignment horizontal="center" vertical="center"/>
      <protection locked="0"/>
    </xf>
    <xf numFmtId="0" fontId="14" fillId="0" borderId="239" xfId="9" applyFont="1" applyBorder="1" applyAlignment="1" applyProtection="1">
      <alignment vertical="center" shrinkToFit="1"/>
      <protection locked="0"/>
    </xf>
    <xf numFmtId="0" fontId="169" fillId="0" borderId="162" xfId="565" applyFont="1" applyBorder="1" applyAlignment="1">
      <alignment horizontal="left" vertical="center"/>
    </xf>
    <xf numFmtId="0" fontId="14" fillId="0" borderId="58" xfId="565" applyFont="1" applyBorder="1" applyAlignment="1" applyProtection="1">
      <alignment horizontal="right" vertical="center"/>
      <protection locked="0"/>
    </xf>
    <xf numFmtId="0" fontId="7" fillId="0" borderId="162" xfId="565" applyFont="1" applyBorder="1" applyAlignment="1" applyProtection="1">
      <alignment horizontal="left" vertical="center"/>
      <protection locked="0"/>
    </xf>
    <xf numFmtId="0" fontId="7" fillId="0" borderId="162" xfId="566" applyFont="1" applyBorder="1" applyAlignment="1" applyProtection="1">
      <alignment horizontal="left" vertical="center"/>
      <protection locked="0"/>
    </xf>
    <xf numFmtId="0" fontId="14" fillId="0" borderId="58" xfId="566" applyFont="1" applyBorder="1" applyAlignment="1" applyProtection="1">
      <alignment horizontal="right" vertical="center"/>
      <protection locked="0"/>
    </xf>
    <xf numFmtId="0" fontId="14" fillId="0" borderId="15" xfId="566" applyFont="1" applyBorder="1" applyAlignment="1" applyProtection="1">
      <alignment horizontal="center" vertical="center" shrinkToFit="1"/>
      <protection locked="0"/>
    </xf>
    <xf numFmtId="0" fontId="14" fillId="0" borderId="170" xfId="566" applyFont="1" applyBorder="1" applyAlignment="1" applyProtection="1">
      <alignment horizontal="center" vertical="center" shrinkToFit="1"/>
      <protection locked="0"/>
    </xf>
    <xf numFmtId="0" fontId="159" fillId="0" borderId="72" xfId="565" applyFont="1" applyBorder="1" applyAlignment="1" applyProtection="1">
      <alignment horizontal="right" vertical="center"/>
      <protection locked="0"/>
    </xf>
    <xf numFmtId="0" fontId="159" fillId="0" borderId="10" xfId="565" applyFont="1" applyBorder="1" applyAlignment="1" applyProtection="1">
      <alignment horizontal="center" vertical="center"/>
      <protection locked="0"/>
    </xf>
    <xf numFmtId="0" fontId="7" fillId="0" borderId="191" xfId="565" applyFont="1" applyBorder="1" applyAlignment="1" applyProtection="1">
      <alignment horizontal="left" vertical="center"/>
      <protection locked="0"/>
    </xf>
    <xf numFmtId="0" fontId="159" fillId="0" borderId="156" xfId="565" applyFont="1" applyBorder="1" applyAlignment="1" applyProtection="1">
      <alignment horizontal="right" vertical="center"/>
      <protection locked="0"/>
    </xf>
    <xf numFmtId="0" fontId="14" fillId="0" borderId="157" xfId="565" applyFont="1" applyBorder="1" applyAlignment="1" applyProtection="1">
      <alignment horizontal="center" vertical="center" shrinkToFit="1"/>
      <protection locked="0"/>
    </xf>
    <xf numFmtId="0" fontId="159" fillId="0" borderId="157" xfId="565" applyFont="1" applyBorder="1" applyAlignment="1" applyProtection="1">
      <alignment horizontal="center" vertical="center"/>
      <protection locked="0"/>
    </xf>
    <xf numFmtId="0" fontId="14" fillId="0" borderId="0" xfId="565" applyFont="1" applyAlignment="1">
      <alignment horizontal="right" vertical="center"/>
    </xf>
    <xf numFmtId="0" fontId="7" fillId="0" borderId="240" xfId="565" applyFont="1" applyBorder="1" applyAlignment="1" applyProtection="1">
      <alignment horizontal="left" vertical="center"/>
      <protection locked="0"/>
    </xf>
    <xf numFmtId="0" fontId="14" fillId="0" borderId="241" xfId="565" applyFont="1" applyBorder="1" applyAlignment="1" applyProtection="1">
      <alignment horizontal="right" vertical="center"/>
      <protection locked="0"/>
    </xf>
    <xf numFmtId="0" fontId="14" fillId="0" borderId="242" xfId="565" applyFont="1" applyBorder="1" applyAlignment="1" applyProtection="1">
      <alignment horizontal="center" vertical="center"/>
      <protection locked="0"/>
    </xf>
    <xf numFmtId="0" fontId="14" fillId="0" borderId="242" xfId="565" applyFont="1" applyBorder="1" applyAlignment="1" applyProtection="1">
      <alignment horizontal="center" vertical="center" shrinkToFit="1"/>
      <protection locked="0"/>
    </xf>
    <xf numFmtId="0" fontId="14" fillId="0" borderId="242" xfId="566" applyFont="1" applyBorder="1" applyAlignment="1" applyProtection="1">
      <alignment horizontal="center" vertical="center"/>
      <protection locked="0"/>
    </xf>
    <xf numFmtId="0" fontId="14" fillId="0" borderId="243" xfId="565" applyFont="1" applyBorder="1" applyAlignment="1" applyProtection="1">
      <alignment horizontal="center" vertical="center"/>
      <protection locked="0"/>
    </xf>
    <xf numFmtId="0" fontId="14" fillId="0" borderId="244" xfId="565" applyFont="1" applyBorder="1" applyAlignment="1" applyProtection="1">
      <alignment horizontal="center" vertical="center"/>
      <protection locked="0"/>
    </xf>
    <xf numFmtId="0" fontId="14" fillId="0" borderId="245" xfId="565" applyFont="1" applyBorder="1" applyAlignment="1" applyProtection="1">
      <alignment horizontal="center" vertical="center"/>
      <protection locked="0"/>
    </xf>
    <xf numFmtId="0" fontId="14" fillId="0" borderId="246" xfId="565" applyFont="1" applyBorder="1" applyAlignment="1" applyProtection="1">
      <alignment horizontal="center" vertical="center"/>
      <protection locked="0"/>
    </xf>
    <xf numFmtId="0" fontId="14" fillId="0" borderId="243" xfId="565" applyFont="1" applyBorder="1" applyProtection="1">
      <alignment vertical="center"/>
      <protection locked="0"/>
    </xf>
    <xf numFmtId="0" fontId="7" fillId="0" borderId="33" xfId="565" applyFont="1" applyBorder="1" applyAlignment="1" applyProtection="1">
      <alignment horizontal="left" vertical="center"/>
      <protection locked="0"/>
    </xf>
    <xf numFmtId="0" fontId="7" fillId="0" borderId="142" xfId="565" applyFont="1" applyBorder="1" applyAlignment="1" applyProtection="1">
      <alignment horizontal="left" vertical="center"/>
      <protection locked="0"/>
    </xf>
    <xf numFmtId="0" fontId="14" fillId="0" borderId="76" xfId="565" applyFont="1" applyBorder="1" applyAlignment="1" applyProtection="1">
      <alignment horizontal="right" vertical="center"/>
      <protection locked="0"/>
    </xf>
    <xf numFmtId="0" fontId="14" fillId="0" borderId="12" xfId="565" applyFont="1" applyBorder="1" applyAlignment="1" applyProtection="1">
      <alignment horizontal="center" vertical="center"/>
      <protection locked="0"/>
    </xf>
    <xf numFmtId="0" fontId="14" fillId="0" borderId="12" xfId="565" applyFont="1" applyBorder="1" applyAlignment="1" applyProtection="1">
      <alignment horizontal="center" vertical="center" shrinkToFit="1"/>
      <protection locked="0"/>
    </xf>
    <xf numFmtId="0" fontId="14" fillId="0" borderId="12" xfId="566" applyFont="1" applyBorder="1" applyAlignment="1" applyProtection="1">
      <alignment horizontal="center" vertical="center"/>
      <protection locked="0"/>
    </xf>
    <xf numFmtId="0" fontId="14" fillId="0" borderId="182" xfId="565" applyFont="1" applyBorder="1" applyAlignment="1" applyProtection="1">
      <alignment horizontal="center" vertical="center"/>
      <protection locked="0"/>
    </xf>
    <xf numFmtId="0" fontId="14" fillId="0" borderId="183" xfId="565" applyFont="1" applyBorder="1" applyAlignment="1" applyProtection="1">
      <alignment horizontal="center" vertical="center"/>
      <protection locked="0"/>
    </xf>
    <xf numFmtId="0" fontId="14" fillId="0" borderId="184" xfId="565" applyFont="1" applyBorder="1" applyAlignment="1" applyProtection="1">
      <alignment horizontal="center" vertical="center"/>
      <protection locked="0"/>
    </xf>
    <xf numFmtId="0" fontId="14" fillId="0" borderId="247" xfId="565" applyFont="1" applyBorder="1" applyAlignment="1" applyProtection="1">
      <alignment horizontal="center" vertical="center"/>
      <protection locked="0"/>
    </xf>
    <xf numFmtId="0" fontId="14" fillId="0" borderId="182" xfId="565" applyFont="1" applyBorder="1" applyProtection="1">
      <alignment vertical="center"/>
      <protection locked="0"/>
    </xf>
    <xf numFmtId="0" fontId="7" fillId="0" borderId="200" xfId="565" applyFont="1" applyBorder="1" applyAlignment="1" applyProtection="1">
      <alignment horizontal="left" vertical="center"/>
      <protection locked="0"/>
    </xf>
    <xf numFmtId="0" fontId="14" fillId="0" borderId="84" xfId="565" applyFont="1" applyBorder="1" applyAlignment="1" applyProtection="1">
      <alignment horizontal="right" vertical="center"/>
      <protection locked="0"/>
    </xf>
    <xf numFmtId="0" fontId="14" fillId="0" borderId="14" xfId="565" applyFont="1" applyBorder="1" applyAlignment="1" applyProtection="1">
      <alignment horizontal="center" vertical="center"/>
      <protection locked="0"/>
    </xf>
    <xf numFmtId="0" fontId="14" fillId="0" borderId="14" xfId="565" applyFont="1" applyBorder="1" applyAlignment="1" applyProtection="1">
      <alignment horizontal="center" vertical="center" shrinkToFit="1"/>
      <protection locked="0"/>
    </xf>
    <xf numFmtId="0" fontId="14" fillId="0" borderId="14" xfId="566" applyFont="1" applyBorder="1" applyAlignment="1" applyProtection="1">
      <alignment horizontal="center" vertical="center"/>
      <protection locked="0"/>
    </xf>
    <xf numFmtId="0" fontId="14" fillId="0" borderId="165" xfId="565" applyFont="1" applyBorder="1" applyAlignment="1" applyProtection="1">
      <alignment horizontal="center" vertical="center"/>
      <protection locked="0"/>
    </xf>
    <xf numFmtId="0" fontId="14" fillId="0" borderId="72" xfId="565" applyFont="1" applyBorder="1" applyAlignment="1" applyProtection="1">
      <alignment horizontal="right" vertical="center"/>
      <protection locked="0"/>
    </xf>
    <xf numFmtId="0" fontId="14" fillId="4" borderId="12" xfId="565" applyFont="1" applyFill="1" applyBorder="1" applyAlignment="1" applyProtection="1">
      <alignment horizontal="center" vertical="center"/>
      <protection locked="0"/>
    </xf>
    <xf numFmtId="0" fontId="14" fillId="4" borderId="188" xfId="565" applyFont="1" applyFill="1" applyBorder="1" applyProtection="1">
      <alignment vertical="center"/>
      <protection locked="0"/>
    </xf>
    <xf numFmtId="0" fontId="14" fillId="4" borderId="184" xfId="565" applyFont="1" applyFill="1" applyBorder="1" applyAlignment="1" applyProtection="1">
      <alignment horizontal="center" vertical="center"/>
      <protection locked="0"/>
    </xf>
    <xf numFmtId="0" fontId="14" fillId="4" borderId="183" xfId="565" applyFont="1" applyFill="1" applyBorder="1" applyProtection="1">
      <alignment vertical="center"/>
      <protection locked="0"/>
    </xf>
    <xf numFmtId="0" fontId="14" fillId="4" borderId="183" xfId="565" applyFont="1" applyFill="1" applyBorder="1" applyAlignment="1" applyProtection="1">
      <alignment horizontal="center" vertical="center"/>
      <protection locked="0"/>
    </xf>
    <xf numFmtId="0" fontId="14" fillId="4" borderId="247" xfId="565" applyFont="1" applyFill="1" applyBorder="1" applyAlignment="1" applyProtection="1">
      <alignment horizontal="center" vertical="center"/>
      <protection locked="0"/>
    </xf>
    <xf numFmtId="0" fontId="14" fillId="4" borderId="182" xfId="565" applyFont="1" applyFill="1" applyBorder="1" applyProtection="1">
      <alignment vertical="center"/>
      <protection locked="0"/>
    </xf>
    <xf numFmtId="0" fontId="14" fillId="0" borderId="84" xfId="9" applyFont="1" applyBorder="1" applyAlignment="1" applyProtection="1">
      <alignment horizontal="right" vertical="center"/>
      <protection locked="0"/>
    </xf>
    <xf numFmtId="0" fontId="14" fillId="0" borderId="14" xfId="9" applyFont="1" applyBorder="1" applyAlignment="1" applyProtection="1">
      <alignment horizontal="center" vertical="center" shrinkToFit="1"/>
      <protection locked="0"/>
    </xf>
    <xf numFmtId="0" fontId="14" fillId="0" borderId="14" xfId="9" applyFont="1" applyBorder="1" applyAlignment="1" applyProtection="1">
      <alignment horizontal="center" vertical="center"/>
      <protection locked="0"/>
    </xf>
    <xf numFmtId="0" fontId="14" fillId="4" borderId="14" xfId="9" applyFont="1" applyFill="1" applyBorder="1" applyAlignment="1" applyProtection="1">
      <alignment horizontal="center" vertical="center"/>
      <protection locked="0"/>
    </xf>
    <xf numFmtId="0" fontId="14" fillId="4" borderId="165" xfId="9" applyFont="1" applyFill="1" applyBorder="1" applyAlignment="1" applyProtection="1">
      <alignment horizontal="center" vertical="center"/>
      <protection locked="0"/>
    </xf>
    <xf numFmtId="0" fontId="14" fillId="4" borderId="185" xfId="9" applyFont="1" applyFill="1" applyBorder="1" applyAlignment="1" applyProtection="1">
      <alignment horizontal="center" vertical="center"/>
      <protection locked="0"/>
    </xf>
    <xf numFmtId="0" fontId="14" fillId="4" borderId="168" xfId="9" applyFont="1" applyFill="1" applyBorder="1" applyAlignment="1" applyProtection="1">
      <alignment horizontal="center" vertical="center"/>
      <protection locked="0"/>
    </xf>
    <xf numFmtId="0" fontId="14" fillId="4" borderId="169" xfId="9" applyFont="1" applyFill="1" applyBorder="1" applyAlignment="1" applyProtection="1">
      <alignment horizontal="center" vertical="center"/>
      <protection locked="0"/>
    </xf>
    <xf numFmtId="0" fontId="14" fillId="4" borderId="212" xfId="9" applyFont="1" applyFill="1" applyBorder="1" applyAlignment="1" applyProtection="1">
      <alignment horizontal="center" vertical="center"/>
      <protection locked="0"/>
    </xf>
    <xf numFmtId="0" fontId="14" fillId="4" borderId="165" xfId="9" applyFont="1" applyFill="1" applyBorder="1" applyProtection="1">
      <alignment vertical="center"/>
      <protection locked="0"/>
    </xf>
    <xf numFmtId="0" fontId="14" fillId="0" borderId="72" xfId="9" applyFont="1" applyBorder="1" applyAlignment="1" applyProtection="1">
      <alignment horizontal="right" vertical="center"/>
      <protection locked="0"/>
    </xf>
    <xf numFmtId="0" fontId="14" fillId="4" borderId="10" xfId="9" applyFont="1" applyFill="1" applyBorder="1" applyAlignment="1" applyProtection="1">
      <alignment horizontal="center" vertical="center"/>
      <protection locked="0"/>
    </xf>
    <xf numFmtId="0" fontId="14" fillId="4" borderId="173" xfId="9" applyFont="1" applyFill="1" applyBorder="1" applyAlignment="1" applyProtection="1">
      <alignment horizontal="center" vertical="center"/>
      <protection locked="0"/>
    </xf>
    <xf numFmtId="0" fontId="14" fillId="4" borderId="186" xfId="9" applyFont="1" applyFill="1" applyBorder="1" applyAlignment="1" applyProtection="1">
      <alignment horizontal="center" vertical="center"/>
      <protection locked="0"/>
    </xf>
    <xf numFmtId="0" fontId="14" fillId="4" borderId="181" xfId="9" applyFont="1" applyFill="1" applyBorder="1" applyAlignment="1" applyProtection="1">
      <alignment horizontal="center" vertical="center"/>
      <protection locked="0"/>
    </xf>
    <xf numFmtId="0" fontId="14" fillId="4" borderId="180" xfId="9" applyFont="1" applyFill="1" applyBorder="1" applyAlignment="1" applyProtection="1">
      <alignment horizontal="center" vertical="center"/>
      <protection locked="0"/>
    </xf>
    <xf numFmtId="0" fontId="14" fillId="4" borderId="187" xfId="9" applyFont="1" applyFill="1" applyBorder="1" applyAlignment="1" applyProtection="1">
      <alignment horizontal="center" vertical="center"/>
      <protection locked="0"/>
    </xf>
    <xf numFmtId="0" fontId="14" fillId="4" borderId="173" xfId="9" applyFont="1" applyFill="1" applyBorder="1" applyProtection="1">
      <alignment vertical="center"/>
      <protection locked="0"/>
    </xf>
    <xf numFmtId="0" fontId="7" fillId="0" borderId="142" xfId="9" applyFont="1" applyBorder="1" applyAlignment="1" applyProtection="1">
      <alignment horizontal="left" vertical="center"/>
      <protection locked="0"/>
    </xf>
    <xf numFmtId="0" fontId="14" fillId="0" borderId="76" xfId="9" applyFont="1" applyBorder="1" applyAlignment="1" applyProtection="1">
      <alignment horizontal="right" vertical="center"/>
      <protection locked="0"/>
    </xf>
    <xf numFmtId="0" fontId="14" fillId="0" borderId="12" xfId="9" applyFont="1" applyBorder="1" applyAlignment="1" applyProtection="1">
      <alignment horizontal="center" vertical="center" shrinkToFit="1"/>
      <protection locked="0"/>
    </xf>
    <xf numFmtId="0" fontId="14" fillId="0" borderId="12" xfId="9" applyFont="1" applyBorder="1" applyAlignment="1" applyProtection="1">
      <alignment horizontal="center" vertical="center"/>
      <protection locked="0"/>
    </xf>
    <xf numFmtId="0" fontId="14" fillId="4" borderId="12" xfId="9" applyFont="1" applyFill="1" applyBorder="1" applyAlignment="1" applyProtection="1">
      <alignment horizontal="center" vertical="center"/>
      <protection locked="0"/>
    </xf>
    <xf numFmtId="0" fontId="14" fillId="4" borderId="182" xfId="9" applyFont="1" applyFill="1" applyBorder="1" applyAlignment="1" applyProtection="1">
      <alignment horizontal="center" vertical="center"/>
      <protection locked="0"/>
    </xf>
    <xf numFmtId="0" fontId="14" fillId="4" borderId="188" xfId="9" applyFont="1" applyFill="1" applyBorder="1" applyAlignment="1" applyProtection="1">
      <alignment horizontal="center" vertical="center"/>
      <protection locked="0"/>
    </xf>
    <xf numFmtId="0" fontId="14" fillId="4" borderId="184" xfId="9" applyFont="1" applyFill="1" applyBorder="1" applyAlignment="1" applyProtection="1">
      <alignment horizontal="center" vertical="center"/>
      <protection locked="0"/>
    </xf>
    <xf numFmtId="0" fontId="14" fillId="4" borderId="183" xfId="9" applyFont="1" applyFill="1" applyBorder="1" applyAlignment="1" applyProtection="1">
      <alignment horizontal="center" vertical="center"/>
      <protection locked="0"/>
    </xf>
    <xf numFmtId="0" fontId="14" fillId="4" borderId="247" xfId="9" applyFont="1" applyFill="1" applyBorder="1" applyAlignment="1" applyProtection="1">
      <alignment horizontal="center" vertical="center"/>
      <protection locked="0"/>
    </xf>
    <xf numFmtId="0" fontId="14" fillId="4" borderId="182" xfId="9" applyFont="1" applyFill="1" applyBorder="1" applyProtection="1">
      <alignment vertical="center"/>
      <protection locked="0"/>
    </xf>
    <xf numFmtId="0" fontId="14" fillId="0" borderId="167" xfId="565" applyFont="1" applyBorder="1" applyProtection="1">
      <alignment vertical="center"/>
      <protection locked="0"/>
    </xf>
    <xf numFmtId="0" fontId="14" fillId="0" borderId="172" xfId="565" applyFont="1" applyBorder="1" applyProtection="1">
      <alignment vertical="center"/>
      <protection locked="0"/>
    </xf>
    <xf numFmtId="0" fontId="14" fillId="0" borderId="190" xfId="565" applyFont="1" applyBorder="1" applyProtection="1">
      <alignment vertical="center"/>
      <protection locked="0"/>
    </xf>
    <xf numFmtId="0" fontId="14" fillId="0" borderId="71" xfId="565" applyFont="1" applyBorder="1" applyAlignment="1" applyProtection="1">
      <alignment horizontal="center" vertical="center" shrinkToFit="1"/>
      <protection locked="0"/>
    </xf>
    <xf numFmtId="0" fontId="14" fillId="0" borderId="71" xfId="565" applyFont="1" applyBorder="1" applyAlignment="1" applyProtection="1">
      <alignment horizontal="center" vertical="center"/>
      <protection locked="0"/>
    </xf>
    <xf numFmtId="0" fontId="14" fillId="0" borderId="45" xfId="565" applyFont="1" applyBorder="1" applyAlignment="1" applyProtection="1">
      <alignment horizontal="center" vertical="center"/>
      <protection locked="0"/>
    </xf>
    <xf numFmtId="0" fontId="14" fillId="0" borderId="44" xfId="565" applyFont="1" applyBorder="1" applyAlignment="1" applyProtection="1">
      <alignment horizontal="center" vertical="center"/>
      <protection locked="0"/>
    </xf>
    <xf numFmtId="0" fontId="14" fillId="0" borderId="209" xfId="565" applyFont="1" applyBorder="1" applyAlignment="1" applyProtection="1">
      <alignment horizontal="center" vertical="center"/>
      <protection locked="0"/>
    </xf>
    <xf numFmtId="0" fontId="14" fillId="0" borderId="186" xfId="565" applyFont="1" applyBorder="1" applyProtection="1">
      <alignment vertical="center"/>
      <protection locked="0"/>
    </xf>
    <xf numFmtId="0" fontId="14" fillId="0" borderId="180" xfId="565" applyFont="1" applyBorder="1" applyProtection="1">
      <alignment vertical="center"/>
      <protection locked="0"/>
    </xf>
    <xf numFmtId="0" fontId="14" fillId="0" borderId="187" xfId="565" applyFont="1" applyBorder="1" applyProtection="1">
      <alignment vertical="center"/>
      <protection locked="0"/>
    </xf>
    <xf numFmtId="0" fontId="14" fillId="0" borderId="8" xfId="565" applyFont="1" applyBorder="1" applyAlignment="1" applyProtection="1">
      <alignment horizontal="right" vertical="center"/>
      <protection locked="0"/>
    </xf>
    <xf numFmtId="0" fontId="14" fillId="0" borderId="145" xfId="565" applyFont="1" applyBorder="1" applyAlignment="1" applyProtection="1">
      <alignment horizontal="center" vertical="center"/>
      <protection locked="0"/>
    </xf>
    <xf numFmtId="0" fontId="14" fillId="0" borderId="188" xfId="565" applyFont="1" applyBorder="1" applyProtection="1">
      <alignment vertical="center"/>
      <protection locked="0"/>
    </xf>
    <xf numFmtId="0" fontId="14" fillId="0" borderId="183" xfId="565" applyFont="1" applyBorder="1" applyProtection="1">
      <alignment vertical="center"/>
      <protection locked="0"/>
    </xf>
    <xf numFmtId="0" fontId="14" fillId="0" borderId="247" xfId="565" applyFont="1" applyBorder="1" applyProtection="1">
      <alignment vertical="center"/>
      <protection locked="0"/>
    </xf>
    <xf numFmtId="0" fontId="14" fillId="0" borderId="45" xfId="565" applyFont="1" applyBorder="1" applyProtection="1">
      <alignment vertical="center"/>
      <protection locked="0"/>
    </xf>
    <xf numFmtId="0" fontId="14" fillId="0" borderId="145" xfId="565" applyFont="1" applyBorder="1" applyProtection="1">
      <alignment vertical="center"/>
      <protection locked="0"/>
    </xf>
    <xf numFmtId="0" fontId="14" fillId="0" borderId="58" xfId="9" applyFont="1" applyBorder="1" applyAlignment="1" applyProtection="1">
      <alignment horizontal="right" vertical="center" shrinkToFit="1"/>
      <protection locked="0"/>
    </xf>
    <xf numFmtId="0" fontId="14" fillId="3" borderId="167" xfId="9" applyFont="1" applyFill="1" applyBorder="1" applyAlignment="1" applyProtection="1">
      <alignment horizontal="center" vertical="center"/>
      <protection locked="0"/>
    </xf>
    <xf numFmtId="0" fontId="14" fillId="3" borderId="181" xfId="9" applyFont="1" applyFill="1" applyBorder="1" applyAlignment="1" applyProtection="1">
      <alignment horizontal="center" vertical="center"/>
      <protection locked="0"/>
    </xf>
    <xf numFmtId="0" fontId="14" fillId="3" borderId="180" xfId="9" applyFont="1" applyFill="1" applyBorder="1" applyAlignment="1" applyProtection="1">
      <alignment horizontal="center" vertical="center"/>
      <protection locked="0"/>
    </xf>
    <xf numFmtId="0" fontId="14" fillId="3" borderId="168" xfId="9" applyFont="1" applyFill="1" applyBorder="1" applyAlignment="1" applyProtection="1">
      <alignment horizontal="center" vertical="center"/>
      <protection locked="0"/>
    </xf>
    <xf numFmtId="0" fontId="14" fillId="4" borderId="181" xfId="565" applyFont="1" applyFill="1" applyBorder="1" applyAlignment="1" applyProtection="1">
      <alignment horizontal="center" vertical="center"/>
      <protection locked="0"/>
    </xf>
    <xf numFmtId="0" fontId="14" fillId="0" borderId="248" xfId="565" applyFont="1" applyBorder="1" applyAlignment="1" applyProtection="1">
      <alignment horizontal="right" vertical="center"/>
      <protection locked="0"/>
    </xf>
    <xf numFmtId="0" fontId="14" fillId="0" borderId="174" xfId="566" applyFont="1" applyBorder="1" applyAlignment="1" applyProtection="1">
      <alignment horizontal="center" vertical="center"/>
      <protection locked="0"/>
    </xf>
    <xf numFmtId="0" fontId="14" fillId="0" borderId="174" xfId="565" applyFont="1" applyBorder="1" applyAlignment="1" applyProtection="1">
      <alignment horizontal="center" vertical="center"/>
      <protection locked="0"/>
    </xf>
    <xf numFmtId="0" fontId="14" fillId="0" borderId="175" xfId="565" applyFont="1" applyBorder="1" applyAlignment="1" applyProtection="1">
      <alignment horizontal="center" vertical="center"/>
      <protection locked="0"/>
    </xf>
    <xf numFmtId="0" fontId="14" fillId="0" borderId="178" xfId="565" applyFont="1" applyBorder="1" applyAlignment="1" applyProtection="1">
      <alignment horizontal="center" vertical="center"/>
      <protection locked="0"/>
    </xf>
    <xf numFmtId="0" fontId="14" fillId="0" borderId="177" xfId="565" applyFont="1" applyBorder="1" applyAlignment="1" applyProtection="1">
      <alignment horizontal="center" vertical="center"/>
      <protection locked="0"/>
    </xf>
    <xf numFmtId="0" fontId="14" fillId="0" borderId="249" xfId="565" applyFont="1" applyBorder="1" applyAlignment="1" applyProtection="1">
      <alignment horizontal="center" vertical="center"/>
      <protection locked="0"/>
    </xf>
    <xf numFmtId="0" fontId="14" fillId="0" borderId="175" xfId="565" applyFont="1" applyBorder="1" applyProtection="1">
      <alignment vertical="center"/>
      <protection locked="0"/>
    </xf>
    <xf numFmtId="0" fontId="160" fillId="0" borderId="0" xfId="572" applyFont="1" applyProtection="1">
      <alignment vertical="center"/>
      <protection locked="0"/>
    </xf>
    <xf numFmtId="0" fontId="170" fillId="0" borderId="0" xfId="572" applyFont="1">
      <alignment vertical="center"/>
    </xf>
    <xf numFmtId="0" fontId="160" fillId="0" borderId="0" xfId="572" applyFont="1">
      <alignment vertical="center"/>
    </xf>
    <xf numFmtId="0" fontId="14" fillId="7" borderId="72" xfId="565" applyFont="1" applyFill="1" applyBorder="1" applyAlignment="1">
      <alignment horizontal="right" vertical="center"/>
    </xf>
    <xf numFmtId="0" fontId="14" fillId="7" borderId="10" xfId="565" applyFont="1" applyFill="1" applyBorder="1" applyAlignment="1">
      <alignment horizontal="center" vertical="center"/>
    </xf>
    <xf numFmtId="0" fontId="14" fillId="7" borderId="10" xfId="565" applyFont="1" applyFill="1" applyBorder="1" applyAlignment="1">
      <alignment horizontal="center" vertical="center" shrinkToFit="1"/>
    </xf>
    <xf numFmtId="0" fontId="14" fillId="7" borderId="10" xfId="566" applyFont="1" applyFill="1" applyBorder="1" applyAlignment="1" applyProtection="1">
      <alignment horizontal="center" vertical="center"/>
      <protection locked="0"/>
    </xf>
    <xf numFmtId="0" fontId="14" fillId="7" borderId="186" xfId="9" applyFont="1" applyFill="1" applyBorder="1" applyAlignment="1" applyProtection="1">
      <alignment horizontal="center" vertical="center"/>
      <protection locked="0"/>
    </xf>
    <xf numFmtId="0" fontId="14" fillId="7" borderId="181" xfId="9" applyFont="1" applyFill="1" applyBorder="1" applyAlignment="1" applyProtection="1">
      <alignment horizontal="center" vertical="center"/>
      <protection locked="0"/>
    </xf>
    <xf numFmtId="0" fontId="14" fillId="7" borderId="180" xfId="9" applyFont="1" applyFill="1" applyBorder="1" applyAlignment="1" applyProtection="1">
      <alignment horizontal="center" vertical="center"/>
      <protection locked="0"/>
    </xf>
    <xf numFmtId="0" fontId="14" fillId="7" borderId="180" xfId="565" applyFont="1" applyFill="1" applyBorder="1" applyAlignment="1" applyProtection="1">
      <alignment horizontal="center" vertical="center"/>
      <protection locked="0"/>
    </xf>
    <xf numFmtId="0" fontId="14" fillId="7" borderId="187" xfId="9" applyFont="1" applyFill="1" applyBorder="1" applyAlignment="1" applyProtection="1">
      <alignment horizontal="center" vertical="center"/>
      <protection locked="0"/>
    </xf>
    <xf numFmtId="0" fontId="14" fillId="7" borderId="173" xfId="565" applyFont="1" applyFill="1" applyBorder="1" applyAlignment="1" applyProtection="1">
      <alignment vertical="center" shrinkToFit="1"/>
      <protection locked="0"/>
    </xf>
    <xf numFmtId="0" fontId="5" fillId="0" borderId="0" xfId="0" applyFont="1" applyAlignment="1">
      <alignment horizontal="center"/>
    </xf>
    <xf numFmtId="0" fontId="3" fillId="0" borderId="202" xfId="0" applyFont="1" applyBorder="1"/>
    <xf numFmtId="0" fontId="13" fillId="0" borderId="250" xfId="0" applyFont="1" applyBorder="1" applyAlignment="1">
      <alignment vertical="center" shrinkToFit="1"/>
    </xf>
    <xf numFmtId="0" fontId="13" fillId="0" borderId="70" xfId="0" applyFont="1" applyBorder="1" applyAlignment="1">
      <alignment vertical="center" shrinkToFit="1"/>
    </xf>
    <xf numFmtId="178" fontId="13" fillId="0" borderId="0" xfId="0" applyNumberFormat="1" applyFont="1" applyBorder="1" applyAlignment="1">
      <alignment vertical="center" shrinkToFit="1"/>
    </xf>
    <xf numFmtId="176" fontId="13" fillId="0" borderId="0" xfId="563" applyNumberFormat="1" applyFont="1" applyBorder="1" applyAlignment="1">
      <alignment vertical="center" shrinkToFit="1"/>
    </xf>
    <xf numFmtId="10" fontId="13" fillId="0" borderId="0" xfId="0" applyNumberFormat="1" applyFont="1" applyBorder="1" applyAlignment="1">
      <alignment vertical="center" shrinkToFit="1"/>
    </xf>
    <xf numFmtId="228" fontId="13" fillId="0" borderId="0" xfId="0" applyNumberFormat="1" applyFont="1" applyBorder="1" applyAlignment="1">
      <alignment vertical="center" shrinkToFit="1"/>
    </xf>
    <xf numFmtId="229" fontId="13" fillId="0" borderId="250" xfId="0" applyNumberFormat="1" applyFont="1" applyBorder="1" applyAlignment="1">
      <alignment vertical="center" shrinkToFit="1"/>
    </xf>
    <xf numFmtId="10" fontId="13" fillId="0" borderId="250" xfId="563" applyNumberFormat="1" applyFont="1" applyBorder="1" applyAlignment="1">
      <alignment vertical="center" shrinkToFit="1"/>
    </xf>
    <xf numFmtId="10" fontId="13" fillId="0" borderId="250" xfId="0" applyNumberFormat="1" applyFont="1" applyBorder="1" applyAlignment="1">
      <alignment vertical="center" shrinkToFit="1"/>
    </xf>
    <xf numFmtId="0" fontId="173" fillId="0" borderId="0" xfId="0" applyFont="1" applyAlignment="1">
      <alignment horizontal="right"/>
    </xf>
    <xf numFmtId="14" fontId="6" fillId="0" borderId="0" xfId="0" applyNumberFormat="1" applyFont="1" applyAlignment="1">
      <alignment horizontal="right" vertical="center"/>
    </xf>
    <xf numFmtId="0" fontId="173" fillId="0" borderId="0" xfId="0" applyFont="1"/>
    <xf numFmtId="14" fontId="31" fillId="0" borderId="0" xfId="0" applyNumberFormat="1" applyFont="1" applyAlignment="1">
      <alignment horizontal="right"/>
    </xf>
    <xf numFmtId="49" fontId="6" fillId="0" borderId="15" xfId="0" applyNumberFormat="1" applyFont="1" applyBorder="1" applyAlignment="1">
      <alignment horizontal="center" vertical="center" shrinkToFit="1"/>
    </xf>
    <xf numFmtId="230" fontId="173" fillId="61" borderId="0" xfId="0" applyNumberFormat="1" applyFont="1" applyFill="1"/>
    <xf numFmtId="231" fontId="173" fillId="61" borderId="0" xfId="0" applyNumberFormat="1" applyFont="1" applyFill="1"/>
    <xf numFmtId="14" fontId="6" fillId="0" borderId="0" xfId="0" applyNumberFormat="1" applyFont="1" applyBorder="1" applyAlignment="1">
      <alignment horizontal="right" vertical="center"/>
    </xf>
    <xf numFmtId="14" fontId="31" fillId="0" borderId="0" xfId="0" applyNumberFormat="1" applyFont="1" applyBorder="1" applyAlignment="1">
      <alignment horizontal="right"/>
    </xf>
    <xf numFmtId="0" fontId="6" fillId="0" borderId="0" xfId="0" applyFont="1" applyBorder="1" applyAlignment="1">
      <alignment horizontal="right" vertical="center"/>
    </xf>
    <xf numFmtId="14" fontId="3" fillId="0" borderId="0" xfId="0" applyNumberFormat="1" applyFont="1" applyAlignment="1">
      <alignment vertical="center"/>
    </xf>
    <xf numFmtId="0" fontId="6" fillId="0" borderId="0" xfId="0" applyFont="1" applyAlignment="1">
      <alignment horizontal="right" vertical="center"/>
    </xf>
    <xf numFmtId="56" fontId="5" fillId="0" borderId="0" xfId="0" applyNumberFormat="1" applyFont="1" applyBorder="1" applyAlignment="1" applyProtection="1">
      <alignment vertical="center" shrinkToFit="1"/>
      <protection locked="0"/>
    </xf>
    <xf numFmtId="56" fontId="5" fillId="0" borderId="0" xfId="0" applyNumberFormat="1" applyFont="1" applyBorder="1" applyAlignment="1" applyProtection="1">
      <alignment vertical="center"/>
      <protection locked="0"/>
    </xf>
    <xf numFmtId="56" fontId="5" fillId="0" borderId="250" xfId="0" applyNumberFormat="1" applyFont="1" applyBorder="1" applyAlignment="1" applyProtection="1">
      <alignment vertical="center"/>
      <protection locked="0"/>
    </xf>
    <xf numFmtId="0" fontId="27" fillId="0" borderId="33" xfId="8" applyFont="1" applyBorder="1"/>
    <xf numFmtId="49" fontId="6" fillId="0" borderId="253" xfId="0" applyNumberFormat="1" applyFont="1" applyBorder="1" applyAlignment="1">
      <alignment horizontal="center" vertical="center" shrinkToFit="1"/>
    </xf>
    <xf numFmtId="49" fontId="6" fillId="0" borderId="138" xfId="0" applyNumberFormat="1" applyFont="1" applyBorder="1" applyAlignment="1">
      <alignment horizontal="center" vertical="center" shrinkToFit="1"/>
    </xf>
    <xf numFmtId="56" fontId="5" fillId="0" borderId="250" xfId="0" applyNumberFormat="1" applyFont="1" applyBorder="1" applyAlignment="1" applyProtection="1">
      <alignment horizontal="left" vertical="center"/>
      <protection locked="0"/>
    </xf>
    <xf numFmtId="14" fontId="3" fillId="0" borderId="0" xfId="0" applyNumberFormat="1" applyFont="1" applyAlignment="1">
      <alignment horizontal="right" vertical="center"/>
    </xf>
    <xf numFmtId="0" fontId="0" fillId="0" borderId="0" xfId="0" quotePrefix="1" applyAlignment="1">
      <alignment vertical="center"/>
    </xf>
    <xf numFmtId="49" fontId="29" fillId="0" borderId="197" xfId="8" applyNumberFormat="1" applyFont="1" applyBorder="1" applyAlignment="1">
      <alignment horizontal="center" vertical="center" shrinkToFit="1"/>
    </xf>
    <xf numFmtId="49" fontId="29" fillId="0" borderId="207" xfId="8" applyNumberFormat="1" applyFont="1" applyBorder="1" applyAlignment="1">
      <alignment horizontal="center" vertical="center" shrinkToFit="1"/>
    </xf>
    <xf numFmtId="49" fontId="29" fillId="0" borderId="206" xfId="8" applyNumberFormat="1" applyFont="1" applyBorder="1" applyAlignment="1">
      <alignment horizontal="center" vertical="center" shrinkToFit="1"/>
    </xf>
    <xf numFmtId="49" fontId="52" fillId="0" borderId="207" xfId="7" applyNumberFormat="1" applyFont="1" applyBorder="1" applyAlignment="1">
      <alignment horizontal="center" vertical="center" shrinkToFit="1"/>
    </xf>
    <xf numFmtId="49" fontId="5" fillId="0" borderId="206" xfId="11" applyNumberFormat="1" applyFont="1" applyBorder="1" applyAlignment="1">
      <alignment horizontal="center" vertical="center" shrinkToFit="1"/>
    </xf>
    <xf numFmtId="49" fontId="14" fillId="0" borderId="207" xfId="11" applyNumberFormat="1" applyFont="1" applyBorder="1" applyAlignment="1">
      <alignment horizontal="center" vertical="center" shrinkToFit="1"/>
    </xf>
    <xf numFmtId="0" fontId="0" fillId="0" borderId="0" xfId="0" applyAlignment="1">
      <alignment horizontal="center" vertical="center"/>
    </xf>
    <xf numFmtId="49" fontId="0" fillId="0" borderId="0" xfId="0" applyNumberFormat="1" applyBorder="1" applyAlignment="1">
      <alignment horizontal="left" vertical="center"/>
    </xf>
    <xf numFmtId="49" fontId="6" fillId="0" borderId="58" xfId="0" applyNumberFormat="1" applyFont="1" applyBorder="1" applyAlignment="1">
      <alignment horizontal="center" vertical="center" wrapText="1"/>
    </xf>
    <xf numFmtId="0" fontId="0" fillId="0" borderId="10" xfId="0" applyBorder="1" applyAlignment="1">
      <alignment horizontal="center" vertical="center"/>
    </xf>
    <xf numFmtId="49" fontId="31" fillId="0" borderId="10" xfId="0" applyNumberFormat="1" applyFont="1" applyBorder="1" applyAlignment="1">
      <alignment horizontal="center" vertical="center" shrinkToFit="1"/>
    </xf>
    <xf numFmtId="0" fontId="5" fillId="0" borderId="250" xfId="0" applyFont="1" applyBorder="1"/>
    <xf numFmtId="0" fontId="5" fillId="7" borderId="39" xfId="8" applyFont="1" applyFill="1" applyBorder="1" applyAlignment="1">
      <alignment vertical="center" shrinkToFit="1"/>
    </xf>
    <xf numFmtId="0" fontId="14" fillId="7" borderId="40" xfId="8" applyFont="1" applyFill="1" applyBorder="1" applyAlignment="1">
      <alignment horizontal="center" vertical="center" shrinkToFit="1"/>
    </xf>
    <xf numFmtId="49" fontId="29" fillId="7" borderId="26" xfId="8" applyNumberFormat="1" applyFont="1" applyFill="1" applyBorder="1" applyAlignment="1">
      <alignment horizontal="center" vertical="center" shrinkToFit="1"/>
    </xf>
    <xf numFmtId="49" fontId="29" fillId="7" borderId="41" xfId="8" applyNumberFormat="1" applyFont="1" applyFill="1" applyBorder="1" applyAlignment="1">
      <alignment horizontal="center" vertical="center" shrinkToFit="1"/>
    </xf>
    <xf numFmtId="49" fontId="52" fillId="7" borderId="41" xfId="7" applyNumberFormat="1" applyFont="1" applyFill="1" applyBorder="1" applyAlignment="1">
      <alignment horizontal="center" vertical="center" shrinkToFit="1"/>
    </xf>
    <xf numFmtId="0" fontId="14" fillId="7" borderId="40" xfId="8" applyFont="1" applyFill="1" applyBorder="1" applyAlignment="1">
      <alignment horizontal="left" vertical="center" shrinkToFit="1"/>
    </xf>
    <xf numFmtId="0" fontId="5" fillId="7" borderId="42" xfId="8" applyFont="1" applyFill="1" applyBorder="1" applyAlignment="1">
      <alignment vertical="center" shrinkToFit="1"/>
    </xf>
    <xf numFmtId="176" fontId="5" fillId="4" borderId="2" xfId="0" applyNumberFormat="1" applyFont="1" applyFill="1" applyBorder="1" applyAlignment="1">
      <alignment horizontal="center" vertical="center"/>
    </xf>
    <xf numFmtId="176" fontId="5" fillId="0" borderId="2" xfId="0" applyNumberFormat="1" applyFont="1" applyBorder="1" applyAlignment="1">
      <alignment horizontal="center" vertical="center"/>
    </xf>
    <xf numFmtId="176" fontId="5" fillId="0" borderId="254" xfId="0" applyNumberFormat="1" applyFont="1" applyBorder="1" applyAlignment="1">
      <alignment horizontal="center" vertical="center"/>
    </xf>
    <xf numFmtId="182" fontId="3" fillId="0" borderId="254" xfId="0" applyNumberFormat="1" applyFont="1" applyBorder="1" applyAlignment="1">
      <alignment horizontal="center" vertical="center"/>
    </xf>
    <xf numFmtId="14" fontId="31" fillId="0" borderId="13" xfId="0" applyNumberFormat="1" applyFont="1" applyBorder="1" applyAlignment="1">
      <alignment horizontal="right"/>
    </xf>
    <xf numFmtId="49" fontId="0" fillId="0" borderId="13" xfId="0" applyNumberFormat="1" applyBorder="1"/>
    <xf numFmtId="14" fontId="31" fillId="0" borderId="204" xfId="0" applyNumberFormat="1" applyFont="1" applyBorder="1" applyAlignment="1">
      <alignment horizontal="right"/>
    </xf>
    <xf numFmtId="49" fontId="0" fillId="0" borderId="204" xfId="0" applyNumberFormat="1" applyBorder="1"/>
    <xf numFmtId="14" fontId="6" fillId="0" borderId="204" xfId="0" applyNumberFormat="1" applyFont="1" applyBorder="1" applyAlignment="1">
      <alignment horizontal="right"/>
    </xf>
    <xf numFmtId="49" fontId="0" fillId="0" borderId="71" xfId="0" applyNumberFormat="1" applyBorder="1"/>
    <xf numFmtId="49" fontId="0" fillId="0" borderId="127" xfId="0" applyNumberFormat="1" applyBorder="1"/>
    <xf numFmtId="49" fontId="0" fillId="0" borderId="0" xfId="0" applyNumberFormat="1" applyBorder="1"/>
    <xf numFmtId="14" fontId="6" fillId="0" borderId="204" xfId="0" applyNumberFormat="1" applyFont="1" applyBorder="1" applyAlignment="1">
      <alignment vertical="center"/>
    </xf>
    <xf numFmtId="0" fontId="0" fillId="0" borderId="0" xfId="0" applyBorder="1"/>
    <xf numFmtId="14" fontId="6" fillId="0" borderId="71" xfId="0" applyNumberFormat="1" applyFont="1" applyBorder="1" applyAlignment="1">
      <alignment vertical="center"/>
    </xf>
    <xf numFmtId="49" fontId="6" fillId="0" borderId="72" xfId="0" applyNumberFormat="1" applyFont="1" applyBorder="1" applyAlignment="1">
      <alignment horizontal="center" vertical="center" shrinkToFit="1"/>
    </xf>
    <xf numFmtId="0" fontId="182" fillId="0" borderId="0" xfId="0" applyFont="1" applyBorder="1" applyAlignment="1">
      <alignment horizontal="center" vertical="center"/>
    </xf>
    <xf numFmtId="0" fontId="185" fillId="0" borderId="0" xfId="0" applyFont="1" applyAlignment="1">
      <alignment vertical="center"/>
    </xf>
    <xf numFmtId="49" fontId="6" fillId="0" borderId="73" xfId="0" applyNumberFormat="1" applyFont="1" applyBorder="1" applyAlignment="1">
      <alignment horizontal="center" vertical="center" shrinkToFit="1"/>
    </xf>
    <xf numFmtId="49" fontId="6" fillId="0" borderId="19" xfId="0" applyNumberFormat="1" applyFont="1" applyBorder="1" applyAlignment="1">
      <alignment horizontal="center" vertical="center" shrinkToFit="1"/>
    </xf>
    <xf numFmtId="49" fontId="6" fillId="0" borderId="79" xfId="0" applyNumberFormat="1" applyFont="1" applyBorder="1" applyAlignment="1">
      <alignment horizontal="center" vertical="center" shrinkToFit="1"/>
    </xf>
    <xf numFmtId="0" fontId="6" fillId="0" borderId="79" xfId="0" applyFont="1" applyBorder="1" applyAlignment="1">
      <alignment horizontal="center"/>
    </xf>
    <xf numFmtId="0" fontId="6" fillId="0" borderId="81" xfId="0" applyFont="1" applyBorder="1" applyAlignment="1">
      <alignment horizontal="center"/>
    </xf>
    <xf numFmtId="0" fontId="5" fillId="2" borderId="13" xfId="1" applyNumberFormat="1" applyFont="1" applyFill="1" applyBorder="1" applyAlignment="1">
      <alignment horizontal="center" vertical="center"/>
    </xf>
    <xf numFmtId="49" fontId="33" fillId="0" borderId="72" xfId="0" applyNumberFormat="1" applyFont="1" applyBorder="1" applyAlignment="1">
      <alignment horizontal="center" vertical="center" shrinkToFit="1"/>
    </xf>
    <xf numFmtId="0" fontId="33" fillId="0" borderId="72" xfId="0" applyFont="1" applyBorder="1" applyAlignment="1">
      <alignment horizontal="center" vertical="center" shrinkToFit="1"/>
    </xf>
    <xf numFmtId="0" fontId="0" fillId="4" borderId="0" xfId="0" applyFill="1"/>
    <xf numFmtId="0" fontId="5" fillId="2" borderId="199" xfId="0" applyFont="1" applyFill="1" applyBorder="1" applyAlignment="1">
      <alignment horizontal="center" vertical="center"/>
    </xf>
    <xf numFmtId="0" fontId="5" fillId="2" borderId="13" xfId="0" applyFont="1" applyFill="1" applyBorder="1" applyAlignment="1">
      <alignment horizontal="center" vertical="center"/>
    </xf>
    <xf numFmtId="0" fontId="24" fillId="0" borderId="1" xfId="0" applyFont="1" applyBorder="1"/>
    <xf numFmtId="0" fontId="5" fillId="0" borderId="47" xfId="0" applyFont="1" applyBorder="1" applyAlignment="1" applyProtection="1">
      <alignment horizontal="center" vertical="center"/>
      <protection locked="0"/>
    </xf>
    <xf numFmtId="0" fontId="0" fillId="0" borderId="47" xfId="0" applyBorder="1" applyAlignment="1">
      <alignment horizontal="center" vertical="center"/>
    </xf>
    <xf numFmtId="0" fontId="5" fillId="0" borderId="2" xfId="0" applyFont="1" applyBorder="1" applyAlignment="1" applyProtection="1">
      <alignment horizontal="center" vertical="center"/>
      <protection locked="0"/>
    </xf>
    <xf numFmtId="0" fontId="0" fillId="0" borderId="2" xfId="0" applyBorder="1" applyAlignment="1">
      <alignment horizontal="center" vertical="center"/>
    </xf>
    <xf numFmtId="0" fontId="54" fillId="0" borderId="21" xfId="0" applyFont="1" applyBorder="1" applyAlignment="1" applyProtection="1">
      <alignment horizontal="center" vertical="center"/>
      <protection hidden="1"/>
    </xf>
    <xf numFmtId="0" fontId="54" fillId="0" borderId="47" xfId="0" applyFont="1" applyBorder="1" applyAlignment="1" applyProtection="1">
      <alignment horizontal="center" vertical="center"/>
      <protection hidden="1"/>
    </xf>
    <xf numFmtId="0" fontId="54" fillId="0" borderId="47" xfId="0" quotePrefix="1" applyFont="1" applyBorder="1" applyAlignment="1" applyProtection="1">
      <alignment horizontal="center" vertical="center"/>
      <protection hidden="1"/>
    </xf>
    <xf numFmtId="0" fontId="54" fillId="0" borderId="4" xfId="0" quotePrefix="1" applyFont="1" applyBorder="1" applyAlignment="1" applyProtection="1">
      <alignment horizontal="center" vertical="center"/>
      <protection hidden="1"/>
    </xf>
    <xf numFmtId="234" fontId="5" fillId="0" borderId="0" xfId="0" applyNumberFormat="1" applyFont="1" applyAlignment="1" applyProtection="1">
      <alignment horizontal="center" vertical="center"/>
      <protection locked="0"/>
    </xf>
    <xf numFmtId="31" fontId="5" fillId="0" borderId="0" xfId="0" applyNumberFormat="1" applyFont="1" applyAlignment="1" applyProtection="1">
      <alignment horizontal="center" vertical="center"/>
      <protection locked="0"/>
    </xf>
    <xf numFmtId="0" fontId="5" fillId="0" borderId="0" xfId="0" applyFont="1" applyAlignment="1" applyProtection="1">
      <alignment horizontal="center" vertical="center"/>
      <protection locked="0"/>
    </xf>
    <xf numFmtId="0" fontId="5" fillId="0" borderId="21" xfId="0" applyFont="1" applyBorder="1" applyAlignment="1" applyProtection="1">
      <alignment horizontal="center" vertical="center"/>
      <protection locked="0"/>
    </xf>
    <xf numFmtId="0" fontId="5" fillId="0" borderId="134" xfId="0" applyFont="1" applyBorder="1" applyAlignment="1" applyProtection="1">
      <alignment horizontal="center" vertical="center"/>
      <protection locked="0"/>
    </xf>
    <xf numFmtId="0" fontId="5" fillId="0" borderId="22" xfId="0" applyFont="1" applyBorder="1" applyAlignment="1">
      <alignment horizontal="center" vertical="center"/>
    </xf>
    <xf numFmtId="0" fontId="5" fillId="0" borderId="4" xfId="0" applyFont="1" applyBorder="1" applyAlignment="1">
      <alignment horizontal="center" vertical="center"/>
    </xf>
    <xf numFmtId="0" fontId="5" fillId="0" borderId="2" xfId="0" applyFont="1" applyBorder="1" applyAlignment="1">
      <alignment horizontal="center" vertical="center"/>
    </xf>
    <xf numFmtId="0" fontId="5" fillId="0" borderId="0" xfId="0" applyFont="1" applyAlignment="1">
      <alignment horizontal="left" vertical="center"/>
    </xf>
    <xf numFmtId="0" fontId="24" fillId="0" borderId="0" xfId="0" applyFont="1" applyAlignment="1">
      <alignment horizontal="center" vertical="center"/>
    </xf>
    <xf numFmtId="56" fontId="5" fillId="0" borderId="0" xfId="0" applyNumberFormat="1" applyFont="1" applyBorder="1" applyAlignment="1" applyProtection="1">
      <alignment vertical="center" shrinkToFit="1"/>
      <protection locked="0"/>
    </xf>
    <xf numFmtId="0" fontId="5" fillId="0" borderId="0" xfId="0" applyFont="1" applyBorder="1" applyAlignment="1" applyProtection="1">
      <alignment vertical="center" shrinkToFit="1"/>
      <protection locked="0"/>
    </xf>
    <xf numFmtId="0" fontId="5" fillId="0" borderId="250" xfId="0" applyFont="1" applyBorder="1" applyAlignment="1" applyProtection="1">
      <alignment vertical="center" shrinkToFit="1"/>
      <protection locked="0"/>
    </xf>
    <xf numFmtId="235" fontId="24" fillId="0" borderId="0" xfId="0" applyNumberFormat="1" applyFont="1" applyBorder="1" applyAlignment="1">
      <alignment horizontal="center" vertical="center"/>
    </xf>
    <xf numFmtId="0" fontId="5" fillId="0" borderId="22" xfId="0" applyFont="1" applyBorder="1" applyAlignment="1" applyProtection="1">
      <alignment vertical="center" shrinkToFit="1"/>
      <protection locked="0"/>
    </xf>
    <xf numFmtId="56" fontId="5" fillId="0" borderId="0" xfId="0" applyNumberFormat="1" applyFont="1" applyBorder="1" applyAlignment="1" applyProtection="1">
      <alignment horizontal="left" vertical="center"/>
      <protection locked="0"/>
    </xf>
    <xf numFmtId="56" fontId="5" fillId="0" borderId="22" xfId="0" applyNumberFormat="1" applyFont="1" applyBorder="1" applyAlignment="1" applyProtection="1">
      <alignment horizontal="left" vertical="center"/>
      <protection locked="0"/>
    </xf>
    <xf numFmtId="0" fontId="5" fillId="0" borderId="0" xfId="0" applyFont="1" applyAlignment="1">
      <alignment horizontal="left"/>
    </xf>
    <xf numFmtId="0" fontId="3" fillId="0" borderId="0" xfId="0" applyFont="1"/>
    <xf numFmtId="0" fontId="3" fillId="0" borderId="80" xfId="0" applyFont="1" applyBorder="1"/>
    <xf numFmtId="0" fontId="3" fillId="0" borderId="72" xfId="0" applyFont="1" applyBorder="1"/>
    <xf numFmtId="0" fontId="3" fillId="0" borderId="74" xfId="0" applyFont="1" applyBorder="1"/>
    <xf numFmtId="0" fontId="3" fillId="0" borderId="73" xfId="0" applyFont="1" applyBorder="1"/>
    <xf numFmtId="0" fontId="0" fillId="0" borderId="72" xfId="0" applyBorder="1"/>
    <xf numFmtId="0" fontId="0" fillId="0" borderId="74" xfId="0" applyBorder="1"/>
    <xf numFmtId="49" fontId="6" fillId="0" borderId="72" xfId="0" applyNumberFormat="1" applyFont="1" applyBorder="1" applyAlignment="1">
      <alignment horizontal="left" vertical="center" shrinkToFit="1"/>
    </xf>
    <xf numFmtId="49" fontId="6" fillId="0" borderId="74" xfId="0" applyNumberFormat="1" applyFont="1" applyBorder="1" applyAlignment="1">
      <alignment horizontal="left" vertical="center" shrinkToFit="1"/>
    </xf>
    <xf numFmtId="49" fontId="6" fillId="0" borderId="73" xfId="0" applyNumberFormat="1" applyFont="1" applyBorder="1" applyAlignment="1">
      <alignment horizontal="left" vertical="center" shrinkToFit="1"/>
    </xf>
    <xf numFmtId="49" fontId="6" fillId="0" borderId="72" xfId="0" applyNumberFormat="1" applyFont="1" applyBorder="1" applyAlignment="1">
      <alignment horizontal="center" vertical="center" shrinkToFit="1"/>
    </xf>
    <xf numFmtId="49" fontId="6" fillId="0" borderId="73" xfId="0" applyNumberFormat="1" applyFont="1" applyBorder="1" applyAlignment="1">
      <alignment horizontal="center" vertical="center" shrinkToFit="1"/>
    </xf>
    <xf numFmtId="0" fontId="0" fillId="0" borderId="72" xfId="0" applyBorder="1" applyAlignment="1">
      <alignment horizontal="left" vertical="center"/>
    </xf>
    <xf numFmtId="0" fontId="0" fillId="0" borderId="74" xfId="0" applyBorder="1" applyAlignment="1">
      <alignment horizontal="left" vertical="center"/>
    </xf>
    <xf numFmtId="0" fontId="0" fillId="0" borderId="73" xfId="0" applyBorder="1" applyAlignment="1">
      <alignment horizontal="left" vertical="center"/>
    </xf>
    <xf numFmtId="0" fontId="0" fillId="0" borderId="72" xfId="0" applyBorder="1" applyAlignment="1">
      <alignment horizontal="center" vertical="center" shrinkToFit="1"/>
    </xf>
    <xf numFmtId="0" fontId="0" fillId="0" borderId="73" xfId="0" applyBorder="1" applyAlignment="1">
      <alignment horizontal="center" vertical="center" shrinkToFit="1"/>
    </xf>
    <xf numFmtId="49" fontId="6" fillId="0" borderId="74" xfId="0" applyNumberFormat="1" applyFont="1" applyBorder="1" applyAlignment="1">
      <alignment horizontal="center" vertical="center" shrinkToFit="1"/>
    </xf>
    <xf numFmtId="0" fontId="3" fillId="0" borderId="72" xfId="0" applyFont="1" applyBorder="1" applyAlignment="1">
      <alignment horizontal="center" vertical="center" shrinkToFit="1"/>
    </xf>
    <xf numFmtId="0" fontId="3" fillId="0" borderId="73" xfId="0" applyFont="1" applyBorder="1" applyAlignment="1">
      <alignment horizontal="center" vertical="center" shrinkToFit="1"/>
    </xf>
    <xf numFmtId="0" fontId="12" fillId="2" borderId="21" xfId="0" applyFont="1" applyFill="1" applyBorder="1" applyAlignment="1">
      <alignment horizontal="distributed" vertical="center"/>
    </xf>
    <xf numFmtId="0" fontId="12" fillId="2" borderId="47" xfId="0" applyFont="1" applyFill="1" applyBorder="1" applyAlignment="1">
      <alignment horizontal="distributed" vertical="center"/>
    </xf>
    <xf numFmtId="0" fontId="3" fillId="0" borderId="4" xfId="0" applyFont="1" applyBorder="1" applyAlignment="1">
      <alignment horizontal="distributed" vertical="center"/>
    </xf>
    <xf numFmtId="0" fontId="5" fillId="2" borderId="21" xfId="1" applyNumberFormat="1" applyFont="1" applyFill="1" applyBorder="1" applyAlignment="1">
      <alignment horizontal="center" vertical="center"/>
    </xf>
    <xf numFmtId="0" fontId="5" fillId="2" borderId="4" xfId="1" applyNumberFormat="1" applyFont="1" applyFill="1" applyBorder="1" applyAlignment="1">
      <alignment horizontal="center" vertical="center"/>
    </xf>
    <xf numFmtId="0" fontId="5" fillId="2" borderId="47" xfId="1" applyNumberFormat="1" applyFont="1" applyFill="1" applyBorder="1" applyAlignment="1">
      <alignment horizontal="center" vertical="center"/>
    </xf>
    <xf numFmtId="177" fontId="50" fillId="0" borderId="13" xfId="0" applyNumberFormat="1" applyFont="1" applyBorder="1" applyAlignment="1">
      <alignment horizontal="center" vertical="center" shrinkToFit="1"/>
    </xf>
    <xf numFmtId="177" fontId="50" fillId="0" borderId="15" xfId="0" applyNumberFormat="1" applyFont="1" applyBorder="1" applyAlignment="1">
      <alignment horizontal="center" vertical="center" shrinkToFit="1"/>
    </xf>
    <xf numFmtId="183" fontId="6" fillId="0" borderId="13" xfId="0" applyNumberFormat="1" applyFont="1" applyBorder="1" applyAlignment="1">
      <alignment horizontal="center" vertical="center"/>
    </xf>
    <xf numFmtId="183" fontId="6" fillId="0" borderId="15" xfId="0" applyNumberFormat="1" applyFont="1" applyBorder="1" applyAlignment="1">
      <alignment horizontal="center" vertical="center"/>
    </xf>
    <xf numFmtId="49" fontId="6" fillId="0" borderId="84" xfId="0" applyNumberFormat="1" applyFont="1" applyBorder="1" applyAlignment="1">
      <alignment horizontal="center" vertical="center" shrinkToFit="1"/>
    </xf>
    <xf numFmtId="49" fontId="6" fillId="0" borderId="85" xfId="0" applyNumberFormat="1" applyFont="1" applyBorder="1" applyAlignment="1">
      <alignment horizontal="center" vertical="center" shrinkToFit="1"/>
    </xf>
    <xf numFmtId="49" fontId="6" fillId="0" borderId="84" xfId="0" applyNumberFormat="1" applyFont="1" applyBorder="1" applyAlignment="1">
      <alignment horizontal="left" vertical="center" shrinkToFit="1"/>
    </xf>
    <xf numFmtId="49" fontId="6" fillId="0" borderId="86" xfId="0" applyNumberFormat="1" applyFont="1" applyBorder="1" applyAlignment="1">
      <alignment horizontal="left" vertical="center" shrinkToFit="1"/>
    </xf>
    <xf numFmtId="49" fontId="6" fillId="0" borderId="85" xfId="0" applyNumberFormat="1" applyFont="1" applyBorder="1" applyAlignment="1">
      <alignment horizontal="left" vertical="center" shrinkToFit="1"/>
    </xf>
    <xf numFmtId="49" fontId="6" fillId="0" borderId="257" xfId="0" applyNumberFormat="1" applyFont="1" applyBorder="1" applyAlignment="1">
      <alignment horizontal="center" vertical="center" shrinkToFit="1"/>
    </xf>
    <xf numFmtId="232" fontId="6" fillId="0" borderId="17" xfId="0" quotePrefix="1" applyNumberFormat="1" applyFont="1" applyBorder="1" applyAlignment="1">
      <alignment horizontal="center" vertical="center"/>
    </xf>
    <xf numFmtId="232" fontId="6" fillId="0" borderId="75" xfId="0" quotePrefix="1" applyNumberFormat="1" applyFont="1" applyBorder="1" applyAlignment="1">
      <alignment horizontal="center" vertical="center"/>
    </xf>
    <xf numFmtId="232" fontId="50" fillId="0" borderId="19" xfId="0" applyNumberFormat="1" applyFont="1" applyBorder="1" applyAlignment="1">
      <alignment horizontal="center" vertical="center" shrinkToFit="1"/>
    </xf>
    <xf numFmtId="232" fontId="50" fillId="0" borderId="15" xfId="0" applyNumberFormat="1" applyFont="1" applyBorder="1" applyAlignment="1">
      <alignment horizontal="center" vertical="center" shrinkToFit="1"/>
    </xf>
    <xf numFmtId="183" fontId="6" fillId="0" borderId="19" xfId="0" applyNumberFormat="1" applyFont="1" applyBorder="1" applyAlignment="1">
      <alignment horizontal="center" vertical="center"/>
    </xf>
    <xf numFmtId="49" fontId="6" fillId="0" borderId="258" xfId="0" applyNumberFormat="1" applyFont="1" applyBorder="1" applyAlignment="1">
      <alignment horizontal="center" vertical="center" shrinkToFit="1"/>
    </xf>
    <xf numFmtId="232" fontId="6" fillId="0" borderId="101" xfId="0" applyNumberFormat="1" applyFont="1" applyBorder="1" applyAlignment="1">
      <alignment horizontal="center" vertical="center"/>
    </xf>
    <xf numFmtId="232" fontId="6" fillId="0" borderId="75" xfId="0" applyNumberFormat="1" applyFont="1" applyBorder="1" applyAlignment="1">
      <alignment horizontal="center" vertical="center"/>
    </xf>
    <xf numFmtId="232" fontId="178" fillId="0" borderId="19" xfId="0" applyNumberFormat="1" applyFont="1" applyBorder="1" applyAlignment="1">
      <alignment horizontal="center" vertical="center" shrinkToFit="1"/>
    </xf>
    <xf numFmtId="183" fontId="33" fillId="0" borderId="19" xfId="0" applyNumberFormat="1" applyFont="1" applyBorder="1" applyAlignment="1">
      <alignment horizontal="center" vertical="center"/>
    </xf>
    <xf numFmtId="183" fontId="179" fillId="0" borderId="19" xfId="0" applyNumberFormat="1" applyFont="1" applyBorder="1" applyAlignment="1">
      <alignment horizontal="center" vertical="center"/>
    </xf>
    <xf numFmtId="232" fontId="179" fillId="0" borderId="101" xfId="0" applyNumberFormat="1" applyFont="1" applyBorder="1" applyAlignment="1">
      <alignment horizontal="center" vertical="center"/>
    </xf>
    <xf numFmtId="232" fontId="180" fillId="0" borderId="19" xfId="0" applyNumberFormat="1" applyFont="1" applyBorder="1" applyAlignment="1">
      <alignment horizontal="center" vertical="center" shrinkToFit="1"/>
    </xf>
    <xf numFmtId="232" fontId="33" fillId="0" borderId="101" xfId="0" applyNumberFormat="1" applyFont="1" applyBorder="1" applyAlignment="1">
      <alignment horizontal="center" vertical="center"/>
    </xf>
    <xf numFmtId="0" fontId="6" fillId="0" borderId="72" xfId="0" applyFont="1" applyBorder="1" applyAlignment="1">
      <alignment horizontal="center"/>
    </xf>
    <xf numFmtId="0" fontId="6" fillId="0" borderId="73" xfId="0" applyFont="1" applyBorder="1" applyAlignment="1">
      <alignment horizontal="center"/>
    </xf>
    <xf numFmtId="49" fontId="31" fillId="0" borderId="72" xfId="0" applyNumberFormat="1" applyFont="1" applyBorder="1" applyAlignment="1">
      <alignment horizontal="center" vertical="center" shrinkToFit="1"/>
    </xf>
    <xf numFmtId="49" fontId="31" fillId="0" borderId="73" xfId="0" applyNumberFormat="1" applyFont="1" applyBorder="1" applyAlignment="1">
      <alignment horizontal="center" vertical="center" shrinkToFit="1"/>
    </xf>
    <xf numFmtId="49" fontId="31" fillId="0" borderId="72" xfId="0" applyNumberFormat="1" applyFont="1" applyBorder="1" applyAlignment="1">
      <alignment horizontal="left" vertical="center" shrinkToFit="1"/>
    </xf>
    <xf numFmtId="49" fontId="31" fillId="0" borderId="74" xfId="0" applyNumberFormat="1" applyFont="1" applyBorder="1" applyAlignment="1">
      <alignment horizontal="left" vertical="center" shrinkToFit="1"/>
    </xf>
    <xf numFmtId="49" fontId="31" fillId="0" borderId="73" xfId="0" applyNumberFormat="1" applyFont="1" applyBorder="1" applyAlignment="1">
      <alignment horizontal="left" vertical="center" shrinkToFit="1"/>
    </xf>
    <xf numFmtId="49" fontId="31" fillId="0" borderId="258" xfId="0" applyNumberFormat="1" applyFont="1" applyBorder="1" applyAlignment="1">
      <alignment horizontal="center" vertical="center" shrinkToFit="1"/>
    </xf>
    <xf numFmtId="49" fontId="50" fillId="0" borderId="19" xfId="0" applyNumberFormat="1" applyFont="1" applyBorder="1" applyAlignment="1">
      <alignment horizontal="center" vertical="center" shrinkToFit="1"/>
    </xf>
    <xf numFmtId="49" fontId="50" fillId="0" borderId="15" xfId="0" applyNumberFormat="1" applyFont="1" applyBorder="1" applyAlignment="1">
      <alignment horizontal="center" vertical="center" shrinkToFit="1"/>
    </xf>
    <xf numFmtId="49" fontId="6" fillId="0" borderId="72" xfId="0" quotePrefix="1" applyNumberFormat="1" applyFont="1" applyBorder="1" applyAlignment="1">
      <alignment horizontal="center" vertical="center" shrinkToFit="1"/>
    </xf>
    <xf numFmtId="49" fontId="6" fillId="0" borderId="73" xfId="0" quotePrefix="1" applyNumberFormat="1" applyFont="1" applyBorder="1" applyAlignment="1">
      <alignment horizontal="center" vertical="center" shrinkToFit="1"/>
    </xf>
    <xf numFmtId="49" fontId="31" fillId="0" borderId="134" xfId="0" applyNumberFormat="1" applyFont="1" applyBorder="1" applyAlignment="1">
      <alignment horizontal="left" vertical="top" shrinkToFit="1"/>
    </xf>
    <xf numFmtId="49" fontId="31" fillId="0" borderId="0" xfId="0" applyNumberFormat="1" applyFont="1" applyBorder="1" applyAlignment="1">
      <alignment horizontal="left" vertical="top" shrinkToFit="1"/>
    </xf>
    <xf numFmtId="49" fontId="31" fillId="0" borderId="22" xfId="0" applyNumberFormat="1" applyFont="1" applyBorder="1" applyAlignment="1">
      <alignment horizontal="left" vertical="top" shrinkToFit="1"/>
    </xf>
    <xf numFmtId="49" fontId="6" fillId="0" borderId="19" xfId="0" applyNumberFormat="1" applyFont="1" applyBorder="1" applyAlignment="1">
      <alignment horizontal="center" vertical="center" shrinkToFit="1"/>
    </xf>
    <xf numFmtId="49" fontId="6" fillId="0" borderId="71" xfId="0" applyNumberFormat="1" applyFont="1" applyBorder="1" applyAlignment="1">
      <alignment horizontal="center" vertical="center" shrinkToFit="1"/>
    </xf>
    <xf numFmtId="49" fontId="6" fillId="0" borderId="76" xfId="0" applyNumberFormat="1" applyFont="1" applyBorder="1" applyAlignment="1">
      <alignment horizontal="center" vertical="center" shrinkToFit="1"/>
    </xf>
    <xf numFmtId="49" fontId="6" fillId="0" borderId="78" xfId="0" applyNumberFormat="1" applyFont="1" applyBorder="1" applyAlignment="1">
      <alignment horizontal="center" vertical="center" shrinkToFit="1"/>
    </xf>
    <xf numFmtId="49" fontId="6" fillId="0" borderId="76" xfId="0" applyNumberFormat="1" applyFont="1" applyBorder="1" applyAlignment="1">
      <alignment horizontal="left" vertical="center" shrinkToFit="1"/>
    </xf>
    <xf numFmtId="49" fontId="6" fillId="0" borderId="77" xfId="0" applyNumberFormat="1" applyFont="1" applyBorder="1" applyAlignment="1">
      <alignment horizontal="left" vertical="center" shrinkToFit="1"/>
    </xf>
    <xf numFmtId="49" fontId="6" fillId="0" borderId="78" xfId="0" applyNumberFormat="1" applyFont="1" applyBorder="1" applyAlignment="1">
      <alignment horizontal="left" vertical="center" shrinkToFit="1"/>
    </xf>
    <xf numFmtId="49" fontId="6" fillId="0" borderId="259" xfId="0" applyNumberFormat="1" applyFont="1" applyBorder="1" applyAlignment="1">
      <alignment horizontal="center" vertical="center" shrinkToFit="1"/>
    </xf>
    <xf numFmtId="49" fontId="6" fillId="0" borderId="20" xfId="0" applyNumberFormat="1" applyFont="1" applyBorder="1" applyAlignment="1">
      <alignment horizontal="center" vertical="center" shrinkToFit="1"/>
    </xf>
    <xf numFmtId="49" fontId="6" fillId="0" borderId="136" xfId="0" applyNumberFormat="1" applyFont="1" applyBorder="1" applyAlignment="1">
      <alignment horizontal="center" vertical="center" shrinkToFit="1"/>
    </xf>
    <xf numFmtId="49" fontId="6" fillId="0" borderId="135" xfId="0" applyNumberFormat="1" applyFont="1" applyBorder="1" applyAlignment="1">
      <alignment horizontal="center" vertical="center" shrinkToFit="1"/>
    </xf>
    <xf numFmtId="49" fontId="6" fillId="0" borderId="5" xfId="0" applyNumberFormat="1" applyFont="1" applyBorder="1" applyAlignment="1">
      <alignment horizontal="center" vertical="center" shrinkToFit="1"/>
    </xf>
    <xf numFmtId="49" fontId="6" fillId="0" borderId="69" xfId="0" applyNumberFormat="1" applyFont="1" applyBorder="1" applyAlignment="1">
      <alignment horizontal="center" vertical="center" shrinkToFit="1"/>
    </xf>
    <xf numFmtId="49" fontId="6" fillId="0" borderId="79" xfId="0" applyNumberFormat="1" applyFont="1" applyBorder="1" applyAlignment="1">
      <alignment horizontal="left" vertical="center" shrinkToFit="1"/>
    </xf>
    <xf numFmtId="49" fontId="6" fillId="0" borderId="80" xfId="0" applyNumberFormat="1" applyFont="1" applyBorder="1" applyAlignment="1">
      <alignment horizontal="left" vertical="center" shrinkToFit="1"/>
    </xf>
    <xf numFmtId="49" fontId="6" fillId="0" borderId="81" xfId="0" applyNumberFormat="1" applyFont="1" applyBorder="1" applyAlignment="1">
      <alignment horizontal="left" vertical="center" shrinkToFit="1"/>
    </xf>
    <xf numFmtId="49" fontId="6" fillId="0" borderId="72" xfId="0" applyNumberFormat="1" applyFont="1" applyBorder="1" applyAlignment="1">
      <alignment horizontal="left" vertical="center" wrapText="1" shrinkToFit="1"/>
    </xf>
    <xf numFmtId="49" fontId="6" fillId="0" borderId="74" xfId="0" applyNumberFormat="1" applyFont="1" applyBorder="1" applyAlignment="1">
      <alignment horizontal="left" vertical="center" wrapText="1" shrinkToFit="1"/>
    </xf>
    <xf numFmtId="49" fontId="6" fillId="0" borderId="73" xfId="0" applyNumberFormat="1" applyFont="1" applyBorder="1" applyAlignment="1">
      <alignment horizontal="left" vertical="center" wrapText="1" shrinkToFit="1"/>
    </xf>
    <xf numFmtId="177" fontId="181" fillId="0" borderId="13" xfId="0" applyNumberFormat="1" applyFont="1" applyBorder="1" applyAlignment="1">
      <alignment horizontal="center" vertical="center" shrinkToFit="1"/>
    </xf>
    <xf numFmtId="177" fontId="5" fillId="0" borderId="204" xfId="0" applyNumberFormat="1" applyFont="1" applyBorder="1" applyAlignment="1">
      <alignment horizontal="center" vertical="center" shrinkToFit="1"/>
    </xf>
    <xf numFmtId="183" fontId="182" fillId="0" borderId="19" xfId="0" applyNumberFormat="1" applyFont="1" applyBorder="1" applyAlignment="1">
      <alignment horizontal="center" vertical="center"/>
    </xf>
    <xf numFmtId="49" fontId="6" fillId="0" borderId="79" xfId="0" applyNumberFormat="1" applyFont="1" applyBorder="1" applyAlignment="1">
      <alignment horizontal="center" vertical="center" shrinkToFit="1"/>
    </xf>
    <xf numFmtId="49" fontId="6" fillId="0" borderId="80" xfId="0" applyNumberFormat="1" applyFont="1" applyBorder="1" applyAlignment="1">
      <alignment horizontal="center" vertical="center" shrinkToFit="1"/>
    </xf>
    <xf numFmtId="232" fontId="182" fillId="0" borderId="17" xfId="0" quotePrefix="1" applyNumberFormat="1" applyFont="1" applyBorder="1" applyAlignment="1">
      <alignment horizontal="center" vertical="center"/>
    </xf>
    <xf numFmtId="183" fontId="182" fillId="0" borderId="195" xfId="0" applyNumberFormat="1" applyFont="1" applyBorder="1" applyAlignment="1">
      <alignment horizontal="center" vertical="center"/>
    </xf>
    <xf numFmtId="49" fontId="6" fillId="0" borderId="84" xfId="0" applyNumberFormat="1" applyFont="1" applyBorder="1" applyAlignment="1">
      <alignment horizontal="left" vertical="center" wrapText="1" shrinkToFit="1"/>
    </xf>
    <xf numFmtId="49" fontId="6" fillId="0" borderId="81" xfId="0" applyNumberFormat="1" applyFont="1" applyBorder="1" applyAlignment="1">
      <alignment horizontal="center" vertical="center" shrinkToFit="1"/>
    </xf>
    <xf numFmtId="232" fontId="181" fillId="0" borderId="19" xfId="0" applyNumberFormat="1" applyFont="1" applyBorder="1" applyAlignment="1">
      <alignment horizontal="center" vertical="center" shrinkToFit="1"/>
    </xf>
    <xf numFmtId="232" fontId="5" fillId="0" borderId="204" xfId="0" applyNumberFormat="1" applyFont="1" applyBorder="1" applyAlignment="1">
      <alignment horizontal="center" vertical="center" shrinkToFit="1"/>
    </xf>
    <xf numFmtId="232" fontId="182" fillId="0" borderId="136" xfId="0" applyNumberFormat="1" applyFont="1" applyBorder="1" applyAlignment="1">
      <alignment horizontal="center" vertical="center"/>
    </xf>
    <xf numFmtId="232" fontId="6" fillId="0" borderId="136" xfId="0" applyNumberFormat="1" applyFont="1" applyBorder="1" applyAlignment="1">
      <alignment horizontal="center" vertical="center"/>
    </xf>
    <xf numFmtId="232" fontId="157" fillId="0" borderId="19" xfId="0" applyNumberFormat="1" applyFont="1" applyBorder="1" applyAlignment="1">
      <alignment horizontal="center" vertical="center" shrinkToFit="1"/>
    </xf>
    <xf numFmtId="49" fontId="6" fillId="61" borderId="72" xfId="0" applyNumberFormat="1" applyFont="1" applyFill="1" applyBorder="1" applyAlignment="1">
      <alignment horizontal="center" vertical="center" shrinkToFit="1"/>
    </xf>
    <xf numFmtId="49" fontId="6" fillId="61" borderId="73" xfId="0" applyNumberFormat="1" applyFont="1" applyFill="1" applyBorder="1" applyAlignment="1">
      <alignment horizontal="center" vertical="center" shrinkToFit="1"/>
    </xf>
    <xf numFmtId="49" fontId="6" fillId="61" borderId="72" xfId="0" applyNumberFormat="1" applyFont="1" applyFill="1" applyBorder="1" applyAlignment="1">
      <alignment horizontal="left" vertical="center" wrapText="1" shrinkToFit="1"/>
    </xf>
    <xf numFmtId="49" fontId="6" fillId="61" borderId="74" xfId="0" applyNumberFormat="1" applyFont="1" applyFill="1" applyBorder="1" applyAlignment="1">
      <alignment horizontal="left" vertical="center" shrinkToFit="1"/>
    </xf>
    <xf numFmtId="49" fontId="6" fillId="61" borderId="73" xfId="0" applyNumberFormat="1" applyFont="1" applyFill="1" applyBorder="1" applyAlignment="1">
      <alignment horizontal="left" vertical="center" shrinkToFit="1"/>
    </xf>
    <xf numFmtId="49" fontId="6" fillId="61" borderId="79" xfId="0" applyNumberFormat="1" applyFont="1" applyFill="1" applyBorder="1" applyAlignment="1">
      <alignment horizontal="center" vertical="center" shrinkToFit="1"/>
    </xf>
    <xf numFmtId="49" fontId="6" fillId="61" borderId="81" xfId="0" applyNumberFormat="1" applyFont="1" applyFill="1" applyBorder="1" applyAlignment="1">
      <alignment horizontal="center" vertical="center" shrinkToFit="1"/>
    </xf>
    <xf numFmtId="49" fontId="6" fillId="61" borderId="72" xfId="0" applyNumberFormat="1" applyFont="1" applyFill="1" applyBorder="1" applyAlignment="1">
      <alignment horizontal="left" vertical="center" shrinkToFit="1"/>
    </xf>
    <xf numFmtId="49" fontId="154" fillId="0" borderId="72" xfId="0" applyNumberFormat="1" applyFont="1" applyBorder="1" applyAlignment="1">
      <alignment horizontal="center" vertical="center" shrinkToFit="1"/>
    </xf>
    <xf numFmtId="49" fontId="154" fillId="0" borderId="73" xfId="0" applyNumberFormat="1" applyFont="1" applyBorder="1" applyAlignment="1">
      <alignment horizontal="center" vertical="center" shrinkToFit="1"/>
    </xf>
    <xf numFmtId="232" fontId="179" fillId="0" borderId="136" xfId="0" applyNumberFormat="1" applyFont="1" applyBorder="1" applyAlignment="1">
      <alignment horizontal="center" vertical="center"/>
    </xf>
    <xf numFmtId="232" fontId="184" fillId="0" borderId="19" xfId="0" applyNumberFormat="1" applyFont="1" applyBorder="1" applyAlignment="1">
      <alignment horizontal="center" vertical="center" shrinkToFit="1"/>
    </xf>
    <xf numFmtId="232" fontId="33" fillId="0" borderId="136" xfId="0" applyNumberFormat="1" applyFont="1" applyBorder="1" applyAlignment="1">
      <alignment horizontal="center" vertical="center"/>
    </xf>
    <xf numFmtId="183" fontId="31" fillId="0" borderId="15" xfId="0" applyNumberFormat="1" applyFont="1" applyBorder="1" applyAlignment="1">
      <alignment horizontal="center" vertical="center"/>
    </xf>
    <xf numFmtId="49" fontId="6" fillId="0" borderId="79" xfId="0" quotePrefix="1" applyNumberFormat="1" applyFont="1" applyBorder="1" applyAlignment="1">
      <alignment horizontal="left" vertical="center" wrapText="1" shrinkToFit="1"/>
    </xf>
    <xf numFmtId="49" fontId="6" fillId="0" borderId="19" xfId="0" applyNumberFormat="1" applyFont="1" applyBorder="1" applyAlignment="1">
      <alignment horizontal="left" vertical="center" shrinkToFit="1"/>
    </xf>
    <xf numFmtId="49" fontId="6" fillId="0" borderId="10" xfId="0" applyNumberFormat="1" applyFont="1" applyBorder="1" applyAlignment="1">
      <alignment horizontal="left" vertical="center" shrinkToFit="1"/>
    </xf>
    <xf numFmtId="49" fontId="33" fillId="0" borderId="79" xfId="0" applyNumberFormat="1" applyFont="1" applyBorder="1" applyAlignment="1">
      <alignment horizontal="center" vertical="center" shrinkToFit="1"/>
    </xf>
    <xf numFmtId="49" fontId="33" fillId="0" borderId="81" xfId="0" applyNumberFormat="1" applyFont="1" applyBorder="1" applyAlignment="1">
      <alignment horizontal="center" vertical="center" shrinkToFit="1"/>
    </xf>
    <xf numFmtId="49" fontId="33" fillId="0" borderId="72" xfId="0" applyNumberFormat="1" applyFont="1" applyBorder="1" applyAlignment="1">
      <alignment horizontal="left" vertical="center" wrapText="1" shrinkToFit="1"/>
    </xf>
    <xf numFmtId="49" fontId="33" fillId="0" borderId="74" xfId="0" applyNumberFormat="1" applyFont="1" applyBorder="1" applyAlignment="1">
      <alignment horizontal="left" vertical="center" shrinkToFit="1"/>
    </xf>
    <xf numFmtId="49" fontId="33" fillId="0" borderId="73" xfId="0" applyNumberFormat="1" applyFont="1" applyBorder="1" applyAlignment="1">
      <alignment horizontal="left" vertical="center" shrinkToFit="1"/>
    </xf>
    <xf numFmtId="49" fontId="33" fillId="0" borderId="72" xfId="0" applyNumberFormat="1" applyFont="1" applyBorder="1" applyAlignment="1">
      <alignment horizontal="center" vertical="center" shrinkToFit="1"/>
    </xf>
    <xf numFmtId="49" fontId="33" fillId="0" borderId="74" xfId="0" applyNumberFormat="1" applyFont="1" applyBorder="1" applyAlignment="1">
      <alignment horizontal="center" vertical="center" shrinkToFit="1"/>
    </xf>
    <xf numFmtId="183" fontId="6" fillId="0" borderId="204" xfId="0" applyNumberFormat="1" applyFont="1" applyBorder="1" applyAlignment="1">
      <alignment horizontal="center" vertical="center"/>
    </xf>
    <xf numFmtId="49" fontId="183" fillId="0" borderId="19" xfId="0" applyNumberFormat="1" applyFont="1" applyBorder="1" applyAlignment="1">
      <alignment horizontal="center" vertical="center" shrinkToFit="1"/>
    </xf>
    <xf numFmtId="232" fontId="5" fillId="0" borderId="71" xfId="0" applyNumberFormat="1" applyFont="1" applyBorder="1" applyAlignment="1">
      <alignment horizontal="center" vertical="center" shrinkToFit="1"/>
    </xf>
    <xf numFmtId="49" fontId="182" fillId="0" borderId="20" xfId="0" applyNumberFormat="1" applyFont="1" applyBorder="1" applyAlignment="1">
      <alignment horizontal="center" vertical="center" shrinkToFit="1"/>
    </xf>
    <xf numFmtId="49" fontId="6" fillId="0" borderId="134" xfId="0" applyNumberFormat="1" applyFont="1" applyBorder="1" applyAlignment="1">
      <alignment horizontal="center" vertical="center" shrinkToFit="1"/>
    </xf>
    <xf numFmtId="49" fontId="6" fillId="0" borderId="250" xfId="0" applyNumberFormat="1" applyFont="1" applyBorder="1" applyAlignment="1">
      <alignment horizontal="center" vertical="center" shrinkToFit="1"/>
    </xf>
    <xf numFmtId="49" fontId="6" fillId="0" borderId="58" xfId="0" applyNumberFormat="1" applyFont="1" applyBorder="1" applyAlignment="1">
      <alignment horizontal="left" vertical="center" shrinkToFit="1"/>
    </xf>
    <xf numFmtId="49" fontId="6" fillId="0" borderId="82" xfId="0" applyNumberFormat="1" applyFont="1" applyBorder="1" applyAlignment="1">
      <alignment horizontal="left" vertical="center" shrinkToFit="1"/>
    </xf>
    <xf numFmtId="49" fontId="6" fillId="0" borderId="83" xfId="0" applyNumberFormat="1" applyFont="1" applyBorder="1" applyAlignment="1">
      <alignment horizontal="left" vertical="center" shrinkToFit="1"/>
    </xf>
    <xf numFmtId="49" fontId="6" fillId="0" borderId="58" xfId="0" applyNumberFormat="1" applyFont="1" applyBorder="1" applyAlignment="1">
      <alignment horizontal="center" vertical="center" shrinkToFit="1"/>
    </xf>
    <xf numFmtId="49" fontId="6" fillId="0" borderId="82" xfId="0" applyNumberFormat="1" applyFont="1" applyBorder="1" applyAlignment="1">
      <alignment horizontal="center" vertical="center" shrinkToFit="1"/>
    </xf>
    <xf numFmtId="232" fontId="6" fillId="0" borderId="135" xfId="0" applyNumberFormat="1" applyFont="1" applyBorder="1" applyAlignment="1">
      <alignment horizontal="center" vertical="center"/>
    </xf>
    <xf numFmtId="49" fontId="182" fillId="0" borderId="19" xfId="0" applyNumberFormat="1" applyFont="1" applyBorder="1" applyAlignment="1">
      <alignment horizontal="center" vertical="center"/>
    </xf>
    <xf numFmtId="49" fontId="6" fillId="0" borderId="71" xfId="0" applyNumberFormat="1" applyFont="1" applyBorder="1" applyAlignment="1">
      <alignment horizontal="center" vertical="center"/>
    </xf>
    <xf numFmtId="49" fontId="6" fillId="0" borderId="77" xfId="0" applyNumberFormat="1" applyFont="1" applyBorder="1" applyAlignment="1">
      <alignment horizontal="center" vertical="center" shrinkToFit="1"/>
    </xf>
    <xf numFmtId="0" fontId="6" fillId="0" borderId="0" xfId="0" applyFont="1" applyAlignment="1">
      <alignment horizontal="center" vertical="center"/>
    </xf>
    <xf numFmtId="0" fontId="5" fillId="0" borderId="47" xfId="0" applyFont="1" applyBorder="1" applyAlignment="1">
      <alignment horizontal="center" vertical="center"/>
    </xf>
    <xf numFmtId="180" fontId="183" fillId="0" borderId="195" xfId="0" applyNumberFormat="1" applyFont="1" applyBorder="1" applyAlignment="1">
      <alignment horizontal="center" vertical="center" shrinkToFit="1"/>
    </xf>
    <xf numFmtId="180" fontId="50" fillId="0" borderId="15" xfId="0" applyNumberFormat="1" applyFont="1" applyBorder="1" applyAlignment="1">
      <alignment horizontal="center" vertical="center" shrinkToFit="1"/>
    </xf>
    <xf numFmtId="49" fontId="6" fillId="0" borderId="84" xfId="0" quotePrefix="1" applyNumberFormat="1" applyFont="1" applyBorder="1" applyAlignment="1">
      <alignment horizontal="left" vertical="center" shrinkToFit="1"/>
    </xf>
    <xf numFmtId="49" fontId="6" fillId="0" borderId="86" xfId="0" quotePrefix="1" applyNumberFormat="1" applyFont="1" applyBorder="1" applyAlignment="1">
      <alignment horizontal="left" vertical="center" shrinkToFit="1"/>
    </xf>
    <xf numFmtId="49" fontId="6" fillId="0" borderId="85" xfId="0" quotePrefix="1" applyNumberFormat="1" applyFont="1" applyBorder="1" applyAlignment="1">
      <alignment horizontal="left" vertical="center" shrinkToFit="1"/>
    </xf>
    <xf numFmtId="49" fontId="6" fillId="0" borderId="72" xfId="0" quotePrefix="1" applyNumberFormat="1" applyFont="1" applyBorder="1" applyAlignment="1">
      <alignment horizontal="left" vertical="center" shrinkToFit="1"/>
    </xf>
    <xf numFmtId="49" fontId="6" fillId="0" borderId="74" xfId="0" quotePrefix="1" applyNumberFormat="1" applyFont="1" applyBorder="1" applyAlignment="1">
      <alignment horizontal="left" vertical="center" shrinkToFit="1"/>
    </xf>
    <xf numFmtId="49" fontId="6" fillId="0" borderId="73" xfId="0" quotePrefix="1" applyNumberFormat="1" applyFont="1" applyBorder="1" applyAlignment="1">
      <alignment horizontal="left" vertical="center" shrinkToFit="1"/>
    </xf>
    <xf numFmtId="232" fontId="183" fillId="0" borderId="19" xfId="0" applyNumberFormat="1" applyFont="1" applyBorder="1" applyAlignment="1">
      <alignment horizontal="center" vertical="center" shrinkToFit="1"/>
    </xf>
    <xf numFmtId="49" fontId="6" fillId="0" borderId="72" xfId="0" quotePrefix="1" applyNumberFormat="1" applyFont="1" applyBorder="1" applyAlignment="1">
      <alignment horizontal="left" vertical="center" wrapText="1" shrinkToFit="1"/>
    </xf>
    <xf numFmtId="49" fontId="6" fillId="0" borderId="74" xfId="0" quotePrefix="1" applyNumberFormat="1" applyFont="1" applyBorder="1" applyAlignment="1">
      <alignment horizontal="left" vertical="center" wrapText="1" shrinkToFit="1"/>
    </xf>
    <xf numFmtId="49" fontId="6" fillId="0" borderId="73" xfId="0" quotePrefix="1" applyNumberFormat="1" applyFont="1" applyBorder="1" applyAlignment="1">
      <alignment horizontal="left" vertical="center" wrapText="1" shrinkToFit="1"/>
    </xf>
    <xf numFmtId="0" fontId="185" fillId="0" borderId="256" xfId="0" applyFont="1" applyBorder="1" applyAlignment="1">
      <alignment horizontal="left" vertical="top" wrapText="1"/>
    </xf>
    <xf numFmtId="0" fontId="185" fillId="0" borderId="127" xfId="0" applyFont="1" applyBorder="1" applyAlignment="1">
      <alignment horizontal="left" vertical="top" wrapText="1"/>
    </xf>
    <xf numFmtId="0" fontId="185" fillId="0" borderId="255" xfId="0" applyFont="1" applyBorder="1" applyAlignment="1">
      <alignment horizontal="left" vertical="top" wrapText="1"/>
    </xf>
    <xf numFmtId="0" fontId="185" fillId="0" borderId="134" xfId="0" applyFont="1" applyBorder="1" applyAlignment="1">
      <alignment horizontal="left" vertical="top" wrapText="1"/>
    </xf>
    <xf numFmtId="0" fontId="185" fillId="0" borderId="0" xfId="0" applyFont="1" applyBorder="1" applyAlignment="1">
      <alignment horizontal="left" vertical="top" wrapText="1"/>
    </xf>
    <xf numFmtId="0" fontId="185" fillId="0" borderId="250" xfId="0" applyFont="1" applyBorder="1" applyAlignment="1">
      <alignment horizontal="left" vertical="top" wrapText="1"/>
    </xf>
    <xf numFmtId="0" fontId="185" fillId="0" borderId="8" xfId="0" applyFont="1" applyBorder="1" applyAlignment="1">
      <alignment horizontal="left" vertical="top" wrapText="1"/>
    </xf>
    <xf numFmtId="0" fontId="185" fillId="0" borderId="9" xfId="0" applyFont="1" applyBorder="1" applyAlignment="1">
      <alignment horizontal="left" vertical="top" wrapText="1"/>
    </xf>
    <xf numFmtId="0" fontId="185" fillId="0" borderId="70" xfId="0" applyFont="1" applyBorder="1" applyAlignment="1">
      <alignment horizontal="left" vertical="top" wrapText="1"/>
    </xf>
    <xf numFmtId="49" fontId="6" fillId="4" borderId="19" xfId="0" applyNumberFormat="1" applyFont="1" applyFill="1" applyBorder="1" applyAlignment="1">
      <alignment horizontal="center" vertical="center" shrinkToFit="1"/>
    </xf>
    <xf numFmtId="49" fontId="6" fillId="4" borderId="71" xfId="0" applyNumberFormat="1" applyFont="1" applyFill="1" applyBorder="1" applyAlignment="1">
      <alignment horizontal="center" vertical="center" shrinkToFit="1"/>
    </xf>
    <xf numFmtId="49" fontId="6" fillId="4" borderId="76" xfId="0" applyNumberFormat="1" applyFont="1" applyFill="1" applyBorder="1" applyAlignment="1">
      <alignment horizontal="left" vertical="center" shrinkToFit="1"/>
    </xf>
    <xf numFmtId="49" fontId="6" fillId="4" borderId="77" xfId="0" applyNumberFormat="1" applyFont="1" applyFill="1" applyBorder="1" applyAlignment="1">
      <alignment horizontal="left" vertical="center" shrinkToFit="1"/>
    </xf>
    <xf numFmtId="49" fontId="6" fillId="4" borderId="78" xfId="0" applyNumberFormat="1" applyFont="1" applyFill="1" applyBorder="1" applyAlignment="1">
      <alignment horizontal="left" vertical="center" shrinkToFit="1"/>
    </xf>
    <xf numFmtId="49" fontId="6" fillId="4" borderId="10" xfId="0" applyNumberFormat="1" applyFont="1" applyFill="1" applyBorder="1" applyAlignment="1">
      <alignment horizontal="center" vertical="center" shrinkToFit="1"/>
    </xf>
    <xf numFmtId="49" fontId="6" fillId="4" borderId="79" xfId="0" applyNumberFormat="1" applyFont="1" applyFill="1" applyBorder="1" applyAlignment="1">
      <alignment horizontal="left" vertical="center" shrinkToFit="1"/>
    </xf>
    <xf numFmtId="49" fontId="6" fillId="4" borderId="80" xfId="0" applyNumberFormat="1" applyFont="1" applyFill="1" applyBorder="1" applyAlignment="1">
      <alignment horizontal="left" vertical="center" shrinkToFit="1"/>
    </xf>
    <xf numFmtId="49" fontId="6" fillId="4" borderId="81" xfId="0" applyNumberFormat="1" applyFont="1" applyFill="1" applyBorder="1" applyAlignment="1">
      <alignment horizontal="left" vertical="center" shrinkToFit="1"/>
    </xf>
    <xf numFmtId="232" fontId="6" fillId="0" borderId="19" xfId="0" applyNumberFormat="1" applyFont="1" applyBorder="1" applyAlignment="1">
      <alignment horizontal="center" vertical="center" shrinkToFit="1"/>
    </xf>
    <xf numFmtId="232" fontId="6" fillId="0" borderId="15" xfId="0" applyNumberFormat="1" applyFont="1" applyBorder="1" applyAlignment="1">
      <alignment horizontal="center" vertical="center" shrinkToFit="1"/>
    </xf>
    <xf numFmtId="233" fontId="6" fillId="0" borderId="19" xfId="0" applyNumberFormat="1" applyFont="1" applyBorder="1" applyAlignment="1">
      <alignment horizontal="center" vertical="center" shrinkToFit="1"/>
    </xf>
    <xf numFmtId="233" fontId="6" fillId="0" borderId="15" xfId="0" applyNumberFormat="1" applyFont="1" applyBorder="1" applyAlignment="1">
      <alignment horizontal="center" vertical="center" shrinkToFit="1"/>
    </xf>
    <xf numFmtId="49" fontId="6" fillId="4" borderId="11" xfId="0" applyNumberFormat="1" applyFont="1" applyFill="1" applyBorder="1" applyAlignment="1">
      <alignment horizontal="center" vertical="center" shrinkToFit="1"/>
    </xf>
    <xf numFmtId="232" fontId="6" fillId="0" borderId="101" xfId="0" applyNumberFormat="1" applyFont="1" applyBorder="1" applyAlignment="1">
      <alignment horizontal="center" vertical="center" shrinkToFit="1"/>
    </xf>
    <xf numFmtId="232" fontId="6" fillId="0" borderId="75" xfId="0" applyNumberFormat="1" applyFont="1" applyBorder="1" applyAlignment="1">
      <alignment horizontal="center" vertical="center" shrinkToFit="1"/>
    </xf>
    <xf numFmtId="49" fontId="6" fillId="4" borderId="72" xfId="0" applyNumberFormat="1" applyFont="1" applyFill="1" applyBorder="1" applyAlignment="1">
      <alignment horizontal="left" vertical="center" shrinkToFit="1"/>
    </xf>
    <xf numFmtId="49" fontId="6" fillId="4" borderId="74" xfId="0" applyNumberFormat="1" applyFont="1" applyFill="1" applyBorder="1" applyAlignment="1">
      <alignment horizontal="left" vertical="center" shrinkToFit="1"/>
    </xf>
    <xf numFmtId="49" fontId="6" fillId="4" borderId="73" xfId="0" applyNumberFormat="1" applyFont="1" applyFill="1" applyBorder="1" applyAlignment="1">
      <alignment horizontal="left" vertical="center" shrinkToFit="1"/>
    </xf>
    <xf numFmtId="49" fontId="6" fillId="4" borderId="251" xfId="0" applyNumberFormat="1" applyFont="1" applyFill="1" applyBorder="1" applyAlignment="1">
      <alignment horizontal="center" vertical="center" shrinkToFit="1"/>
    </xf>
    <xf numFmtId="49" fontId="6" fillId="4" borderId="139" xfId="0" applyNumberFormat="1" applyFont="1" applyFill="1" applyBorder="1" applyAlignment="1">
      <alignment horizontal="center" vertical="center" shrinkToFit="1"/>
    </xf>
    <xf numFmtId="232" fontId="6" fillId="0" borderId="252" xfId="0" applyNumberFormat="1" applyFont="1" applyBorder="1" applyAlignment="1">
      <alignment horizontal="center" vertical="center" shrinkToFit="1"/>
    </xf>
    <xf numFmtId="233" fontId="6" fillId="0" borderId="71" xfId="0" applyNumberFormat="1" applyFont="1" applyBorder="1" applyAlignment="1">
      <alignment horizontal="center" vertical="center" shrinkToFit="1"/>
    </xf>
    <xf numFmtId="233" fontId="33" fillId="0" borderId="19" xfId="0" applyNumberFormat="1" applyFont="1" applyBorder="1" applyAlignment="1">
      <alignment horizontal="center" vertical="center" shrinkToFit="1"/>
    </xf>
    <xf numFmtId="233" fontId="33" fillId="0" borderId="15" xfId="0" applyNumberFormat="1" applyFont="1" applyBorder="1" applyAlignment="1">
      <alignment horizontal="center" vertical="center" shrinkToFit="1"/>
    </xf>
    <xf numFmtId="233" fontId="175" fillId="0" borderId="19" xfId="0" applyNumberFormat="1" applyFont="1" applyBorder="1" applyAlignment="1">
      <alignment horizontal="center" vertical="center" shrinkToFit="1"/>
    </xf>
    <xf numFmtId="233" fontId="175" fillId="0" borderId="15" xfId="0" applyNumberFormat="1" applyFont="1" applyBorder="1" applyAlignment="1">
      <alignment horizontal="center" vertical="center" shrinkToFit="1"/>
    </xf>
    <xf numFmtId="0" fontId="0" fillId="0" borderId="74" xfId="0" applyBorder="1" applyAlignment="1">
      <alignment horizontal="left" vertical="center" shrinkToFit="1"/>
    </xf>
    <xf numFmtId="0" fontId="0" fillId="0" borderId="73" xfId="0" applyBorder="1" applyAlignment="1">
      <alignment horizontal="left" vertical="center" shrinkToFit="1"/>
    </xf>
    <xf numFmtId="49" fontId="6" fillId="4" borderId="13" xfId="0" applyNumberFormat="1" applyFont="1" applyFill="1" applyBorder="1" applyAlignment="1">
      <alignment horizontal="center" vertical="center" shrinkToFit="1"/>
    </xf>
    <xf numFmtId="49" fontId="6" fillId="4" borderId="204" xfId="0" applyNumberFormat="1" applyFont="1" applyFill="1" applyBorder="1" applyAlignment="1">
      <alignment horizontal="center" vertical="center" shrinkToFit="1"/>
    </xf>
    <xf numFmtId="0" fontId="12" fillId="60" borderId="196" xfId="0" applyFont="1" applyFill="1" applyBorder="1" applyAlignment="1">
      <alignment horizontal="distributed" vertical="center"/>
    </xf>
    <xf numFmtId="0" fontId="12" fillId="60" borderId="197" xfId="0" applyFont="1" applyFill="1" applyBorder="1" applyAlignment="1">
      <alignment horizontal="distributed" vertical="center"/>
    </xf>
    <xf numFmtId="0" fontId="3" fillId="60" borderId="199" xfId="0" applyFont="1" applyFill="1" applyBorder="1" applyAlignment="1">
      <alignment horizontal="distributed" vertical="center"/>
    </xf>
    <xf numFmtId="0" fontId="5" fillId="2" borderId="196" xfId="1" applyNumberFormat="1" applyFont="1" applyFill="1" applyBorder="1" applyAlignment="1">
      <alignment horizontal="center" vertical="center"/>
    </xf>
    <xf numFmtId="0" fontId="5" fillId="0" borderId="197" xfId="0" applyFont="1" applyBorder="1" applyAlignment="1">
      <alignment horizontal="center" vertical="center"/>
    </xf>
    <xf numFmtId="0" fontId="5" fillId="0" borderId="199" xfId="0" applyFont="1" applyBorder="1" applyAlignment="1">
      <alignment horizontal="center" vertical="center"/>
    </xf>
    <xf numFmtId="180" fontId="6" fillId="0" borderId="13" xfId="0" applyNumberFormat="1" applyFont="1" applyBorder="1" applyAlignment="1">
      <alignment horizontal="center" vertical="center" shrinkToFit="1"/>
    </xf>
    <xf numFmtId="180" fontId="6" fillId="0" borderId="15" xfId="0" applyNumberFormat="1" applyFont="1" applyBorder="1" applyAlignment="1">
      <alignment horizontal="center" vertical="center" shrinkToFit="1"/>
    </xf>
    <xf numFmtId="233" fontId="6" fillId="0" borderId="13" xfId="0" applyNumberFormat="1" applyFont="1" applyBorder="1" applyAlignment="1">
      <alignment horizontal="center" vertical="center" shrinkToFit="1"/>
    </xf>
    <xf numFmtId="49" fontId="6" fillId="4" borderId="134" xfId="0" applyNumberFormat="1" applyFont="1" applyFill="1" applyBorder="1" applyAlignment="1">
      <alignment horizontal="left" vertical="center" shrinkToFit="1"/>
    </xf>
    <xf numFmtId="49" fontId="6" fillId="4" borderId="0" xfId="0" applyNumberFormat="1" applyFont="1" applyFill="1" applyBorder="1" applyAlignment="1">
      <alignment horizontal="left" vertical="center" shrinkToFit="1"/>
    </xf>
    <xf numFmtId="49" fontId="6" fillId="4" borderId="250" xfId="0" applyNumberFormat="1" applyFont="1" applyFill="1" applyBorder="1" applyAlignment="1">
      <alignment horizontal="left" vertical="center" shrinkToFit="1"/>
    </xf>
    <xf numFmtId="232" fontId="6" fillId="0" borderId="17" xfId="0" applyNumberFormat="1" applyFont="1" applyBorder="1" applyAlignment="1">
      <alignment horizontal="center" vertical="center" shrinkToFit="1"/>
    </xf>
    <xf numFmtId="49" fontId="33" fillId="0" borderId="72" xfId="0" applyNumberFormat="1" applyFont="1" applyBorder="1" applyAlignment="1">
      <alignment horizontal="left" vertical="center" shrinkToFit="1"/>
    </xf>
    <xf numFmtId="180" fontId="174" fillId="0" borderId="15" xfId="0" applyNumberFormat="1" applyFont="1" applyBorder="1" applyAlignment="1">
      <alignment horizontal="center" vertical="center" shrinkToFit="1"/>
    </xf>
    <xf numFmtId="220" fontId="6" fillId="0" borderId="58" xfId="0" applyNumberFormat="1" applyFont="1" applyBorder="1" applyAlignment="1">
      <alignment horizontal="center" vertical="center"/>
    </xf>
    <xf numFmtId="220" fontId="6" fillId="0" borderId="82" xfId="0" applyNumberFormat="1" applyFont="1" applyBorder="1" applyAlignment="1">
      <alignment horizontal="center" vertical="center"/>
    </xf>
    <xf numFmtId="220" fontId="6" fillId="0" borderId="83" xfId="0" applyNumberFormat="1" applyFont="1" applyBorder="1" applyAlignment="1">
      <alignment horizontal="center" vertical="center"/>
    </xf>
    <xf numFmtId="220" fontId="6" fillId="0" borderId="84" xfId="0" applyNumberFormat="1" applyFont="1" applyBorder="1" applyAlignment="1">
      <alignment horizontal="left" vertical="center"/>
    </xf>
    <xf numFmtId="220" fontId="6" fillId="0" borderId="86" xfId="0" applyNumberFormat="1" applyFont="1" applyBorder="1" applyAlignment="1">
      <alignment horizontal="left" vertical="center"/>
    </xf>
    <xf numFmtId="220" fontId="6" fillId="0" borderId="85" xfId="0" applyNumberFormat="1" applyFont="1" applyBorder="1" applyAlignment="1">
      <alignment horizontal="left" vertical="center"/>
    </xf>
    <xf numFmtId="232" fontId="174" fillId="0" borderId="15" xfId="0" applyNumberFormat="1" applyFont="1" applyBorder="1" applyAlignment="1">
      <alignment horizontal="center" vertical="center" shrinkToFit="1"/>
    </xf>
    <xf numFmtId="49" fontId="33" fillId="0" borderId="73" xfId="0" applyNumberFormat="1" applyFont="1" applyBorder="1" applyAlignment="1">
      <alignment horizontal="center" vertical="center" shrinkToFit="1"/>
    </xf>
    <xf numFmtId="49" fontId="6" fillId="0" borderId="72" xfId="0" applyNumberFormat="1" applyFont="1" applyBorder="1" applyAlignment="1">
      <alignment horizontal="center" vertical="center" wrapText="1"/>
    </xf>
    <xf numFmtId="49" fontId="6" fillId="0" borderId="73" xfId="0" applyNumberFormat="1" applyFont="1" applyBorder="1" applyAlignment="1">
      <alignment horizontal="center" vertical="center" wrapText="1"/>
    </xf>
    <xf numFmtId="49" fontId="6" fillId="0" borderId="72" xfId="0" applyNumberFormat="1" applyFont="1" applyBorder="1" applyAlignment="1">
      <alignment vertical="center" wrapText="1"/>
    </xf>
    <xf numFmtId="49" fontId="6" fillId="0" borderId="74" xfId="0" applyNumberFormat="1" applyFont="1" applyBorder="1" applyAlignment="1">
      <alignment vertical="center" wrapText="1"/>
    </xf>
    <xf numFmtId="49" fontId="6" fillId="0" borderId="73" xfId="0" applyNumberFormat="1" applyFont="1" applyBorder="1" applyAlignment="1">
      <alignment vertical="center" wrapText="1"/>
    </xf>
    <xf numFmtId="49" fontId="6" fillId="0" borderId="134" xfId="0" applyNumberFormat="1" applyFont="1" applyBorder="1" applyAlignment="1">
      <alignment horizontal="left" vertical="center" shrinkToFit="1"/>
    </xf>
    <xf numFmtId="49" fontId="6" fillId="0" borderId="0" xfId="0" applyNumberFormat="1" applyFont="1" applyBorder="1" applyAlignment="1">
      <alignment horizontal="left" vertical="center" shrinkToFit="1"/>
    </xf>
    <xf numFmtId="49" fontId="6" fillId="0" borderId="250" xfId="0" applyNumberFormat="1" applyFont="1" applyBorder="1" applyAlignment="1">
      <alignment horizontal="left" vertical="center" shrinkToFit="1"/>
    </xf>
    <xf numFmtId="49" fontId="6" fillId="0" borderId="22" xfId="0" applyNumberFormat="1" applyFont="1" applyBorder="1" applyAlignment="1">
      <alignment horizontal="left" vertical="center" shrinkToFit="1"/>
    </xf>
    <xf numFmtId="183" fontId="6" fillId="0" borderId="71" xfId="0" applyNumberFormat="1" applyFont="1" applyBorder="1" applyAlignment="1">
      <alignment horizontal="center" vertical="center"/>
    </xf>
    <xf numFmtId="49" fontId="50" fillId="0" borderId="71" xfId="0" applyNumberFormat="1" applyFont="1" applyBorder="1" applyAlignment="1">
      <alignment horizontal="center" vertical="center" shrinkToFit="1"/>
    </xf>
    <xf numFmtId="0" fontId="12" fillId="60" borderId="21" xfId="0" applyFont="1" applyFill="1" applyBorder="1" applyAlignment="1">
      <alignment horizontal="distributed" vertical="center"/>
    </xf>
    <xf numFmtId="0" fontId="12" fillId="60" borderId="47" xfId="0" applyFont="1" applyFill="1" applyBorder="1" applyAlignment="1">
      <alignment horizontal="distributed" vertical="center"/>
    </xf>
    <xf numFmtId="0" fontId="12" fillId="60" borderId="4" xfId="0" applyFont="1" applyFill="1" applyBorder="1" applyAlignment="1">
      <alignment horizontal="distributed" vertical="center"/>
    </xf>
    <xf numFmtId="221" fontId="50" fillId="0" borderId="210" xfId="0" applyNumberFormat="1" applyFont="1" applyBorder="1" applyAlignment="1">
      <alignment horizontal="left" vertical="center" shrinkToFit="1"/>
    </xf>
    <xf numFmtId="221" fontId="50" fillId="0" borderId="127" xfId="0" applyNumberFormat="1" applyFont="1" applyBorder="1" applyAlignment="1">
      <alignment horizontal="left" vertical="center" shrinkToFit="1"/>
    </xf>
    <xf numFmtId="221" fontId="50" fillId="0" borderId="202" xfId="0" applyNumberFormat="1" applyFont="1" applyBorder="1" applyAlignment="1">
      <alignment horizontal="left" vertical="center" shrinkToFit="1"/>
    </xf>
    <xf numFmtId="49" fontId="6" fillId="0" borderId="9" xfId="0" applyNumberFormat="1" applyFont="1" applyBorder="1" applyAlignment="1">
      <alignment horizontal="left" vertical="center" shrinkToFit="1"/>
    </xf>
    <xf numFmtId="0" fontId="12" fillId="60" borderId="21" xfId="0" applyFont="1" applyFill="1" applyBorder="1" applyAlignment="1">
      <alignment horizontal="center" vertical="center"/>
    </xf>
    <xf numFmtId="0" fontId="12" fillId="60" borderId="4" xfId="0" applyFont="1" applyFill="1" applyBorder="1" applyAlignment="1">
      <alignment horizontal="center" vertical="center"/>
    </xf>
    <xf numFmtId="49" fontId="6" fillId="0" borderId="0" xfId="0" applyNumberFormat="1" applyFont="1" applyBorder="1" applyAlignment="1">
      <alignment horizontal="left" vertical="center"/>
    </xf>
    <xf numFmtId="49" fontId="15" fillId="0" borderId="134" xfId="0" applyNumberFormat="1" applyFont="1" applyBorder="1" applyAlignment="1">
      <alignment horizontal="left" vertical="center" shrinkToFit="1"/>
    </xf>
    <xf numFmtId="49" fontId="15" fillId="0" borderId="0" xfId="0" applyNumberFormat="1" applyFont="1" applyBorder="1" applyAlignment="1">
      <alignment horizontal="left" vertical="center" shrinkToFit="1"/>
    </xf>
    <xf numFmtId="49" fontId="15" fillId="0" borderId="250" xfId="0" applyNumberFormat="1" applyFont="1" applyBorder="1" applyAlignment="1">
      <alignment horizontal="left" vertical="center" shrinkToFit="1"/>
    </xf>
    <xf numFmtId="49" fontId="6" fillId="0" borderId="70" xfId="0" applyNumberFormat="1" applyFont="1" applyBorder="1" applyAlignment="1">
      <alignment horizontal="left" vertical="center" shrinkToFit="1"/>
    </xf>
    <xf numFmtId="0" fontId="3" fillId="0" borderId="134" xfId="557" applyBorder="1"/>
    <xf numFmtId="0" fontId="3" fillId="0" borderId="0" xfId="557"/>
    <xf numFmtId="0" fontId="3" fillId="0" borderId="250" xfId="557" applyBorder="1"/>
    <xf numFmtId="0" fontId="12" fillId="2" borderId="21" xfId="0" applyFont="1" applyFill="1" applyBorder="1" applyAlignment="1">
      <alignment horizontal="center" vertical="center"/>
    </xf>
    <xf numFmtId="0" fontId="12" fillId="2" borderId="47" xfId="0" applyFont="1" applyFill="1" applyBorder="1" applyAlignment="1">
      <alignment horizontal="center" vertical="center"/>
    </xf>
    <xf numFmtId="0" fontId="12" fillId="2" borderId="4" xfId="0" applyFont="1" applyFill="1" applyBorder="1" applyAlignment="1">
      <alignment horizontal="center" vertical="center"/>
    </xf>
    <xf numFmtId="0" fontId="0" fillId="0" borderId="0" xfId="0" applyAlignment="1">
      <alignment horizontal="center" vertical="center" wrapText="1"/>
    </xf>
    <xf numFmtId="0" fontId="151" fillId="0" borderId="0" xfId="0" applyFont="1" applyBorder="1" applyAlignment="1">
      <alignment vertical="center" shrinkToFit="1"/>
    </xf>
    <xf numFmtId="0" fontId="13" fillId="0" borderId="6" xfId="0" applyFont="1" applyBorder="1" applyAlignment="1">
      <alignment horizontal="left" vertical="center" shrinkToFit="1"/>
    </xf>
    <xf numFmtId="0" fontId="13" fillId="0" borderId="127" xfId="0" applyFont="1" applyBorder="1" applyAlignment="1">
      <alignment horizontal="left" vertical="center" shrinkToFit="1"/>
    </xf>
    <xf numFmtId="0" fontId="0" fillId="0" borderId="0" xfId="0" applyAlignment="1">
      <alignment horizontal="left" vertical="center" wrapText="1"/>
    </xf>
    <xf numFmtId="0" fontId="0" fillId="0" borderId="0" xfId="0" applyAlignment="1">
      <alignment horizontal="left"/>
    </xf>
    <xf numFmtId="0" fontId="3" fillId="0" borderId="0" xfId="0" applyFont="1" applyAlignment="1">
      <alignment horizontal="left"/>
    </xf>
    <xf numFmtId="0" fontId="0" fillId="0" borderId="0" xfId="0" applyAlignment="1">
      <alignment horizontal="left" vertical="center"/>
    </xf>
    <xf numFmtId="0" fontId="3" fillId="0" borderId="0" xfId="0" applyFont="1" applyAlignment="1">
      <alignment horizontal="left" vertical="center"/>
    </xf>
    <xf numFmtId="0" fontId="12" fillId="2" borderId="21" xfId="0" applyFont="1" applyFill="1" applyBorder="1" applyAlignment="1">
      <alignment horizontal="left" vertical="center"/>
    </xf>
    <xf numFmtId="0" fontId="12" fillId="2" borderId="47" xfId="0" applyFont="1" applyFill="1" applyBorder="1" applyAlignment="1">
      <alignment horizontal="left" vertical="center"/>
    </xf>
    <xf numFmtId="0" fontId="12" fillId="2" borderId="4" xfId="0" applyFont="1" applyFill="1" applyBorder="1" applyAlignment="1">
      <alignment horizontal="left" vertical="center"/>
    </xf>
    <xf numFmtId="179" fontId="7" fillId="0" borderId="47" xfId="0" applyNumberFormat="1" applyFont="1" applyBorder="1" applyAlignment="1">
      <alignment horizontal="left" vertical="center" shrinkToFit="1"/>
    </xf>
    <xf numFmtId="6" fontId="5" fillId="0" borderId="21" xfId="1" applyFont="1" applyBorder="1" applyAlignment="1">
      <alignment horizontal="center" vertical="center" shrinkToFit="1"/>
    </xf>
    <xf numFmtId="6" fontId="5" fillId="0" borderId="47" xfId="1" applyFont="1" applyBorder="1" applyAlignment="1">
      <alignment horizontal="center" vertical="center" shrinkToFit="1"/>
    </xf>
    <xf numFmtId="6" fontId="5" fillId="0" borderId="4" xfId="1" applyFont="1" applyBorder="1" applyAlignment="1">
      <alignment horizontal="center" vertical="center" shrinkToFit="1"/>
    </xf>
    <xf numFmtId="0" fontId="6" fillId="0" borderId="58" xfId="0" quotePrefix="1" applyFont="1" applyBorder="1" applyAlignment="1">
      <alignment horizontal="left" vertical="center" shrinkToFit="1"/>
    </xf>
    <xf numFmtId="0" fontId="6" fillId="0" borderId="82" xfId="0" applyFont="1" applyBorder="1" applyAlignment="1">
      <alignment horizontal="left" vertical="center" shrinkToFit="1"/>
    </xf>
    <xf numFmtId="0" fontId="6" fillId="0" borderId="83" xfId="0" applyFont="1" applyBorder="1" applyAlignment="1">
      <alignment horizontal="left" vertical="center" shrinkToFit="1"/>
    </xf>
    <xf numFmtId="0" fontId="6" fillId="0" borderId="79" xfId="0" quotePrefix="1" applyFont="1" applyBorder="1" applyAlignment="1">
      <alignment horizontal="left" vertical="center" shrinkToFit="1"/>
    </xf>
    <xf numFmtId="0" fontId="6" fillId="0" borderId="80" xfId="0" applyFont="1" applyBorder="1" applyAlignment="1">
      <alignment horizontal="left" vertical="center" shrinkToFit="1"/>
    </xf>
    <xf numFmtId="0" fontId="6" fillId="0" borderId="81" xfId="0" applyFont="1" applyBorder="1" applyAlignment="1">
      <alignment horizontal="left" vertical="center" shrinkToFit="1"/>
    </xf>
    <xf numFmtId="0" fontId="6" fillId="0" borderId="80" xfId="0" quotePrefix="1" applyFont="1" applyBorder="1" applyAlignment="1">
      <alignment horizontal="left" vertical="center" shrinkToFit="1"/>
    </xf>
    <xf numFmtId="0" fontId="6" fillId="0" borderId="81" xfId="0" quotePrefix="1" applyFont="1" applyBorder="1" applyAlignment="1">
      <alignment horizontal="left" vertical="center" shrinkToFit="1"/>
    </xf>
    <xf numFmtId="0" fontId="16" fillId="0" borderId="13" xfId="0" applyFont="1" applyBorder="1" applyAlignment="1">
      <alignment horizontal="center" vertical="center" textRotation="255" shrinkToFit="1"/>
    </xf>
    <xf numFmtId="0" fontId="16" fillId="0" borderId="20" xfId="0" applyFont="1" applyBorder="1" applyAlignment="1">
      <alignment horizontal="center" vertical="center" textRotation="255" shrinkToFit="1"/>
    </xf>
    <xf numFmtId="0" fontId="16" fillId="0" borderId="71" xfId="0" applyFont="1" applyBorder="1" applyAlignment="1">
      <alignment horizontal="center" vertical="center" textRotation="255" shrinkToFit="1"/>
    </xf>
    <xf numFmtId="0" fontId="6" fillId="0" borderId="6" xfId="0" applyFont="1" applyBorder="1" applyAlignment="1">
      <alignment horizontal="center" vertical="center" shrinkToFit="1"/>
    </xf>
    <xf numFmtId="0" fontId="6" fillId="0" borderId="69" xfId="0" applyFont="1" applyBorder="1" applyAlignment="1">
      <alignment horizontal="center" vertical="center" shrinkToFit="1"/>
    </xf>
    <xf numFmtId="0" fontId="6" fillId="0" borderId="58" xfId="0" applyFont="1" applyBorder="1" applyAlignment="1">
      <alignment horizontal="left" vertical="center" shrinkToFit="1"/>
    </xf>
    <xf numFmtId="177" fontId="50" fillId="0" borderId="195" xfId="0" applyNumberFormat="1" applyFont="1" applyBorder="1" applyAlignment="1">
      <alignment horizontal="center" vertical="center" shrinkToFit="1"/>
    </xf>
    <xf numFmtId="0" fontId="6" fillId="0" borderId="256" xfId="0" quotePrefix="1" applyFont="1" applyBorder="1" applyAlignment="1">
      <alignment horizontal="left" vertical="center" shrinkToFit="1"/>
    </xf>
    <xf numFmtId="0" fontId="6" fillId="0" borderId="127" xfId="0" applyFont="1" applyBorder="1" applyAlignment="1">
      <alignment horizontal="left" vertical="center" shrinkToFit="1"/>
    </xf>
    <xf numFmtId="0" fontId="6" fillId="0" borderId="255" xfId="0" applyFont="1" applyBorder="1" applyAlignment="1">
      <alignment horizontal="left" vertical="center" shrinkToFit="1"/>
    </xf>
    <xf numFmtId="0" fontId="6" fillId="0" borderId="256" xfId="0" applyFont="1" applyBorder="1" applyAlignment="1">
      <alignment horizontal="left" vertical="center" shrinkToFit="1"/>
    </xf>
    <xf numFmtId="232" fontId="6" fillId="0" borderId="195" xfId="0" quotePrefix="1" applyNumberFormat="1" applyFont="1" applyBorder="1" applyAlignment="1">
      <alignment horizontal="center" vertical="center"/>
    </xf>
    <xf numFmtId="232" fontId="6" fillId="0" borderId="15" xfId="0" quotePrefix="1" applyNumberFormat="1" applyFont="1" applyBorder="1" applyAlignment="1">
      <alignment horizontal="center" vertical="center"/>
    </xf>
    <xf numFmtId="183" fontId="6" fillId="0" borderId="195" xfId="0" applyNumberFormat="1" applyFont="1" applyBorder="1" applyAlignment="1">
      <alignment horizontal="center" vertical="center"/>
    </xf>
    <xf numFmtId="0" fontId="6" fillId="0" borderId="79" xfId="0" applyFont="1" applyBorder="1" applyAlignment="1">
      <alignment horizontal="left" vertical="center" shrinkToFit="1"/>
    </xf>
    <xf numFmtId="232" fontId="179" fillId="0" borderId="10" xfId="0" applyNumberFormat="1" applyFont="1" applyBorder="1" applyAlignment="1">
      <alignment horizontal="center" vertical="center"/>
    </xf>
    <xf numFmtId="232" fontId="6" fillId="0" borderId="10" xfId="0" applyNumberFormat="1" applyFont="1" applyBorder="1" applyAlignment="1">
      <alignment horizontal="center" vertical="center"/>
    </xf>
    <xf numFmtId="0" fontId="33" fillId="0" borderId="79" xfId="0" quotePrefix="1" applyFont="1" applyBorder="1" applyAlignment="1">
      <alignment horizontal="left" vertical="center" shrinkToFit="1"/>
    </xf>
    <xf numFmtId="0" fontId="33" fillId="0" borderId="80" xfId="0" quotePrefix="1" applyFont="1" applyBorder="1" applyAlignment="1">
      <alignment horizontal="left" vertical="center" shrinkToFit="1"/>
    </xf>
    <xf numFmtId="0" fontId="33" fillId="0" borderId="81" xfId="0" quotePrefix="1" applyFont="1" applyBorder="1" applyAlignment="1">
      <alignment horizontal="left" vertical="center" shrinkToFit="1"/>
    </xf>
    <xf numFmtId="232" fontId="6" fillId="0" borderId="19" xfId="0" applyNumberFormat="1" applyFont="1" applyBorder="1" applyAlignment="1">
      <alignment horizontal="center" vertical="center"/>
    </xf>
    <xf numFmtId="232" fontId="6" fillId="0" borderId="15" xfId="0" applyNumberFormat="1" applyFont="1" applyBorder="1" applyAlignment="1">
      <alignment horizontal="center" vertical="center"/>
    </xf>
    <xf numFmtId="0" fontId="6" fillId="0" borderId="134" xfId="0" quotePrefix="1" applyFont="1" applyBorder="1" applyAlignment="1">
      <alignment horizontal="left" vertical="center" shrinkToFit="1"/>
    </xf>
    <xf numFmtId="0" fontId="6" fillId="0" borderId="0" xfId="0" applyFont="1" applyBorder="1" applyAlignment="1">
      <alignment horizontal="left" vertical="center" shrinkToFit="1"/>
    </xf>
    <xf numFmtId="0" fontId="6" fillId="0" borderId="250" xfId="0" applyFont="1" applyBorder="1" applyAlignment="1">
      <alignment horizontal="left" vertical="center" shrinkToFit="1"/>
    </xf>
    <xf numFmtId="0" fontId="6" fillId="0" borderId="134" xfId="0" applyFont="1" applyBorder="1" applyAlignment="1">
      <alignment horizontal="left" vertical="center" shrinkToFit="1"/>
    </xf>
    <xf numFmtId="0" fontId="0" fillId="0" borderId="58" xfId="0" applyBorder="1" applyAlignment="1">
      <alignment horizontal="left" vertical="center" shrinkToFit="1"/>
    </xf>
    <xf numFmtId="0" fontId="0" fillId="0" borderId="82" xfId="0" applyBorder="1" applyAlignment="1">
      <alignment horizontal="left" vertical="center" shrinkToFit="1"/>
    </xf>
    <xf numFmtId="0" fontId="0" fillId="0" borderId="83" xfId="0" applyBorder="1" applyAlignment="1">
      <alignment horizontal="left" vertical="center" shrinkToFit="1"/>
    </xf>
    <xf numFmtId="232" fontId="33" fillId="0" borderId="19" xfId="0" applyNumberFormat="1" applyFont="1" applyBorder="1" applyAlignment="1">
      <alignment horizontal="center" vertical="center"/>
    </xf>
    <xf numFmtId="0" fontId="6" fillId="0" borderId="79" xfId="0" quotePrefix="1" applyFont="1" applyBorder="1" applyAlignment="1">
      <alignment horizontal="left" vertical="center" wrapText="1" shrinkToFit="1"/>
    </xf>
    <xf numFmtId="0" fontId="33" fillId="0" borderId="134" xfId="0" applyFont="1" applyBorder="1" applyAlignment="1">
      <alignment horizontal="left" vertical="center" shrinkToFit="1"/>
    </xf>
    <xf numFmtId="0" fontId="33" fillId="0" borderId="80" xfId="0" applyFont="1" applyBorder="1" applyAlignment="1">
      <alignment horizontal="left" vertical="center" shrinkToFit="1"/>
    </xf>
    <xf numFmtId="0" fontId="33" fillId="0" borderId="81" xfId="0" applyFont="1" applyBorder="1" applyAlignment="1">
      <alignment horizontal="left" vertical="center" shrinkToFit="1"/>
    </xf>
    <xf numFmtId="232" fontId="179" fillId="0" borderId="19" xfId="0" applyNumberFormat="1" applyFont="1" applyBorder="1" applyAlignment="1">
      <alignment horizontal="center" vertical="center"/>
    </xf>
    <xf numFmtId="232" fontId="33" fillId="0" borderId="10" xfId="0" applyNumberFormat="1" applyFont="1" applyBorder="1" applyAlignment="1">
      <alignment horizontal="center" vertical="center"/>
    </xf>
    <xf numFmtId="0" fontId="6" fillId="0" borderId="82" xfId="0" quotePrefix="1" applyFont="1" applyBorder="1" applyAlignment="1">
      <alignment horizontal="left" vertical="center" shrinkToFit="1"/>
    </xf>
    <xf numFmtId="0" fontId="6" fillId="0" borderId="83" xfId="0" quotePrefix="1" applyFont="1" applyBorder="1" applyAlignment="1">
      <alignment horizontal="left" vertical="center" shrinkToFit="1"/>
    </xf>
    <xf numFmtId="0" fontId="6" fillId="0" borderId="58" xfId="0" quotePrefix="1" applyFont="1" applyBorder="1" applyAlignment="1">
      <alignment horizontal="left" vertical="center" wrapText="1" shrinkToFit="1"/>
    </xf>
    <xf numFmtId="0" fontId="6" fillId="0" borderId="8" xfId="0" applyFont="1" applyBorder="1" applyAlignment="1">
      <alignment horizontal="left" vertical="center" shrinkToFit="1"/>
    </xf>
    <xf numFmtId="0" fontId="6" fillId="0" borderId="9" xfId="0" applyFont="1" applyBorder="1" applyAlignment="1">
      <alignment horizontal="left" vertical="center" shrinkToFit="1"/>
    </xf>
    <xf numFmtId="0" fontId="6" fillId="0" borderId="70" xfId="0" applyFont="1" applyBorder="1" applyAlignment="1">
      <alignment horizontal="left" vertical="center" shrinkToFit="1"/>
    </xf>
    <xf numFmtId="49" fontId="6" fillId="0" borderId="19" xfId="0" quotePrefix="1" applyNumberFormat="1" applyFont="1" applyBorder="1" applyAlignment="1">
      <alignment horizontal="center" vertical="center"/>
    </xf>
    <xf numFmtId="49" fontId="6" fillId="0" borderId="71" xfId="0" quotePrefix="1" applyNumberFormat="1" applyFont="1" applyBorder="1" applyAlignment="1">
      <alignment horizontal="center" vertical="center"/>
    </xf>
    <xf numFmtId="0" fontId="51" fillId="0" borderId="0" xfId="5" applyFont="1" applyAlignment="1">
      <alignment horizontal="left" vertical="center"/>
    </xf>
    <xf numFmtId="0" fontId="51" fillId="0" borderId="0" xfId="5" quotePrefix="1" applyFont="1" applyAlignment="1">
      <alignment horizontal="left" vertical="center"/>
    </xf>
    <xf numFmtId="0" fontId="24" fillId="0" borderId="0" xfId="10" quotePrefix="1" applyFont="1" applyAlignment="1">
      <alignment horizontal="left"/>
    </xf>
    <xf numFmtId="0" fontId="24" fillId="0" borderId="0" xfId="10" applyFont="1" applyAlignment="1">
      <alignment horizontal="left"/>
    </xf>
    <xf numFmtId="0" fontId="27" fillId="2" borderId="23" xfId="8" applyFont="1" applyFill="1" applyBorder="1" applyAlignment="1">
      <alignment horizontal="center"/>
    </xf>
    <xf numFmtId="0" fontId="27" fillId="2" borderId="28" xfId="8" applyFont="1" applyFill="1" applyBorder="1" applyAlignment="1">
      <alignment horizontal="center"/>
    </xf>
    <xf numFmtId="0" fontId="5" fillId="2" borderId="23" xfId="8" applyFont="1" applyFill="1" applyBorder="1" applyAlignment="1">
      <alignment horizontal="center" vertical="center"/>
    </xf>
    <xf numFmtId="0" fontId="5" fillId="2" borderId="28" xfId="8" applyFont="1" applyFill="1" applyBorder="1" applyAlignment="1">
      <alignment horizontal="center" vertical="center"/>
    </xf>
    <xf numFmtId="0" fontId="14" fillId="2" borderId="23" xfId="8" applyFont="1" applyFill="1" applyBorder="1" applyAlignment="1">
      <alignment horizontal="center" vertical="center" shrinkToFit="1"/>
    </xf>
    <xf numFmtId="0" fontId="14" fillId="2" borderId="28" xfId="8" applyFont="1" applyFill="1" applyBorder="1" applyAlignment="1">
      <alignment horizontal="center" vertical="center" shrinkToFit="1"/>
    </xf>
    <xf numFmtId="0" fontId="14" fillId="2" borderId="64" xfId="8" applyFont="1" applyFill="1" applyBorder="1" applyAlignment="1">
      <alignment horizontal="center" vertical="center"/>
    </xf>
    <xf numFmtId="0" fontId="3" fillId="0" borderId="87" xfId="8" applyBorder="1" applyAlignment="1">
      <alignment horizontal="center" vertical="center"/>
    </xf>
    <xf numFmtId="0" fontId="5" fillId="0" borderId="23" xfId="8" applyFont="1" applyBorder="1" applyAlignment="1">
      <alignment horizontal="center" vertical="center" textRotation="255"/>
    </xf>
    <xf numFmtId="0" fontId="5" fillId="0" borderId="28" xfId="8" applyFont="1" applyBorder="1" applyAlignment="1">
      <alignment horizontal="center" vertical="center" textRotation="255"/>
    </xf>
    <xf numFmtId="0" fontId="5" fillId="0" borderId="59" xfId="8" applyFont="1" applyBorder="1" applyAlignment="1">
      <alignment vertical="center" textRotation="255"/>
    </xf>
    <xf numFmtId="0" fontId="5" fillId="0" borderId="28" xfId="8" applyFont="1" applyBorder="1" applyAlignment="1">
      <alignment vertical="center" textRotation="255"/>
    </xf>
    <xf numFmtId="49" fontId="30" fillId="0" borderId="0" xfId="11" quotePrefix="1" applyNumberFormat="1" applyFont="1" applyAlignment="1">
      <alignment horizontal="center"/>
    </xf>
    <xf numFmtId="0" fontId="3" fillId="0" borderId="53" xfId="8" applyBorder="1" applyAlignment="1">
      <alignment horizontal="center" vertical="center"/>
    </xf>
    <xf numFmtId="0" fontId="14" fillId="2" borderId="23" xfId="8" applyFont="1" applyFill="1" applyBorder="1" applyAlignment="1">
      <alignment horizontal="center" vertical="center"/>
    </xf>
    <xf numFmtId="0" fontId="14" fillId="2" borderId="28" xfId="8" applyFont="1" applyFill="1" applyBorder="1" applyAlignment="1">
      <alignment horizontal="center" vertical="center"/>
    </xf>
    <xf numFmtId="0" fontId="5" fillId="0" borderId="59" xfId="8" applyFont="1" applyBorder="1" applyAlignment="1">
      <alignment horizontal="center" vertical="center" textRotation="255"/>
    </xf>
    <xf numFmtId="0" fontId="5" fillId="0" borderId="43" xfId="8" applyFont="1" applyBorder="1" applyAlignment="1">
      <alignment horizontal="center" vertical="center" textRotation="255"/>
    </xf>
    <xf numFmtId="0" fontId="5" fillId="0" borderId="35" xfId="8" applyFont="1" applyBorder="1" applyAlignment="1">
      <alignment horizontal="center" vertical="center" textRotation="255"/>
    </xf>
    <xf numFmtId="0" fontId="5" fillId="0" borderId="48" xfId="8" applyFont="1" applyBorder="1" applyAlignment="1">
      <alignment horizontal="center" vertical="center" textRotation="255"/>
    </xf>
    <xf numFmtId="0" fontId="14" fillId="2" borderId="64" xfId="8" quotePrefix="1" applyFont="1" applyFill="1" applyBorder="1" applyAlignment="1">
      <alignment horizontal="center" vertical="center"/>
    </xf>
    <xf numFmtId="0" fontId="34" fillId="0" borderId="0" xfId="6" quotePrefix="1" applyFont="1" applyAlignment="1">
      <alignment horizontal="left" vertical="center"/>
    </xf>
    <xf numFmtId="0" fontId="35" fillId="0" borderId="0" xfId="10" quotePrefix="1" applyFont="1" applyAlignment="1">
      <alignment horizontal="left" vertical="center"/>
    </xf>
    <xf numFmtId="0" fontId="35" fillId="0" borderId="0" xfId="10" applyFont="1" applyAlignment="1">
      <alignment horizontal="left" vertical="center"/>
    </xf>
    <xf numFmtId="0" fontId="5" fillId="0" borderId="95" xfId="11" applyFont="1" applyBorder="1" applyAlignment="1">
      <alignment horizontal="center"/>
    </xf>
    <xf numFmtId="0" fontId="5" fillId="2" borderId="23" xfId="11" applyFont="1" applyFill="1" applyBorder="1" applyAlignment="1">
      <alignment horizontal="center" vertical="center"/>
    </xf>
    <xf numFmtId="0" fontId="5" fillId="2" borderId="28" xfId="11" applyFont="1" applyFill="1" applyBorder="1" applyAlignment="1">
      <alignment horizontal="center" vertical="center"/>
    </xf>
    <xf numFmtId="0" fontId="5" fillId="2" borderId="64" xfId="11" applyFont="1" applyFill="1" applyBorder="1" applyAlignment="1">
      <alignment horizontal="center" vertical="center"/>
    </xf>
    <xf numFmtId="0" fontId="5" fillId="2" borderId="87" xfId="11" applyFont="1" applyFill="1" applyBorder="1" applyAlignment="1">
      <alignment horizontal="center" vertical="center"/>
    </xf>
    <xf numFmtId="0" fontId="5" fillId="2" borderId="89" xfId="11" applyFont="1" applyFill="1" applyBorder="1" applyAlignment="1">
      <alignment horizontal="center" vertical="center"/>
    </xf>
    <xf numFmtId="0" fontId="5" fillId="2" borderId="66" xfId="11" applyFont="1" applyFill="1" applyBorder="1" applyAlignment="1">
      <alignment horizontal="center" vertical="center"/>
    </xf>
    <xf numFmtId="0" fontId="5" fillId="2" borderId="67" xfId="11" applyFont="1" applyFill="1" applyBorder="1" applyAlignment="1">
      <alignment horizontal="center" vertical="center"/>
    </xf>
    <xf numFmtId="0" fontId="5" fillId="2" borderId="68" xfId="11" applyFont="1" applyFill="1" applyBorder="1" applyAlignment="1">
      <alignment horizontal="center" vertical="center"/>
    </xf>
    <xf numFmtId="0" fontId="5" fillId="0" borderId="59" xfId="11" quotePrefix="1" applyFont="1" applyBorder="1" applyAlignment="1">
      <alignment horizontal="center" vertical="center" textRotation="255"/>
    </xf>
    <xf numFmtId="0" fontId="5" fillId="0" borderId="59" xfId="11" applyFont="1" applyBorder="1" applyAlignment="1">
      <alignment horizontal="center" vertical="center" textRotation="255"/>
    </xf>
    <xf numFmtId="0" fontId="5" fillId="0" borderId="28" xfId="11" applyFont="1" applyBorder="1" applyAlignment="1">
      <alignment horizontal="center" vertical="center" textRotation="255"/>
    </xf>
    <xf numFmtId="0" fontId="5" fillId="0" borderId="54" xfId="11" applyFont="1" applyBorder="1" applyAlignment="1">
      <alignment horizontal="center" vertical="center"/>
    </xf>
    <xf numFmtId="0" fontId="5" fillId="0" borderId="46" xfId="11" applyFont="1" applyBorder="1" applyAlignment="1">
      <alignment horizontal="center" vertical="center"/>
    </xf>
    <xf numFmtId="0" fontId="5" fillId="0" borderId="34" xfId="11" applyFont="1" applyBorder="1" applyAlignment="1">
      <alignment horizontal="center" vertical="center"/>
    </xf>
    <xf numFmtId="0" fontId="5" fillId="0" borderId="38" xfId="11" applyFont="1" applyBorder="1" applyAlignment="1">
      <alignment horizontal="center" vertical="center"/>
    </xf>
    <xf numFmtId="0" fontId="5" fillId="0" borderId="34" xfId="11" applyFont="1" applyBorder="1" applyAlignment="1">
      <alignment horizontal="left" vertical="center"/>
    </xf>
    <xf numFmtId="0" fontId="5" fillId="0" borderId="38" xfId="11" applyFont="1" applyBorder="1" applyAlignment="1">
      <alignment horizontal="left" vertical="center"/>
    </xf>
    <xf numFmtId="0" fontId="5" fillId="0" borderId="39" xfId="11" applyFont="1" applyBorder="1" applyAlignment="1">
      <alignment horizontal="left" vertical="center" wrapText="1"/>
    </xf>
    <xf numFmtId="0" fontId="5" fillId="0" borderId="42" xfId="11" applyFont="1" applyBorder="1" applyAlignment="1">
      <alignment horizontal="left" vertical="center"/>
    </xf>
    <xf numFmtId="0" fontId="5" fillId="0" borderId="23" xfId="11" applyFont="1" applyBorder="1" applyAlignment="1">
      <alignment horizontal="center" vertical="center" textRotation="255"/>
    </xf>
    <xf numFmtId="0" fontId="5" fillId="0" borderId="29" xfId="11" applyFont="1" applyBorder="1" applyAlignment="1">
      <alignment horizontal="center" vertical="center"/>
    </xf>
    <xf numFmtId="0" fontId="5" fillId="0" borderId="53" xfId="11" applyFont="1" applyBorder="1" applyAlignment="1">
      <alignment horizontal="center" vertical="center"/>
    </xf>
    <xf numFmtId="0" fontId="5" fillId="0" borderId="55" xfId="11" applyFont="1" applyBorder="1" applyAlignment="1">
      <alignment horizontal="center" vertical="center"/>
    </xf>
    <xf numFmtId="0" fontId="5" fillId="0" borderId="52" xfId="11" applyFont="1" applyBorder="1" applyAlignment="1">
      <alignment horizontal="center" vertical="center"/>
    </xf>
    <xf numFmtId="0" fontId="5" fillId="2" borderId="63" xfId="11" applyFont="1" applyFill="1" applyBorder="1" applyAlignment="1">
      <alignment horizontal="center" vertical="center"/>
    </xf>
    <xf numFmtId="0" fontId="5" fillId="0" borderId="23" xfId="11" quotePrefix="1" applyFont="1" applyBorder="1" applyAlignment="1">
      <alignment horizontal="center" vertical="center" textRotation="255"/>
    </xf>
    <xf numFmtId="0" fontId="5" fillId="0" borderId="29" xfId="11" applyFont="1" applyBorder="1" applyAlignment="1">
      <alignment horizontal="left" vertical="center"/>
    </xf>
    <xf numFmtId="0" fontId="5" fillId="0" borderId="53" xfId="11" applyFont="1" applyBorder="1" applyAlignment="1">
      <alignment horizontal="left" vertical="center"/>
    </xf>
    <xf numFmtId="0" fontId="5" fillId="0" borderId="39" xfId="11" quotePrefix="1" applyFont="1" applyBorder="1" applyAlignment="1">
      <alignment horizontal="center" vertical="center"/>
    </xf>
    <xf numFmtId="0" fontId="5" fillId="0" borderId="42" xfId="11" quotePrefix="1" applyFont="1" applyBorder="1" applyAlignment="1">
      <alignment horizontal="center" vertical="center"/>
    </xf>
    <xf numFmtId="0" fontId="3" fillId="0" borderId="59" xfId="6" applyBorder="1" applyAlignment="1">
      <alignment horizontal="center" vertical="center" textRotation="255"/>
    </xf>
    <xf numFmtId="0" fontId="5" fillId="0" borderId="54" xfId="11" applyFont="1" applyBorder="1" applyAlignment="1">
      <alignment horizontal="left" vertical="center"/>
    </xf>
    <xf numFmtId="0" fontId="5" fillId="0" borderId="46" xfId="11" applyFont="1" applyBorder="1" applyAlignment="1">
      <alignment horizontal="left" vertical="center"/>
    </xf>
    <xf numFmtId="0" fontId="5" fillId="0" borderId="55" xfId="11" applyFont="1" applyBorder="1" applyAlignment="1">
      <alignment horizontal="left" vertical="center"/>
    </xf>
    <xf numFmtId="0" fontId="5" fillId="0" borderId="52" xfId="11" applyFont="1" applyBorder="1" applyAlignment="1">
      <alignment horizontal="left" vertical="center"/>
    </xf>
    <xf numFmtId="0" fontId="5" fillId="0" borderId="39" xfId="11" applyFont="1" applyBorder="1" applyAlignment="1">
      <alignment horizontal="center" vertical="center"/>
    </xf>
    <xf numFmtId="0" fontId="5" fillId="0" borderId="42" xfId="11" applyFont="1" applyBorder="1" applyAlignment="1">
      <alignment horizontal="center" vertical="center"/>
    </xf>
    <xf numFmtId="0" fontId="14" fillId="2" borderId="206" xfId="565" applyFont="1" applyFill="1" applyBorder="1" applyAlignment="1">
      <alignment horizontal="center" vertical="center"/>
    </xf>
    <xf numFmtId="0" fontId="14" fillId="2" borderId="45" xfId="565" applyFont="1" applyFill="1" applyBorder="1" applyAlignment="1">
      <alignment horizontal="center" vertical="center"/>
    </xf>
    <xf numFmtId="0" fontId="14" fillId="2" borderId="207" xfId="565" applyFont="1" applyFill="1" applyBorder="1" applyAlignment="1">
      <alignment horizontal="center" vertical="center"/>
    </xf>
    <xf numFmtId="0" fontId="14" fillId="2" borderId="44" xfId="565" applyFont="1" applyFill="1" applyBorder="1" applyAlignment="1">
      <alignment horizontal="center" vertical="center"/>
    </xf>
    <xf numFmtId="0" fontId="14" fillId="2" borderId="208" xfId="565" applyFont="1" applyFill="1" applyBorder="1" applyAlignment="1">
      <alignment horizontal="center" vertical="center"/>
    </xf>
    <xf numFmtId="0" fontId="14" fillId="2" borderId="209" xfId="565" applyFont="1" applyFill="1" applyBorder="1" applyAlignment="1">
      <alignment horizontal="center" vertical="center"/>
    </xf>
    <xf numFmtId="0" fontId="14" fillId="2" borderId="64" xfId="565" applyFont="1" applyFill="1" applyBorder="1" applyAlignment="1">
      <alignment horizontal="center" vertical="center"/>
    </xf>
    <xf numFmtId="0" fontId="14" fillId="2" borderId="87" xfId="565" applyFont="1" applyFill="1" applyBorder="1" applyAlignment="1">
      <alignment horizontal="center" vertical="center"/>
    </xf>
    <xf numFmtId="0" fontId="14" fillId="2" borderId="195" xfId="565" applyFont="1" applyFill="1" applyBorder="1" applyAlignment="1">
      <alignment horizontal="center" vertical="center" wrapText="1"/>
    </xf>
    <xf numFmtId="0" fontId="14" fillId="2" borderId="71" xfId="565" applyFont="1" applyFill="1" applyBorder="1" applyAlignment="1">
      <alignment horizontal="center" vertical="center" wrapText="1"/>
    </xf>
    <xf numFmtId="0" fontId="14" fillId="2" borderId="196" xfId="565" applyFont="1" applyFill="1" applyBorder="1" applyAlignment="1">
      <alignment horizontal="center" vertical="center"/>
    </xf>
    <xf numFmtId="0" fontId="14" fillId="2" borderId="199" xfId="565" applyFont="1" applyFill="1" applyBorder="1" applyAlignment="1">
      <alignment horizontal="center" vertical="center"/>
    </xf>
    <xf numFmtId="0" fontId="14" fillId="2" borderId="205" xfId="565" applyFont="1" applyFill="1" applyBorder="1" applyAlignment="1">
      <alignment horizontal="center" vertical="center"/>
    </xf>
    <xf numFmtId="0" fontId="14" fillId="2" borderId="164" xfId="565" applyFont="1" applyFill="1" applyBorder="1" applyAlignment="1">
      <alignment horizontal="center" vertical="center"/>
    </xf>
    <xf numFmtId="0" fontId="14" fillId="2" borderId="202" xfId="565" applyFont="1" applyFill="1" applyBorder="1" applyAlignment="1">
      <alignment horizontal="center" vertical="center"/>
    </xf>
    <xf numFmtId="0" fontId="14" fillId="2" borderId="70" xfId="565" applyFont="1" applyFill="1" applyBorder="1" applyAlignment="1">
      <alignment horizontal="center" vertical="center"/>
    </xf>
    <xf numFmtId="0" fontId="14" fillId="2" borderId="63" xfId="565" applyFont="1" applyFill="1" applyBorder="1" applyAlignment="1">
      <alignment horizontal="center" vertical="center"/>
    </xf>
    <xf numFmtId="0" fontId="14" fillId="2" borderId="150" xfId="565" applyFont="1" applyFill="1" applyBorder="1" applyAlignment="1">
      <alignment horizontal="center" vertical="center"/>
    </xf>
    <xf numFmtId="0" fontId="14" fillId="2" borderId="162" xfId="565" applyFont="1" applyFill="1" applyBorder="1" applyAlignment="1">
      <alignment horizontal="center" vertical="center"/>
    </xf>
    <xf numFmtId="0" fontId="14" fillId="2" borderId="142" xfId="565" applyFont="1" applyFill="1" applyBorder="1" applyAlignment="1">
      <alignment horizontal="center" vertical="center"/>
    </xf>
    <xf numFmtId="0" fontId="14" fillId="2" borderId="151" xfId="565" applyFont="1" applyFill="1" applyBorder="1" applyAlignment="1">
      <alignment horizontal="center" vertical="center"/>
    </xf>
    <xf numFmtId="0" fontId="14" fillId="2" borderId="204" xfId="565" applyFont="1" applyFill="1" applyBorder="1" applyAlignment="1">
      <alignment horizontal="center" vertical="center"/>
    </xf>
    <xf numFmtId="0" fontId="14" fillId="2" borderId="71" xfId="565" applyFont="1" applyFill="1" applyBorder="1" applyAlignment="1">
      <alignment horizontal="center" vertical="center"/>
    </xf>
    <xf numFmtId="0" fontId="14" fillId="2" borderId="160" xfId="565" applyFont="1" applyFill="1" applyBorder="1" applyAlignment="1">
      <alignment horizontal="center" vertical="center"/>
    </xf>
    <xf numFmtId="0" fontId="14" fillId="2" borderId="134" xfId="565" applyFont="1" applyFill="1" applyBorder="1" applyAlignment="1">
      <alignment horizontal="center" vertical="center"/>
    </xf>
    <xf numFmtId="0" fontId="14" fillId="2" borderId="8" xfId="565" applyFont="1" applyFill="1" applyBorder="1" applyAlignment="1">
      <alignment horizontal="center" vertical="center"/>
    </xf>
    <xf numFmtId="0" fontId="14" fillId="2" borderId="161" xfId="565" applyFont="1" applyFill="1" applyBorder="1" applyAlignment="1">
      <alignment horizontal="center" vertical="center"/>
    </xf>
    <xf numFmtId="0" fontId="14" fillId="2" borderId="163" xfId="565" applyFont="1" applyFill="1" applyBorder="1" applyAlignment="1">
      <alignment horizontal="center" vertical="center"/>
    </xf>
    <xf numFmtId="0" fontId="14" fillId="2" borderId="145" xfId="565" applyFont="1" applyFill="1" applyBorder="1" applyAlignment="1">
      <alignment horizontal="center" vertical="center"/>
    </xf>
    <xf numFmtId="0" fontId="14" fillId="2" borderId="29" xfId="565" applyFont="1" applyFill="1" applyBorder="1" applyAlignment="1">
      <alignment horizontal="center" vertical="center"/>
    </xf>
    <xf numFmtId="0" fontId="14" fillId="4" borderId="210" xfId="566" applyFont="1" applyFill="1" applyBorder="1" applyAlignment="1" applyProtection="1">
      <alignment horizontal="center" vertical="center"/>
      <protection locked="0"/>
    </xf>
    <xf numFmtId="0" fontId="1" fillId="0" borderId="211" xfId="568" applyBorder="1" applyAlignment="1" applyProtection="1">
      <alignment horizontal="center" vertical="center"/>
      <protection locked="0"/>
    </xf>
    <xf numFmtId="0" fontId="14" fillId="4" borderId="86" xfId="566" applyFont="1" applyFill="1" applyBorder="1" applyAlignment="1" applyProtection="1">
      <alignment horizontal="left" vertical="center"/>
      <protection locked="0"/>
    </xf>
    <xf numFmtId="0" fontId="14" fillId="4" borderId="166" xfId="566" applyFont="1" applyFill="1" applyBorder="1" applyAlignment="1" applyProtection="1">
      <alignment horizontal="left" vertical="center"/>
      <protection locked="0"/>
    </xf>
    <xf numFmtId="0" fontId="14" fillId="4" borderId="72" xfId="566" applyFont="1" applyFill="1" applyBorder="1" applyAlignment="1" applyProtection="1">
      <alignment horizontal="center" vertical="center"/>
      <protection locked="0"/>
    </xf>
    <xf numFmtId="0" fontId="1" fillId="0" borderId="154" xfId="568" applyBorder="1" applyAlignment="1" applyProtection="1">
      <alignment horizontal="center" vertical="center"/>
      <protection locked="0"/>
    </xf>
    <xf numFmtId="0" fontId="14" fillId="0" borderId="156" xfId="565" applyFont="1" applyBorder="1" applyAlignment="1" applyProtection="1">
      <alignment horizontal="center" vertical="center"/>
      <protection locked="0"/>
    </xf>
    <xf numFmtId="0" fontId="1" fillId="0" borderId="159" xfId="568" applyBorder="1" applyAlignment="1" applyProtection="1">
      <alignment horizontal="center" vertical="center"/>
      <protection locked="0"/>
    </xf>
    <xf numFmtId="0" fontId="14" fillId="0" borderId="176" xfId="565" applyFont="1" applyBorder="1" applyProtection="1">
      <alignment vertical="center"/>
      <protection locked="0"/>
    </xf>
    <xf numFmtId="0" fontId="14" fillId="0" borderId="158" xfId="565" applyFont="1" applyBorder="1" applyProtection="1">
      <alignment vertical="center"/>
      <protection locked="0"/>
    </xf>
    <xf numFmtId="0" fontId="14" fillId="0" borderId="159" xfId="565" applyFont="1" applyBorder="1" applyProtection="1">
      <alignment vertical="center"/>
      <protection locked="0"/>
    </xf>
    <xf numFmtId="0" fontId="160" fillId="0" borderId="63" xfId="569" applyFont="1" applyBorder="1" applyAlignment="1">
      <alignment horizontal="center" vertical="center"/>
    </xf>
    <xf numFmtId="0" fontId="160" fillId="0" borderId="53" xfId="569" applyFont="1" applyBorder="1" applyAlignment="1">
      <alignment horizontal="center" vertical="center"/>
    </xf>
    <xf numFmtId="0" fontId="14" fillId="0" borderId="196" xfId="565" applyFont="1" applyBorder="1" applyAlignment="1">
      <alignment horizontal="center" vertical="center"/>
    </xf>
    <xf numFmtId="0" fontId="14" fillId="0" borderId="197" xfId="565" applyFont="1" applyBorder="1" applyAlignment="1">
      <alignment horizontal="center" vertical="center"/>
    </xf>
    <xf numFmtId="0" fontId="14" fillId="0" borderId="198" xfId="565" applyFont="1" applyBorder="1" applyAlignment="1">
      <alignment horizontal="center" vertical="center"/>
    </xf>
    <xf numFmtId="0" fontId="14" fillId="0" borderId="34" xfId="565" applyFont="1" applyBorder="1" applyAlignment="1">
      <alignment horizontal="center" vertical="center"/>
    </xf>
    <xf numFmtId="0" fontId="14" fillId="0" borderId="199" xfId="565" applyFont="1" applyBorder="1" applyAlignment="1">
      <alignment horizontal="center" vertical="center"/>
    </xf>
    <xf numFmtId="0" fontId="1" fillId="0" borderId="66" xfId="568" applyBorder="1">
      <alignment vertical="center"/>
    </xf>
    <xf numFmtId="0" fontId="1" fillId="0" borderId="62" xfId="568" applyBorder="1">
      <alignment vertical="center"/>
    </xf>
    <xf numFmtId="0" fontId="1" fillId="0" borderId="46" xfId="568" applyBorder="1">
      <alignment vertical="center"/>
    </xf>
    <xf numFmtId="0" fontId="14" fillId="2" borderId="89" xfId="565" applyFont="1" applyFill="1" applyBorder="1" applyAlignment="1">
      <alignment horizontal="center" vertical="center"/>
    </xf>
    <xf numFmtId="0" fontId="14" fillId="2" borderId="65" xfId="565" applyFont="1" applyFill="1" applyBorder="1" applyAlignment="1">
      <alignment horizontal="center" vertical="center"/>
    </xf>
    <xf numFmtId="0" fontId="14" fillId="2" borderId="66" xfId="565" applyFont="1" applyFill="1" applyBorder="1" applyAlignment="1">
      <alignment horizontal="center" vertical="center"/>
    </xf>
    <xf numFmtId="0" fontId="14" fillId="2" borderId="33" xfId="565" applyFont="1" applyFill="1" applyBorder="1" applyAlignment="1">
      <alignment horizontal="center" vertical="center"/>
    </xf>
    <xf numFmtId="0" fontId="14" fillId="2" borderId="0" xfId="565" applyFont="1" applyFill="1" applyAlignment="1">
      <alignment horizontal="center" vertical="center"/>
    </xf>
    <xf numFmtId="0" fontId="14" fillId="2" borderId="62" xfId="565" applyFont="1" applyFill="1" applyBorder="1" applyAlignment="1">
      <alignment horizontal="center" vertical="center"/>
    </xf>
    <xf numFmtId="0" fontId="14" fillId="2" borderId="54" xfId="565" applyFont="1" applyFill="1" applyBorder="1" applyAlignment="1">
      <alignment horizontal="center" vertical="center"/>
    </xf>
    <xf numFmtId="0" fontId="14" fillId="2" borderId="9" xfId="565" applyFont="1" applyFill="1" applyBorder="1" applyAlignment="1">
      <alignment horizontal="center" vertical="center"/>
    </xf>
    <xf numFmtId="0" fontId="14" fillId="2" borderId="46" xfId="565" applyFont="1" applyFill="1" applyBorder="1" applyAlignment="1">
      <alignment horizontal="center" vertical="center"/>
    </xf>
    <xf numFmtId="0" fontId="14" fillId="2" borderId="53" xfId="565" applyFont="1" applyFill="1" applyBorder="1" applyAlignment="1">
      <alignment horizontal="center" vertical="center"/>
    </xf>
    <xf numFmtId="0" fontId="14" fillId="0" borderId="197" xfId="565" applyFont="1" applyBorder="1" applyAlignment="1" applyProtection="1">
      <alignment horizontal="center" vertical="center" wrapText="1"/>
      <protection locked="0"/>
    </xf>
    <xf numFmtId="0" fontId="14" fillId="0" borderId="198" xfId="565" applyFont="1" applyBorder="1" applyAlignment="1" applyProtection="1">
      <alignment horizontal="center" vertical="center" wrapText="1"/>
      <protection locked="0"/>
    </xf>
    <xf numFmtId="0" fontId="14" fillId="0" borderId="27" xfId="565" applyFont="1" applyBorder="1" applyAlignment="1" applyProtection="1">
      <alignment horizontal="center" vertical="center"/>
      <protection locked="0"/>
    </xf>
    <xf numFmtId="0" fontId="14" fillId="0" borderId="25" xfId="565" applyFont="1" applyBorder="1" applyAlignment="1" applyProtection="1">
      <alignment horizontal="center" vertical="center"/>
      <protection locked="0"/>
    </xf>
    <xf numFmtId="0" fontId="14" fillId="0" borderId="149" xfId="565" applyFont="1" applyBorder="1" applyAlignment="1" applyProtection="1">
      <alignment horizontal="center" vertical="center"/>
      <protection locked="0"/>
    </xf>
    <xf numFmtId="0" fontId="14" fillId="0" borderId="42" xfId="565" applyFont="1" applyBorder="1" applyAlignment="1" applyProtection="1">
      <alignment horizontal="center" vertical="center"/>
      <protection locked="0"/>
    </xf>
  </cellXfs>
  <cellStyles count="573">
    <cellStyle name="_xffff__x0005__xffff_" xfId="71" xr:uid="{00000000-0005-0000-0000-000000000000}"/>
    <cellStyle name="-" xfId="72" xr:uid="{00000000-0005-0000-0000-000001000000}"/>
    <cellStyle name=";;;" xfId="73" xr:uid="{00000000-0005-0000-0000-000002000000}"/>
    <cellStyle name="?_x0005_?" xfId="74" xr:uid="{00000000-0005-0000-0000-000003000000}"/>
    <cellStyle name="?? [0.00]_laroux" xfId="75" xr:uid="{00000000-0005-0000-0000-000004000000}"/>
    <cellStyle name="?? [0]_VERA" xfId="76" xr:uid="{00000000-0005-0000-0000-000005000000}"/>
    <cellStyle name="???" xfId="77" xr:uid="{00000000-0005-0000-0000-000006000000}"/>
    <cellStyle name="????" xfId="78" xr:uid="{00000000-0005-0000-0000-000007000000}"/>
    <cellStyle name="???? [0.00]_laroux" xfId="79" xr:uid="{00000000-0005-0000-0000-000008000000}"/>
    <cellStyle name="?????_VERA" xfId="80" xr:uid="{00000000-0005-0000-0000-000009000000}"/>
    <cellStyle name="????_laroux" xfId="81" xr:uid="{00000000-0005-0000-0000-00000A000000}"/>
    <cellStyle name="??_AP" xfId="82" xr:uid="{00000000-0005-0000-0000-00000B000000}"/>
    <cellStyle name="?・a??e [0.00]_Book2" xfId="83" xr:uid="{00000000-0005-0000-0000-00000C000000}"/>
    <cellStyle name="?・a??e_Book2]_" xfId="84" xr:uid="{00000000-0005-0000-0000-00000D000000}"/>
    <cellStyle name="?…?a唇?e [0.00]_Book2" xfId="85" xr:uid="{00000000-0005-0000-0000-00000E000000}"/>
    <cellStyle name="?…?a唇?e_Book2]_" xfId="86" xr:uid="{00000000-0005-0000-0000-00000F000000}"/>
    <cellStyle name="?W?_?f??^ (2)\?" xfId="87" xr:uid="{00000000-0005-0000-0000-000010000000}"/>
    <cellStyle name="?W準_?f?o‘O‰n香EAL_B" xfId="88" xr:uid="{00000000-0005-0000-0000-000011000000}"/>
    <cellStyle name="_1表紙～ｺﾝｾﾌﾟﾄ" xfId="89" xr:uid="{00000000-0005-0000-0000-000012000000}"/>
    <cellStyle name="_1表紙～ｺﾝｾﾌﾟﾄ.xls グラフ 16" xfId="90" xr:uid="{00000000-0005-0000-0000-000013000000}"/>
    <cellStyle name="_1表紙～ｺﾝｾﾌﾟﾄ.xls グラフ 16_1" xfId="91" xr:uid="{00000000-0005-0000-0000-000014000000}"/>
    <cellStyle name="_1表紙～ｺﾝｾﾌﾟﾄ.xls グラフ 16_2" xfId="92" xr:uid="{00000000-0005-0000-0000-000015000000}"/>
    <cellStyle name="_1表紙～ｺﾝｾﾌﾟﾄ.xls グラフ 16_3" xfId="93" xr:uid="{00000000-0005-0000-0000-000016000000}"/>
    <cellStyle name="_1表紙～ｺﾝｾﾌﾟﾄ_1" xfId="94" xr:uid="{00000000-0005-0000-0000-000017000000}"/>
    <cellStyle name="_1表紙～ｺﾝｾﾌﾟﾄ_2" xfId="95" xr:uid="{00000000-0005-0000-0000-000018000000}"/>
    <cellStyle name="_1表紙～ｺﾝｾﾌﾟﾄ_3" xfId="96" xr:uid="{00000000-0005-0000-0000-000019000000}"/>
    <cellStyle name="_２管理提案（目次）" xfId="97" xr:uid="{00000000-0005-0000-0000-00001A000000}"/>
    <cellStyle name="_２管理提案（目次）_1" xfId="98" xr:uid="{00000000-0005-0000-0000-00001B000000}"/>
    <cellStyle name="_２管理提案（目次）_2" xfId="99" xr:uid="{00000000-0005-0000-0000-00001C000000}"/>
    <cellStyle name="_２管理提案（目次）_3" xfId="100" xr:uid="{00000000-0005-0000-0000-00001D000000}"/>
    <cellStyle name="_４管理提案（ｺﾝｾﾌﾟﾄ）" xfId="101" xr:uid="{00000000-0005-0000-0000-00001E000000}"/>
    <cellStyle name="_４管理提案（ｺﾝｾﾌﾟﾄ）_1" xfId="102" xr:uid="{00000000-0005-0000-0000-00001F000000}"/>
    <cellStyle name="_４管理提案（ｺﾝｾﾌﾟﾄ）_2" xfId="103" xr:uid="{00000000-0005-0000-0000-000020000000}"/>
    <cellStyle name="_４管理提案（ｺﾝｾﾌﾟﾄ）_3" xfId="104" xr:uid="{00000000-0005-0000-0000-000021000000}"/>
    <cellStyle name="_５管理提案（教育体制）" xfId="105" xr:uid="{00000000-0005-0000-0000-000022000000}"/>
    <cellStyle name="_５管理提案（教育体制）_1" xfId="106" xr:uid="{00000000-0005-0000-0000-000023000000}"/>
    <cellStyle name="_５管理提案（教育体制）_2" xfId="107" xr:uid="{00000000-0005-0000-0000-000024000000}"/>
    <cellStyle name="_５管理提案（教育体制）_3" xfId="108" xr:uid="{00000000-0005-0000-0000-000025000000}"/>
    <cellStyle name="_６管理提案（年間計画）" xfId="109" xr:uid="{00000000-0005-0000-0000-000026000000}"/>
    <cellStyle name="_６管理提案（年間計画）_1" xfId="110" xr:uid="{00000000-0005-0000-0000-000027000000}"/>
    <cellStyle name="_６管理提案（年間計画）_2" xfId="111" xr:uid="{00000000-0005-0000-0000-000028000000}"/>
    <cellStyle name="_６管理提案（年間計画）_3" xfId="112" xr:uid="{00000000-0005-0000-0000-000029000000}"/>
    <cellStyle name="_７管理提案（ﾊﾞｯｸｱｯﾌﾟ）" xfId="113" xr:uid="{00000000-0005-0000-0000-00002A000000}"/>
    <cellStyle name="_７管理提案（ﾊﾞｯｸｱｯﾌﾟ）_1" xfId="114" xr:uid="{00000000-0005-0000-0000-00002B000000}"/>
    <cellStyle name="_７管理提案（ﾊﾞｯｸｱｯﾌﾟ）_2" xfId="115" xr:uid="{00000000-0005-0000-0000-00002C000000}"/>
    <cellStyle name="_７管理提案（ﾊﾞｯｸｱｯﾌﾟ）_3" xfId="116" xr:uid="{00000000-0005-0000-0000-00002D000000}"/>
    <cellStyle name="_８管理提案（長期１）" xfId="117" xr:uid="{00000000-0005-0000-0000-00002E000000}"/>
    <cellStyle name="_８管理提案（長期１）_1" xfId="118" xr:uid="{00000000-0005-0000-0000-00002F000000}"/>
    <cellStyle name="_８管理提案（長期１）_2" xfId="119" xr:uid="{00000000-0005-0000-0000-000030000000}"/>
    <cellStyle name="_８管理提案（長期１）_3" xfId="120" xr:uid="{00000000-0005-0000-0000-000031000000}"/>
    <cellStyle name="_８管理提案(長期２)" xfId="121" xr:uid="{00000000-0005-0000-0000-000032000000}"/>
    <cellStyle name="_９管理提案（管理方式）" xfId="122" xr:uid="{00000000-0005-0000-0000-000033000000}"/>
    <cellStyle name="_９管理提案（管理方式）_1" xfId="123" xr:uid="{00000000-0005-0000-0000-000034000000}"/>
    <cellStyle name="_９管理提案（管理方式）_2" xfId="124" xr:uid="{00000000-0005-0000-0000-000035000000}"/>
    <cellStyle name="_９管理提案（管理方式）_3" xfId="125" xr:uid="{00000000-0005-0000-0000-000036000000}"/>
    <cellStyle name="_Comma" xfId="126" xr:uid="{00000000-0005-0000-0000-000037000000}"/>
    <cellStyle name="_Currency" xfId="127" xr:uid="{00000000-0005-0000-0000-000038000000}"/>
    <cellStyle name="_CurrencySpace" xfId="128" xr:uid="{00000000-0005-0000-0000-000039000000}"/>
    <cellStyle name="_kanri" xfId="129" xr:uid="{00000000-0005-0000-0000-00003A000000}"/>
    <cellStyle name="_kanri_1" xfId="130" xr:uid="{00000000-0005-0000-0000-00003B000000}"/>
    <cellStyle name="_kanri_2" xfId="131" xr:uid="{00000000-0005-0000-0000-00003C000000}"/>
    <cellStyle name="_kanri_3" xfId="132" xr:uid="{00000000-0005-0000-0000-00003D000000}"/>
    <cellStyle name="_Multiple" xfId="133" xr:uid="{00000000-0005-0000-0000-00003E000000}"/>
    <cellStyle name="_MultipleSpace" xfId="134" xr:uid="{00000000-0005-0000-0000-00003F000000}"/>
    <cellStyle name="_Percent" xfId="135" xr:uid="{00000000-0005-0000-0000-000040000000}"/>
    <cellStyle name="_PercentSpace" xfId="136" xr:uid="{00000000-0005-0000-0000-000041000000}"/>
    <cellStyle name="_リニューアル工事.xls グラフ 175" xfId="137" xr:uid="{00000000-0005-0000-0000-000042000000}"/>
    <cellStyle name="_リニューアル工事.xls グラフ 175_1" xfId="138" xr:uid="{00000000-0005-0000-0000-000043000000}"/>
    <cellStyle name="_リニューアル工事.xls グラフ 175_2" xfId="139" xr:uid="{00000000-0005-0000-0000-000044000000}"/>
    <cellStyle name="_リニューアル工事.xls グラフ 175_3" xfId="140" xr:uid="{00000000-0005-0000-0000-000045000000}"/>
    <cellStyle name="_リニューアル工事.xls グラフ 176" xfId="141" xr:uid="{00000000-0005-0000-0000-000046000000}"/>
    <cellStyle name="_リニューアル工事.xls グラフ 176_1" xfId="142" xr:uid="{00000000-0005-0000-0000-000047000000}"/>
    <cellStyle name="_リニューアル工事.xls グラフ 176_2" xfId="143" xr:uid="{00000000-0005-0000-0000-000048000000}"/>
    <cellStyle name="_リニューアル工事.xls グラフ 176_3" xfId="144" xr:uid="{00000000-0005-0000-0000-000049000000}"/>
    <cellStyle name="_リニューアル工事.xls グラフ 3" xfId="145" xr:uid="{00000000-0005-0000-0000-00004A000000}"/>
    <cellStyle name="_リニューアル工事.xls グラフ 3_1" xfId="146" xr:uid="{00000000-0005-0000-0000-00004B000000}"/>
    <cellStyle name="_リニューアル工事.xls グラフ 3_2" xfId="147" xr:uid="{00000000-0005-0000-0000-00004C000000}"/>
    <cellStyle name="_リニューアル工事.xls グラフ 3_3" xfId="148" xr:uid="{00000000-0005-0000-0000-00004D000000}"/>
    <cellStyle name="_リニューアル工事.xls グラフ 4" xfId="149" xr:uid="{00000000-0005-0000-0000-00004E000000}"/>
    <cellStyle name="_リニューアル工事.xls グラフ 4_1" xfId="150" xr:uid="{00000000-0005-0000-0000-00004F000000}"/>
    <cellStyle name="_リニューアル工事.xls グラフ 4_2" xfId="151" xr:uid="{00000000-0005-0000-0000-000050000000}"/>
    <cellStyle name="_リニューアル工事.xls グラフ 4_3" xfId="152" xr:uid="{00000000-0005-0000-0000-000051000000}"/>
    <cellStyle name="_管理提案（本   文）" xfId="153" xr:uid="{00000000-0005-0000-0000-000052000000}"/>
    <cellStyle name="_管理提案（本   文）_1" xfId="154" xr:uid="{00000000-0005-0000-0000-000053000000}"/>
    <cellStyle name="_管理提案（本   文）_2" xfId="155" xr:uid="{00000000-0005-0000-0000-000054000000}"/>
    <cellStyle name="_管理提案（本   文）_3" xfId="156" xr:uid="{00000000-0005-0000-0000-000055000000}"/>
    <cellStyle name="_管理提案（本   文）－２" xfId="157" xr:uid="{00000000-0005-0000-0000-000056000000}"/>
    <cellStyle name="_管理提案（本   文）－２_1" xfId="158" xr:uid="{00000000-0005-0000-0000-000057000000}"/>
    <cellStyle name="_管理提案（本   文）－２_2" xfId="159" xr:uid="{00000000-0005-0000-0000-000058000000}"/>
    <cellStyle name="_管理提案（本   文）－２_3" xfId="160" xr:uid="{00000000-0005-0000-0000-000059000000}"/>
    <cellStyle name="_管理提案（目　次）２" xfId="161" xr:uid="{00000000-0005-0000-0000-00005A000000}"/>
    <cellStyle name="_管理提案（目　次）２_1" xfId="162" xr:uid="{00000000-0005-0000-0000-00005B000000}"/>
    <cellStyle name="_管理提案（目　次）２_2" xfId="163" xr:uid="{00000000-0005-0000-0000-00005C000000}"/>
    <cellStyle name="_管理提案（目　次）２_3" xfId="164" xr:uid="{00000000-0005-0000-0000-00005D000000}"/>
    <cellStyle name="_管理提案書A3.xls グラフ 4" xfId="165" xr:uid="{00000000-0005-0000-0000-00005E000000}"/>
    <cellStyle name="_管理提案書A3.xls グラフ 4_1" xfId="166" xr:uid="{00000000-0005-0000-0000-00005F000000}"/>
    <cellStyle name="_管理提案書A3.xls グラフ 4_2" xfId="167" xr:uid="{00000000-0005-0000-0000-000060000000}"/>
    <cellStyle name="_管理提案書A3.xls グラフ 4_3" xfId="168" xr:uid="{00000000-0005-0000-0000-000061000000}"/>
    <cellStyle name="_管理提案書A3.xls グラフ 5" xfId="169" xr:uid="{00000000-0005-0000-0000-000062000000}"/>
    <cellStyle name="_管理提案書A3.xls グラフ 5_1" xfId="170" xr:uid="{00000000-0005-0000-0000-000063000000}"/>
    <cellStyle name="_管理提案書A3.xls グラフ 5_2" xfId="171" xr:uid="{00000000-0005-0000-0000-000064000000}"/>
    <cellStyle name="_管理提案書A3.xls グラフ 5_3" xfId="172" xr:uid="{00000000-0005-0000-0000-000065000000}"/>
    <cellStyle name="_管理提案書A3.xls グラフ 9" xfId="173" xr:uid="{00000000-0005-0000-0000-000066000000}"/>
    <cellStyle name="_管理提案書A3.xls グラフ 9_1" xfId="174" xr:uid="{00000000-0005-0000-0000-000067000000}"/>
    <cellStyle name="_管理提案書A3.xls グラフ 9_2" xfId="175" xr:uid="{00000000-0005-0000-0000-000068000000}"/>
    <cellStyle name="_管理提案書A3.xls グラフ 9_3" xfId="176" xr:uid="{00000000-0005-0000-0000-000069000000}"/>
    <cellStyle name="_室町ＮＳビル総合管理提案２" xfId="177" xr:uid="{00000000-0005-0000-0000-00006A000000}"/>
    <cellStyle name="_室町ＮＳビル総合管理提案２.xls グラフ 3" xfId="178" xr:uid="{00000000-0005-0000-0000-00006B000000}"/>
    <cellStyle name="_室町ＮＳビル総合管理提案２.xls グラフ 3_1" xfId="179" xr:uid="{00000000-0005-0000-0000-00006C000000}"/>
    <cellStyle name="_室町ＮＳビル総合管理提案２.xls グラフ 3_2" xfId="180" xr:uid="{00000000-0005-0000-0000-00006D000000}"/>
    <cellStyle name="_室町ＮＳビル総合管理提案２.xls グラフ 3_3" xfId="181" xr:uid="{00000000-0005-0000-0000-00006E000000}"/>
    <cellStyle name="_室町ＮＳビル総合管理提案２.xls グラフ 4" xfId="182" xr:uid="{00000000-0005-0000-0000-00006F000000}"/>
    <cellStyle name="_室町ＮＳビル総合管理提案２.xls グラフ 4_1" xfId="183" xr:uid="{00000000-0005-0000-0000-000070000000}"/>
    <cellStyle name="_室町ＮＳビル総合管理提案２.xls グラフ 4_2" xfId="184" xr:uid="{00000000-0005-0000-0000-000071000000}"/>
    <cellStyle name="_室町ＮＳビル総合管理提案２.xls グラフ 4_3" xfId="185" xr:uid="{00000000-0005-0000-0000-000072000000}"/>
    <cellStyle name="_室町ＮＳビル総合管理提案２.xls グラフ 8" xfId="186" xr:uid="{00000000-0005-0000-0000-000073000000}"/>
    <cellStyle name="_室町ＮＳビル総合管理提案２.xls グラフ 8_1" xfId="187" xr:uid="{00000000-0005-0000-0000-000074000000}"/>
    <cellStyle name="_室町ＮＳビル総合管理提案２.xls グラフ 8_2" xfId="188" xr:uid="{00000000-0005-0000-0000-000075000000}"/>
    <cellStyle name="_室町ＮＳビル総合管理提案２.xls グラフ 8_3" xfId="189" xr:uid="{00000000-0005-0000-0000-000076000000}"/>
    <cellStyle name="_室町ＮＳビル総合管理提案２_1" xfId="190" xr:uid="{00000000-0005-0000-0000-000077000000}"/>
    <cellStyle name="_室町ＮＳビル総合管理提案２_2" xfId="191" xr:uid="{00000000-0005-0000-0000-000078000000}"/>
    <cellStyle name="_室町ＮＳビル総合管理提案２_3" xfId="192" xr:uid="{00000000-0005-0000-0000-000079000000}"/>
    <cellStyle name="_提案書2-2" xfId="193" xr:uid="{00000000-0005-0000-0000-00007A000000}"/>
    <cellStyle name="_提案書2-2_1" xfId="194" xr:uid="{00000000-0005-0000-0000-00007B000000}"/>
    <cellStyle name="_提案書2-2_2" xfId="195" xr:uid="{00000000-0005-0000-0000-00007C000000}"/>
    <cellStyle name="_提案書2-2_3" xfId="196" xr:uid="{00000000-0005-0000-0000-00007D000000}"/>
    <cellStyle name="’E‰Y [0.00]_?f?o‘O‰n香ELpect" xfId="197" xr:uid="{00000000-0005-0000-0000-00007E000000}"/>
    <cellStyle name="’E‰Y_?f?o‘O‰n香ESONAL" xfId="198" xr:uid="{00000000-0005-0000-0000-00007F000000}"/>
    <cellStyle name="_x0001_·?_x0001_··?" xfId="199" xr:uid="{00000000-0005-0000-0000-000080000000}"/>
    <cellStyle name="_x0001_·?_x0001_··? 2" xfId="200" xr:uid="{00000000-0005-0000-0000-000081000000}"/>
    <cellStyle name="_x0001_・｢_x0001_・・義" xfId="201" xr:uid="{00000000-0005-0000-0000-000082000000}"/>
    <cellStyle name="_x0001_・｢_x0001_・・義 2" xfId="202" xr:uid="{00000000-0005-0000-0000-000083000000}"/>
    <cellStyle name="121" xfId="203" xr:uid="{00000000-0005-0000-0000-000084000000}"/>
    <cellStyle name="20% - Accent1" xfId="204" xr:uid="{00000000-0005-0000-0000-000085000000}"/>
    <cellStyle name="20% - Accent2" xfId="205" xr:uid="{00000000-0005-0000-0000-000086000000}"/>
    <cellStyle name="20% - Accent3" xfId="206" xr:uid="{00000000-0005-0000-0000-000087000000}"/>
    <cellStyle name="20% - Accent4" xfId="207" xr:uid="{00000000-0005-0000-0000-000088000000}"/>
    <cellStyle name="20% - Accent5" xfId="208" xr:uid="{00000000-0005-0000-0000-000089000000}"/>
    <cellStyle name="20% - Accent6" xfId="209" xr:uid="{00000000-0005-0000-0000-00008A000000}"/>
    <cellStyle name="20% - アクセント 1 2" xfId="210" xr:uid="{00000000-0005-0000-0000-00008B000000}"/>
    <cellStyle name="20% - アクセント 2 2" xfId="211" xr:uid="{00000000-0005-0000-0000-00008C000000}"/>
    <cellStyle name="20% - アクセント 3 2" xfId="212" xr:uid="{00000000-0005-0000-0000-00008D000000}"/>
    <cellStyle name="20% - アクセント 4 2" xfId="213" xr:uid="{00000000-0005-0000-0000-00008E000000}"/>
    <cellStyle name="20% - アクセント 5 2" xfId="214" xr:uid="{00000000-0005-0000-0000-00008F000000}"/>
    <cellStyle name="20% - アクセント 6 2" xfId="215" xr:uid="{00000000-0005-0000-0000-000090000000}"/>
    <cellStyle name="40% - Accent1" xfId="216" xr:uid="{00000000-0005-0000-0000-000091000000}"/>
    <cellStyle name="40% - Accent2" xfId="217" xr:uid="{00000000-0005-0000-0000-000092000000}"/>
    <cellStyle name="40% - Accent3" xfId="218" xr:uid="{00000000-0005-0000-0000-000093000000}"/>
    <cellStyle name="40% - Accent4" xfId="219" xr:uid="{00000000-0005-0000-0000-000094000000}"/>
    <cellStyle name="40% - Accent5" xfId="220" xr:uid="{00000000-0005-0000-0000-000095000000}"/>
    <cellStyle name="40% - Accent6" xfId="221" xr:uid="{00000000-0005-0000-0000-000096000000}"/>
    <cellStyle name="40% - アクセント 1 2" xfId="222" xr:uid="{00000000-0005-0000-0000-000097000000}"/>
    <cellStyle name="40% - アクセント 2 2" xfId="223" xr:uid="{00000000-0005-0000-0000-000098000000}"/>
    <cellStyle name="40% - アクセント 3 2" xfId="224" xr:uid="{00000000-0005-0000-0000-000099000000}"/>
    <cellStyle name="40% - アクセント 4 2" xfId="225" xr:uid="{00000000-0005-0000-0000-00009A000000}"/>
    <cellStyle name="40% - アクセント 5 2" xfId="226" xr:uid="{00000000-0005-0000-0000-00009B000000}"/>
    <cellStyle name="40% - アクセント 6 2" xfId="227" xr:uid="{00000000-0005-0000-0000-00009C000000}"/>
    <cellStyle name="6-0" xfId="228" xr:uid="{00000000-0005-0000-0000-00009D000000}"/>
    <cellStyle name="60% - Accent1" xfId="229" xr:uid="{00000000-0005-0000-0000-00009E000000}"/>
    <cellStyle name="60% - Accent2" xfId="230" xr:uid="{00000000-0005-0000-0000-00009F000000}"/>
    <cellStyle name="60% - Accent3" xfId="231" xr:uid="{00000000-0005-0000-0000-0000A0000000}"/>
    <cellStyle name="60% - Accent4" xfId="232" xr:uid="{00000000-0005-0000-0000-0000A1000000}"/>
    <cellStyle name="60% - Accent5" xfId="233" xr:uid="{00000000-0005-0000-0000-0000A2000000}"/>
    <cellStyle name="60% - Accent6" xfId="234" xr:uid="{00000000-0005-0000-0000-0000A3000000}"/>
    <cellStyle name="60% - アクセント 1 2" xfId="235" xr:uid="{00000000-0005-0000-0000-0000A4000000}"/>
    <cellStyle name="60% - アクセント 2 2" xfId="236" xr:uid="{00000000-0005-0000-0000-0000A5000000}"/>
    <cellStyle name="60% - アクセント 3 2" xfId="237" xr:uid="{00000000-0005-0000-0000-0000A6000000}"/>
    <cellStyle name="60% - アクセント 4 2" xfId="238" xr:uid="{00000000-0005-0000-0000-0000A7000000}"/>
    <cellStyle name="60% - アクセント 5 2" xfId="239" xr:uid="{00000000-0005-0000-0000-0000A8000000}"/>
    <cellStyle name="60% - アクセント 6 2" xfId="240" xr:uid="{00000000-0005-0000-0000-0000A9000000}"/>
    <cellStyle name="A" xfId="241" xr:uid="{00000000-0005-0000-0000-0000AA000000}"/>
    <cellStyle name="Accent1" xfId="242" xr:uid="{00000000-0005-0000-0000-0000AB000000}"/>
    <cellStyle name="Accent1 - 20%" xfId="243" xr:uid="{00000000-0005-0000-0000-0000AC000000}"/>
    <cellStyle name="Accent1 - 40%" xfId="244" xr:uid="{00000000-0005-0000-0000-0000AD000000}"/>
    <cellStyle name="Accent1 - 60%" xfId="245" xr:uid="{00000000-0005-0000-0000-0000AE000000}"/>
    <cellStyle name="Accent2" xfId="246" xr:uid="{00000000-0005-0000-0000-0000AF000000}"/>
    <cellStyle name="Accent2 - 20%" xfId="247" xr:uid="{00000000-0005-0000-0000-0000B0000000}"/>
    <cellStyle name="Accent2 - 40%" xfId="248" xr:uid="{00000000-0005-0000-0000-0000B1000000}"/>
    <cellStyle name="Accent2 - 60%" xfId="249" xr:uid="{00000000-0005-0000-0000-0000B2000000}"/>
    <cellStyle name="Accent3" xfId="250" xr:uid="{00000000-0005-0000-0000-0000B3000000}"/>
    <cellStyle name="Accent3 - 20%" xfId="251" xr:uid="{00000000-0005-0000-0000-0000B4000000}"/>
    <cellStyle name="Accent3 - 40%" xfId="252" xr:uid="{00000000-0005-0000-0000-0000B5000000}"/>
    <cellStyle name="Accent3 - 60%" xfId="253" xr:uid="{00000000-0005-0000-0000-0000B6000000}"/>
    <cellStyle name="Accent4" xfId="254" xr:uid="{00000000-0005-0000-0000-0000B7000000}"/>
    <cellStyle name="Accent4 - 20%" xfId="255" xr:uid="{00000000-0005-0000-0000-0000B8000000}"/>
    <cellStyle name="Accent4 - 40%" xfId="256" xr:uid="{00000000-0005-0000-0000-0000B9000000}"/>
    <cellStyle name="Accent4 - 60%" xfId="257" xr:uid="{00000000-0005-0000-0000-0000BA000000}"/>
    <cellStyle name="Accent5" xfId="258" xr:uid="{00000000-0005-0000-0000-0000BB000000}"/>
    <cellStyle name="Accent5 - 20%" xfId="259" xr:uid="{00000000-0005-0000-0000-0000BC000000}"/>
    <cellStyle name="Accent5 - 40%" xfId="260" xr:uid="{00000000-0005-0000-0000-0000BD000000}"/>
    <cellStyle name="Accent5 - 60%" xfId="261" xr:uid="{00000000-0005-0000-0000-0000BE000000}"/>
    <cellStyle name="Accent6" xfId="262" xr:uid="{00000000-0005-0000-0000-0000BF000000}"/>
    <cellStyle name="Accent6 - 20%" xfId="263" xr:uid="{00000000-0005-0000-0000-0000C0000000}"/>
    <cellStyle name="Accent6 - 40%" xfId="264" xr:uid="{00000000-0005-0000-0000-0000C1000000}"/>
    <cellStyle name="Accent6 - 60%" xfId="265" xr:uid="{00000000-0005-0000-0000-0000C2000000}"/>
    <cellStyle name="Bad" xfId="266" xr:uid="{00000000-0005-0000-0000-0000C3000000}"/>
    <cellStyle name="BoldItalicNoUnderline" xfId="267" xr:uid="{00000000-0005-0000-0000-0000C4000000}"/>
    <cellStyle name="BoldSDoubUnderlineBack" xfId="268" xr:uid="{00000000-0005-0000-0000-0000C5000000}"/>
    <cellStyle name="BoldSingUnderline" xfId="269" xr:uid="{00000000-0005-0000-0000-0000C6000000}"/>
    <cellStyle name="bottomHeavy" xfId="270" xr:uid="{00000000-0005-0000-0000-0000C7000000}"/>
    <cellStyle name="bottomHeavy-w-left" xfId="271" xr:uid="{00000000-0005-0000-0000-0000C8000000}"/>
    <cellStyle name="Calc Currency (0)" xfId="12" xr:uid="{00000000-0005-0000-0000-0000C9000000}"/>
    <cellStyle name="Calc Currency (2)" xfId="272" xr:uid="{00000000-0005-0000-0000-0000CA000000}"/>
    <cellStyle name="Calc Percent (0)" xfId="273" xr:uid="{00000000-0005-0000-0000-0000CB000000}"/>
    <cellStyle name="Calc Percent (1)" xfId="274" xr:uid="{00000000-0005-0000-0000-0000CC000000}"/>
    <cellStyle name="Calc Percent (2)" xfId="275" xr:uid="{00000000-0005-0000-0000-0000CD000000}"/>
    <cellStyle name="Calc Units (0)" xfId="276" xr:uid="{00000000-0005-0000-0000-0000CE000000}"/>
    <cellStyle name="Calc Units (1)" xfId="277" xr:uid="{00000000-0005-0000-0000-0000CF000000}"/>
    <cellStyle name="Calc Units (2)" xfId="278" xr:uid="{00000000-0005-0000-0000-0000D0000000}"/>
    <cellStyle name="Calculation" xfId="279" xr:uid="{00000000-0005-0000-0000-0000D1000000}"/>
    <cellStyle name="Check Cell" xfId="280" xr:uid="{00000000-0005-0000-0000-0000D2000000}"/>
    <cellStyle name="ColumnHeading" xfId="281" xr:uid="{00000000-0005-0000-0000-0000D3000000}"/>
    <cellStyle name="Comma  - Style1" xfId="282" xr:uid="{00000000-0005-0000-0000-0000D4000000}"/>
    <cellStyle name="Comma  - Style2" xfId="283" xr:uid="{00000000-0005-0000-0000-0000D5000000}"/>
    <cellStyle name="Comma  - Style3" xfId="284" xr:uid="{00000000-0005-0000-0000-0000D6000000}"/>
    <cellStyle name="Comma  - Style4" xfId="285" xr:uid="{00000000-0005-0000-0000-0000D7000000}"/>
    <cellStyle name="Comma  - Style5" xfId="286" xr:uid="{00000000-0005-0000-0000-0000D8000000}"/>
    <cellStyle name="Comma  - Style6" xfId="287" xr:uid="{00000000-0005-0000-0000-0000D9000000}"/>
    <cellStyle name="Comma  - Style7" xfId="288" xr:uid="{00000000-0005-0000-0000-0000DA000000}"/>
    <cellStyle name="Comma  - Style8" xfId="289" xr:uid="{00000000-0005-0000-0000-0000DB000000}"/>
    <cellStyle name="Comma (0)" xfId="290" xr:uid="{00000000-0005-0000-0000-0000DC000000}"/>
    <cellStyle name="Comma (1)" xfId="291" xr:uid="{00000000-0005-0000-0000-0000DD000000}"/>
    <cellStyle name="Comma [0]_A" xfId="292" xr:uid="{00000000-0005-0000-0000-0000DE000000}"/>
    <cellStyle name="Comma [00]" xfId="293" xr:uid="{00000000-0005-0000-0000-0000DF000000}"/>
    <cellStyle name="Comma [1]" xfId="294" xr:uid="{00000000-0005-0000-0000-0000E0000000}"/>
    <cellStyle name="Comma_1702H" xfId="295" xr:uid="{00000000-0005-0000-0000-0000E1000000}"/>
    <cellStyle name="Comma0 - Modelo1" xfId="296" xr:uid="{00000000-0005-0000-0000-0000E2000000}"/>
    <cellStyle name="Comma0 - Style1" xfId="297" xr:uid="{00000000-0005-0000-0000-0000E3000000}"/>
    <cellStyle name="Comma1 - Modelo2" xfId="298" xr:uid="{00000000-0005-0000-0000-0000E4000000}"/>
    <cellStyle name="Comma1 - Style2" xfId="299" xr:uid="{00000000-0005-0000-0000-0000E5000000}"/>
    <cellStyle name="CommaFixed" xfId="300" xr:uid="{00000000-0005-0000-0000-0000E6000000}"/>
    <cellStyle name="CommaNoDec" xfId="301" xr:uid="{00000000-0005-0000-0000-0000E7000000}"/>
    <cellStyle name="CommaNoDecTot" xfId="302" xr:uid="{00000000-0005-0000-0000-0000E8000000}"/>
    <cellStyle name="CommaTotTop" xfId="303" xr:uid="{00000000-0005-0000-0000-0000E9000000}"/>
    <cellStyle name="CommaTotTopNoDec" xfId="304" xr:uid="{00000000-0005-0000-0000-0000EA000000}"/>
    <cellStyle name="Contracts" xfId="305" xr:uid="{00000000-0005-0000-0000-0000EB000000}"/>
    <cellStyle name="Currency (0)" xfId="306" xr:uid="{00000000-0005-0000-0000-0000EC000000}"/>
    <cellStyle name="Currency (1)" xfId="307" xr:uid="{00000000-0005-0000-0000-0000ED000000}"/>
    <cellStyle name="Currency [¥]" xfId="308" xr:uid="{00000000-0005-0000-0000-0000EE000000}"/>
    <cellStyle name="Currency [0]_A" xfId="309" xr:uid="{00000000-0005-0000-0000-0000EF000000}"/>
    <cellStyle name="Currency [00]" xfId="310" xr:uid="{00000000-0005-0000-0000-0000F0000000}"/>
    <cellStyle name="Currency [1]" xfId="311" xr:uid="{00000000-0005-0000-0000-0000F1000000}"/>
    <cellStyle name="Currency_A" xfId="312" xr:uid="{00000000-0005-0000-0000-0000F2000000}"/>
    <cellStyle name="CurrencyTotTop[" xfId="313" xr:uid="{00000000-0005-0000-0000-0000F3000000}"/>
    <cellStyle name="D" xfId="314" xr:uid="{00000000-0005-0000-0000-0000F4000000}"/>
    <cellStyle name="Date" xfId="315" xr:uid="{00000000-0005-0000-0000-0000F5000000}"/>
    <cellStyle name="Date (m/d/y)" xfId="316" xr:uid="{00000000-0005-0000-0000-0000F6000000}"/>
    <cellStyle name="Date_補助レポート（追加）" xfId="317" xr:uid="{00000000-0005-0000-0000-0000F7000000}"/>
    <cellStyle name="DATETIME" xfId="318" xr:uid="{00000000-0005-0000-0000-0000F8000000}"/>
    <cellStyle name="Dollars" xfId="319" xr:uid="{00000000-0005-0000-0000-0000F9000000}"/>
    <cellStyle name="Emphasis 1" xfId="320" xr:uid="{00000000-0005-0000-0000-0000FA000000}"/>
    <cellStyle name="Emphasis 2" xfId="321" xr:uid="{00000000-0005-0000-0000-0000FB000000}"/>
    <cellStyle name="Emphasis 3" xfId="322" xr:uid="{00000000-0005-0000-0000-0000FC000000}"/>
    <cellStyle name="entry" xfId="323" xr:uid="{00000000-0005-0000-0000-0000FD000000}"/>
    <cellStyle name="EvenBodyShade" xfId="324" xr:uid="{00000000-0005-0000-0000-0000FE000000}"/>
    <cellStyle name="Explanatory Text" xfId="325" xr:uid="{00000000-0005-0000-0000-0000FF000000}"/>
    <cellStyle name="F1" xfId="326" xr:uid="{00000000-0005-0000-0000-000000010000}"/>
    <cellStyle name="Good" xfId="327" xr:uid="{00000000-0005-0000-0000-000001010000}"/>
    <cellStyle name="GrandTotal" xfId="328" xr:uid="{00000000-0005-0000-0000-000002010000}"/>
    <cellStyle name="Grey" xfId="13" xr:uid="{00000000-0005-0000-0000-000003010000}"/>
    <cellStyle name="Head1" xfId="329" xr:uid="{00000000-0005-0000-0000-000004010000}"/>
    <cellStyle name="Head2" xfId="330" xr:uid="{00000000-0005-0000-0000-000005010000}"/>
    <cellStyle name="Head3" xfId="331" xr:uid="{00000000-0005-0000-0000-000006010000}"/>
    <cellStyle name="Head4" xfId="332" xr:uid="{00000000-0005-0000-0000-000007010000}"/>
    <cellStyle name="Head5" xfId="333" xr:uid="{00000000-0005-0000-0000-000008010000}"/>
    <cellStyle name="Head6" xfId="334" xr:uid="{00000000-0005-0000-0000-000009010000}"/>
    <cellStyle name="Head7" xfId="335" xr:uid="{00000000-0005-0000-0000-00000A010000}"/>
    <cellStyle name="Head8" xfId="336" xr:uid="{00000000-0005-0000-0000-00000B010000}"/>
    <cellStyle name="Head9" xfId="337" xr:uid="{00000000-0005-0000-0000-00000C010000}"/>
    <cellStyle name="Header1" xfId="14" xr:uid="{00000000-0005-0000-0000-00000D010000}"/>
    <cellStyle name="Header2" xfId="15" xr:uid="{00000000-0005-0000-0000-00000E010000}"/>
    <cellStyle name="heading" xfId="338" xr:uid="{00000000-0005-0000-0000-00000F010000}"/>
    <cellStyle name="Heading 1" xfId="339" xr:uid="{00000000-0005-0000-0000-000010010000}"/>
    <cellStyle name="Heading 2" xfId="340" xr:uid="{00000000-0005-0000-0000-000011010000}"/>
    <cellStyle name="Heading 3" xfId="341" xr:uid="{00000000-0005-0000-0000-000012010000}"/>
    <cellStyle name="Heading 4" xfId="342" xr:uid="{00000000-0005-0000-0000-000013010000}"/>
    <cellStyle name="HeadShade" xfId="343" xr:uid="{00000000-0005-0000-0000-000014010000}"/>
    <cellStyle name="I" xfId="344" xr:uid="{00000000-0005-0000-0000-000015010000}"/>
    <cellStyle name="Input" xfId="345" xr:uid="{00000000-0005-0000-0000-000016010000}"/>
    <cellStyle name="Input [yellow]" xfId="16" xr:uid="{00000000-0005-0000-0000-000017010000}"/>
    <cellStyle name="left" xfId="346" xr:uid="{00000000-0005-0000-0000-000018010000}"/>
    <cellStyle name="Linked Cell" xfId="347" xr:uid="{00000000-0005-0000-0000-000019010000}"/>
    <cellStyle name="M" xfId="348" xr:uid="{00000000-0005-0000-0000-00001A010000}"/>
    <cellStyle name="MainData" xfId="17" xr:uid="{00000000-0005-0000-0000-00001B010000}"/>
    <cellStyle name="MajorTotal" xfId="18" xr:uid="{00000000-0005-0000-0000-00001C010000}"/>
    <cellStyle name="Multiple" xfId="349" xr:uid="{00000000-0005-0000-0000-00001D010000}"/>
    <cellStyle name="Multiple [0]" xfId="350" xr:uid="{00000000-0005-0000-0000-00001E010000}"/>
    <cellStyle name="Multiple [1]" xfId="351" xr:uid="{00000000-0005-0000-0000-00001F010000}"/>
    <cellStyle name="Neutral" xfId="352" xr:uid="{00000000-0005-0000-0000-000020010000}"/>
    <cellStyle name="Normal - Style1" xfId="19" xr:uid="{00000000-0005-0000-0000-000021010000}"/>
    <cellStyle name="Normal_#18-Internet" xfId="20" xr:uid="{00000000-0005-0000-0000-000022010000}"/>
    <cellStyle name="NormalBack" xfId="353" xr:uid="{00000000-0005-0000-0000-000023010000}"/>
    <cellStyle name="NormalBorder" xfId="354" xr:uid="{00000000-0005-0000-0000-000024010000}"/>
    <cellStyle name="NormalLeft" xfId="355" xr:uid="{00000000-0005-0000-0000-000025010000}"/>
    <cellStyle name="NormalOPrint_Module_E (2)" xfId="21" xr:uid="{00000000-0005-0000-0000-000026010000}"/>
    <cellStyle name="NormalRightNum" xfId="356" xr:uid="{00000000-0005-0000-0000-000027010000}"/>
    <cellStyle name="NormalRightPercent" xfId="357" xr:uid="{00000000-0005-0000-0000-000028010000}"/>
    <cellStyle name="Note" xfId="358" xr:uid="{00000000-0005-0000-0000-000029010000}"/>
    <cellStyle name="nPlode1" xfId="359" xr:uid="{00000000-0005-0000-0000-00002A010000}"/>
    <cellStyle name="nPlosion" xfId="360" xr:uid="{00000000-0005-0000-0000-00002B010000}"/>
    <cellStyle name="NPRO" xfId="361" xr:uid="{00000000-0005-0000-0000-00002C010000}"/>
    <cellStyle name="OddBodyShade" xfId="362" xr:uid="{00000000-0005-0000-0000-00002D010000}"/>
    <cellStyle name="OutlineSpec" xfId="363" xr:uid="{00000000-0005-0000-0000-00002E010000}"/>
    <cellStyle name="Output" xfId="364" xr:uid="{00000000-0005-0000-0000-00002F010000}"/>
    <cellStyle name="Overscore" xfId="365" xr:uid="{00000000-0005-0000-0000-000030010000}"/>
    <cellStyle name="Overunder" xfId="366" xr:uid="{00000000-0005-0000-0000-000031010000}"/>
    <cellStyle name="P" xfId="367" xr:uid="{00000000-0005-0000-0000-000032010000}"/>
    <cellStyle name="Percent (1)" xfId="368" xr:uid="{00000000-0005-0000-0000-000033010000}"/>
    <cellStyle name="Percent (2)" xfId="369" xr:uid="{00000000-0005-0000-0000-000034010000}"/>
    <cellStyle name="Percent [0]" xfId="370" xr:uid="{00000000-0005-0000-0000-000035010000}"/>
    <cellStyle name="Percent [1]" xfId="371" xr:uid="{00000000-0005-0000-0000-000036010000}"/>
    <cellStyle name="Percent [2]" xfId="22" xr:uid="{00000000-0005-0000-0000-000037010000}"/>
    <cellStyle name="Percent(4places)TotTop" xfId="372" xr:uid="{00000000-0005-0000-0000-000038010000}"/>
    <cellStyle name="Percent_laroux" xfId="373" xr:uid="{00000000-0005-0000-0000-000039010000}"/>
    <cellStyle name="PercentTotal" xfId="374" xr:uid="{00000000-0005-0000-0000-00003A010000}"/>
    <cellStyle name="price" xfId="375" xr:uid="{00000000-0005-0000-0000-00003B010000}"/>
    <cellStyle name="PSChar" xfId="376" xr:uid="{00000000-0005-0000-0000-00003C010000}"/>
    <cellStyle name="PSDate" xfId="377" xr:uid="{00000000-0005-0000-0000-00003D010000}"/>
    <cellStyle name="PSDec" xfId="378" xr:uid="{00000000-0005-0000-0000-00003E010000}"/>
    <cellStyle name="PSHeading" xfId="379" xr:uid="{00000000-0005-0000-0000-00003F010000}"/>
    <cellStyle name="PSInt" xfId="380" xr:uid="{00000000-0005-0000-0000-000040010000}"/>
    <cellStyle name="PSSpacer" xfId="381" xr:uid="{00000000-0005-0000-0000-000041010000}"/>
    <cellStyle name="Reg1" xfId="382" xr:uid="{00000000-0005-0000-0000-000042010000}"/>
    <cellStyle name="Reg2" xfId="383" xr:uid="{00000000-0005-0000-0000-000043010000}"/>
    <cellStyle name="Reg3" xfId="384" xr:uid="{00000000-0005-0000-0000-000044010000}"/>
    <cellStyle name="Reg4" xfId="385" xr:uid="{00000000-0005-0000-0000-000045010000}"/>
    <cellStyle name="Reg5" xfId="386" xr:uid="{00000000-0005-0000-0000-000046010000}"/>
    <cellStyle name="Reg6" xfId="387" xr:uid="{00000000-0005-0000-0000-000047010000}"/>
    <cellStyle name="Reg7" xfId="388" xr:uid="{00000000-0005-0000-0000-000048010000}"/>
    <cellStyle name="Reg8" xfId="389" xr:uid="{00000000-0005-0000-0000-000049010000}"/>
    <cellStyle name="Reg9" xfId="390" xr:uid="{00000000-0005-0000-0000-00004A010000}"/>
    <cellStyle name="revised" xfId="391" xr:uid="{00000000-0005-0000-0000-00004B010000}"/>
    <cellStyle name="SAPBEXaggData" xfId="392" xr:uid="{00000000-0005-0000-0000-00004C010000}"/>
    <cellStyle name="SAPBEXaggDataEmph" xfId="393" xr:uid="{00000000-0005-0000-0000-00004D010000}"/>
    <cellStyle name="SAPBEXaggItem" xfId="394" xr:uid="{00000000-0005-0000-0000-00004E010000}"/>
    <cellStyle name="SAPBEXaggItemX" xfId="395" xr:uid="{00000000-0005-0000-0000-00004F010000}"/>
    <cellStyle name="SAPBEXchaText" xfId="396" xr:uid="{00000000-0005-0000-0000-000050010000}"/>
    <cellStyle name="SAPBEXexcBad7" xfId="397" xr:uid="{00000000-0005-0000-0000-000051010000}"/>
    <cellStyle name="SAPBEXexcBad8" xfId="398" xr:uid="{00000000-0005-0000-0000-000052010000}"/>
    <cellStyle name="SAPBEXexcBad9" xfId="399" xr:uid="{00000000-0005-0000-0000-000053010000}"/>
    <cellStyle name="SAPBEXexcCritical4" xfId="400" xr:uid="{00000000-0005-0000-0000-000054010000}"/>
    <cellStyle name="SAPBEXexcCritical5" xfId="401" xr:uid="{00000000-0005-0000-0000-000055010000}"/>
    <cellStyle name="SAPBEXexcCritical6" xfId="402" xr:uid="{00000000-0005-0000-0000-000056010000}"/>
    <cellStyle name="SAPBEXexcGood1" xfId="403" xr:uid="{00000000-0005-0000-0000-000057010000}"/>
    <cellStyle name="SAPBEXexcGood2" xfId="404" xr:uid="{00000000-0005-0000-0000-000058010000}"/>
    <cellStyle name="SAPBEXexcGood3" xfId="405" xr:uid="{00000000-0005-0000-0000-000059010000}"/>
    <cellStyle name="SAPBEXfilterDrill" xfId="406" xr:uid="{00000000-0005-0000-0000-00005A010000}"/>
    <cellStyle name="SAPBEXfilterItem" xfId="407" xr:uid="{00000000-0005-0000-0000-00005B010000}"/>
    <cellStyle name="SAPBEXfilterText" xfId="408" xr:uid="{00000000-0005-0000-0000-00005C010000}"/>
    <cellStyle name="SAPBEXformats" xfId="409" xr:uid="{00000000-0005-0000-0000-00005D010000}"/>
    <cellStyle name="SAPBEXheaderItem" xfId="410" xr:uid="{00000000-0005-0000-0000-00005E010000}"/>
    <cellStyle name="SAPBEXheaderText" xfId="411" xr:uid="{00000000-0005-0000-0000-00005F010000}"/>
    <cellStyle name="SAPBEXHLevel0" xfId="412" xr:uid="{00000000-0005-0000-0000-000060010000}"/>
    <cellStyle name="SAPBEXHLevel0X" xfId="413" xr:uid="{00000000-0005-0000-0000-000061010000}"/>
    <cellStyle name="SAPBEXHLevel1" xfId="414" xr:uid="{00000000-0005-0000-0000-000062010000}"/>
    <cellStyle name="SAPBEXHLevel1X" xfId="415" xr:uid="{00000000-0005-0000-0000-000063010000}"/>
    <cellStyle name="SAPBEXHLevel2" xfId="416" xr:uid="{00000000-0005-0000-0000-000064010000}"/>
    <cellStyle name="SAPBEXHLevel2X" xfId="417" xr:uid="{00000000-0005-0000-0000-000065010000}"/>
    <cellStyle name="SAPBEXHLevel3" xfId="418" xr:uid="{00000000-0005-0000-0000-000066010000}"/>
    <cellStyle name="SAPBEXHLevel3X" xfId="419" xr:uid="{00000000-0005-0000-0000-000067010000}"/>
    <cellStyle name="SAPBEXinputData" xfId="420" xr:uid="{00000000-0005-0000-0000-000068010000}"/>
    <cellStyle name="SAPBEXresData" xfId="421" xr:uid="{00000000-0005-0000-0000-000069010000}"/>
    <cellStyle name="SAPBEXresDataEmph" xfId="422" xr:uid="{00000000-0005-0000-0000-00006A010000}"/>
    <cellStyle name="SAPBEXresItem" xfId="423" xr:uid="{00000000-0005-0000-0000-00006B010000}"/>
    <cellStyle name="SAPBEXresItemX" xfId="424" xr:uid="{00000000-0005-0000-0000-00006C010000}"/>
    <cellStyle name="SAPBEXstdData" xfId="425" xr:uid="{00000000-0005-0000-0000-00006D010000}"/>
    <cellStyle name="SAPBEXstdDataEmph" xfId="426" xr:uid="{00000000-0005-0000-0000-00006E010000}"/>
    <cellStyle name="SAPBEXstdItem" xfId="427" xr:uid="{00000000-0005-0000-0000-00006F010000}"/>
    <cellStyle name="SAPBEXstdItemX" xfId="428" xr:uid="{00000000-0005-0000-0000-000070010000}"/>
    <cellStyle name="SAPBEXtitle" xfId="429" xr:uid="{00000000-0005-0000-0000-000071010000}"/>
    <cellStyle name="SAPBEXundefined" xfId="430" xr:uid="{00000000-0005-0000-0000-000072010000}"/>
    <cellStyle name="section" xfId="431" xr:uid="{00000000-0005-0000-0000-000073010000}"/>
    <cellStyle name="Sheet Title" xfId="432" xr:uid="{00000000-0005-0000-0000-000074010000}"/>
    <cellStyle name="SpecialHeader" xfId="433" xr:uid="{00000000-0005-0000-0000-000075010000}"/>
    <cellStyle name="subhead" xfId="434" xr:uid="{00000000-0005-0000-0000-000076010000}"/>
    <cellStyle name="SubHeader" xfId="435" xr:uid="{00000000-0005-0000-0000-000077010000}"/>
    <cellStyle name="SubTotal" xfId="23" xr:uid="{00000000-0005-0000-0000-000078010000}"/>
    <cellStyle name="SubTotal 2" xfId="436" xr:uid="{00000000-0005-0000-0000-000079010000}"/>
    <cellStyle name="SubTotal 3" xfId="437" xr:uid="{00000000-0005-0000-0000-00007A010000}"/>
    <cellStyle name="T" xfId="438" xr:uid="{00000000-0005-0000-0000-00007B010000}"/>
    <cellStyle name="TIME" xfId="439" xr:uid="{00000000-0005-0000-0000-00007C010000}"/>
    <cellStyle name="Times New Roman" xfId="440" xr:uid="{00000000-0005-0000-0000-00007D010000}"/>
    <cellStyle name="title" xfId="441" xr:uid="{00000000-0005-0000-0000-00007E010000}"/>
    <cellStyle name="Title1" xfId="442" xr:uid="{00000000-0005-0000-0000-00007F010000}"/>
    <cellStyle name="TitleOther" xfId="443" xr:uid="{00000000-0005-0000-0000-000080010000}"/>
    <cellStyle name="TopThick" xfId="444" xr:uid="{00000000-0005-0000-0000-000081010000}"/>
    <cellStyle name="Total" xfId="445" xr:uid="{00000000-0005-0000-0000-000082010000}"/>
    <cellStyle name="Total1" xfId="446" xr:uid="{00000000-0005-0000-0000-000083010000}"/>
    <cellStyle name="Total2" xfId="447" xr:uid="{00000000-0005-0000-0000-000084010000}"/>
    <cellStyle name="Total3" xfId="448" xr:uid="{00000000-0005-0000-0000-000085010000}"/>
    <cellStyle name="Total4" xfId="449" xr:uid="{00000000-0005-0000-0000-000086010000}"/>
    <cellStyle name="Total5" xfId="450" xr:uid="{00000000-0005-0000-0000-000087010000}"/>
    <cellStyle name="Total6" xfId="451" xr:uid="{00000000-0005-0000-0000-000088010000}"/>
    <cellStyle name="Total6 2" xfId="452" xr:uid="{00000000-0005-0000-0000-000089010000}"/>
    <cellStyle name="Total6 3" xfId="453" xr:uid="{00000000-0005-0000-0000-00008A010000}"/>
    <cellStyle name="Total7" xfId="454" xr:uid="{00000000-0005-0000-0000-00008B010000}"/>
    <cellStyle name="Total7 2" xfId="455" xr:uid="{00000000-0005-0000-0000-00008C010000}"/>
    <cellStyle name="Total7 3" xfId="456" xr:uid="{00000000-0005-0000-0000-00008D010000}"/>
    <cellStyle name="Total8" xfId="457" xr:uid="{00000000-0005-0000-0000-00008E010000}"/>
    <cellStyle name="Total9" xfId="458" xr:uid="{00000000-0005-0000-0000-00008F010000}"/>
    <cellStyle name="Totals" xfId="459" xr:uid="{00000000-0005-0000-0000-000090010000}"/>
    <cellStyle name="TotalsComma" xfId="460" xr:uid="{00000000-0005-0000-0000-000091010000}"/>
    <cellStyle name="TotShade" xfId="461" xr:uid="{00000000-0005-0000-0000-000092010000}"/>
    <cellStyle name="Underscore" xfId="462" xr:uid="{00000000-0005-0000-0000-000093010000}"/>
    <cellStyle name="w12" xfId="24" xr:uid="{00000000-0005-0000-0000-000094010000}"/>
    <cellStyle name="Warning Text" xfId="463" xr:uid="{00000000-0005-0000-0000-000095010000}"/>
    <cellStyle name="アクセント 1 2" xfId="464" xr:uid="{00000000-0005-0000-0000-000096010000}"/>
    <cellStyle name="アクセント 2 2" xfId="465" xr:uid="{00000000-0005-0000-0000-000097010000}"/>
    <cellStyle name="アクセント 3 2" xfId="466" xr:uid="{00000000-0005-0000-0000-000098010000}"/>
    <cellStyle name="アクセント 4 2" xfId="467" xr:uid="{00000000-0005-0000-0000-000099010000}"/>
    <cellStyle name="アクセント 5 2" xfId="468" xr:uid="{00000000-0005-0000-0000-00009A010000}"/>
    <cellStyle name="アクセント 6 2" xfId="469" xr:uid="{00000000-0005-0000-0000-00009B010000}"/>
    <cellStyle name="スタイル 1" xfId="470" xr:uid="{00000000-0005-0000-0000-00009C010000}"/>
    <cellStyle name="スタイル 2" xfId="471" xr:uid="{00000000-0005-0000-0000-00009D010000}"/>
    <cellStyle name="タイトル 2" xfId="472" xr:uid="{00000000-0005-0000-0000-00009E010000}"/>
    <cellStyle name="チェック セル 2" xfId="473" xr:uid="{00000000-0005-0000-0000-00009F010000}"/>
    <cellStyle name="どちらでもない 2" xfId="474" xr:uid="{00000000-0005-0000-0000-0000A0010000}"/>
    <cellStyle name="パーセント" xfId="563" builtinId="5"/>
    <cellStyle name="パーセント 2" xfId="25" xr:uid="{00000000-0005-0000-0000-0000A2010000}"/>
    <cellStyle name="パーセント 2 2" xfId="475" xr:uid="{00000000-0005-0000-0000-0000A3010000}"/>
    <cellStyle name="パーセント 2 2 2" xfId="476" xr:uid="{00000000-0005-0000-0000-0000A4010000}"/>
    <cellStyle name="パーセント 3" xfId="477" xr:uid="{00000000-0005-0000-0000-0000A5010000}"/>
    <cellStyle name="メモ 2" xfId="478" xr:uid="{00000000-0005-0000-0000-0000A6010000}"/>
    <cellStyle name="メモ 2 2" xfId="479" xr:uid="{00000000-0005-0000-0000-0000A7010000}"/>
    <cellStyle name="メモ 3" xfId="480" xr:uid="{00000000-0005-0000-0000-0000A8010000}"/>
    <cellStyle name="リンク セル 2" xfId="481" xr:uid="{00000000-0005-0000-0000-0000A9010000}"/>
    <cellStyle name="悪い 2" xfId="482" xr:uid="{00000000-0005-0000-0000-0000AA010000}"/>
    <cellStyle name="型番" xfId="483" xr:uid="{00000000-0005-0000-0000-0000AB010000}"/>
    <cellStyle name="計算 2" xfId="484" xr:uid="{00000000-0005-0000-0000-0000AC010000}"/>
    <cellStyle name="計算 2 2" xfId="485" xr:uid="{00000000-0005-0000-0000-0000AD010000}"/>
    <cellStyle name="計算 3" xfId="486" xr:uid="{00000000-0005-0000-0000-0000AE010000}"/>
    <cellStyle name="警告文 2" xfId="487" xr:uid="{00000000-0005-0000-0000-0000AF010000}"/>
    <cellStyle name="桁区切り 2" xfId="26" xr:uid="{00000000-0005-0000-0000-0000B0010000}"/>
    <cellStyle name="桁区切り 2 2" xfId="27" xr:uid="{00000000-0005-0000-0000-0000B1010000}"/>
    <cellStyle name="桁区切り 2 2 2" xfId="488" xr:uid="{00000000-0005-0000-0000-0000B2010000}"/>
    <cellStyle name="桁区切り 2 3" xfId="489" xr:uid="{00000000-0005-0000-0000-0000B3010000}"/>
    <cellStyle name="桁区切り 3" xfId="490" xr:uid="{00000000-0005-0000-0000-0000B4010000}"/>
    <cellStyle name="桁区切り 4" xfId="491" xr:uid="{00000000-0005-0000-0000-0000B5010000}"/>
    <cellStyle name="桁区切り 5" xfId="492" xr:uid="{00000000-0005-0000-0000-0000B6010000}"/>
    <cellStyle name="桁区切り 5 2" xfId="493" xr:uid="{00000000-0005-0000-0000-0000B7010000}"/>
    <cellStyle name="桁区切り 5 2 2" xfId="494" xr:uid="{00000000-0005-0000-0000-0000B8010000}"/>
    <cellStyle name="見出し 1 2" xfId="495" xr:uid="{00000000-0005-0000-0000-0000B9010000}"/>
    <cellStyle name="見出し 2 2" xfId="496" xr:uid="{00000000-0005-0000-0000-0000BA010000}"/>
    <cellStyle name="見出し 3 2" xfId="497" xr:uid="{00000000-0005-0000-0000-0000BB010000}"/>
    <cellStyle name="見出し 4 2" xfId="498" xr:uid="{00000000-0005-0000-0000-0000BC010000}"/>
    <cellStyle name="在庫" xfId="499" xr:uid="{00000000-0005-0000-0000-0000BD010000}"/>
    <cellStyle name="集計 2" xfId="500" xr:uid="{00000000-0005-0000-0000-0000BE010000}"/>
    <cellStyle name="集計 2 2" xfId="501" xr:uid="{00000000-0005-0000-0000-0000BF010000}"/>
    <cellStyle name="集計 3" xfId="502" xr:uid="{00000000-0005-0000-0000-0000C0010000}"/>
    <cellStyle name="出力 2" xfId="503" xr:uid="{00000000-0005-0000-0000-0000C1010000}"/>
    <cellStyle name="出力 2 2" xfId="504" xr:uid="{00000000-0005-0000-0000-0000C2010000}"/>
    <cellStyle name="出力 3" xfId="505" xr:uid="{00000000-0005-0000-0000-0000C3010000}"/>
    <cellStyle name="説明文 2" xfId="506" xr:uid="{00000000-0005-0000-0000-0000C4010000}"/>
    <cellStyle name="脱浦 [0.00]_?f?o疫善?ELp" xfId="507" xr:uid="{00000000-0005-0000-0000-0000C5010000}"/>
    <cellStyle name="脱浦_?f?o疫善?ESO" xfId="508" xr:uid="{00000000-0005-0000-0000-0000C6010000}"/>
    <cellStyle name="通貨" xfId="1" builtinId="7"/>
    <cellStyle name="通貨 10" xfId="28" xr:uid="{00000000-0005-0000-0000-0000C8010000}"/>
    <cellStyle name="通貨 11" xfId="29" xr:uid="{00000000-0005-0000-0000-0000C9010000}"/>
    <cellStyle name="通貨 12" xfId="30" xr:uid="{00000000-0005-0000-0000-0000CA010000}"/>
    <cellStyle name="通貨 13" xfId="31" xr:uid="{00000000-0005-0000-0000-0000CB010000}"/>
    <cellStyle name="通貨 14" xfId="32" xr:uid="{00000000-0005-0000-0000-0000CC010000}"/>
    <cellStyle name="通貨 15" xfId="33" xr:uid="{00000000-0005-0000-0000-0000CD010000}"/>
    <cellStyle name="通貨 16" xfId="34" xr:uid="{00000000-0005-0000-0000-0000CE010000}"/>
    <cellStyle name="通貨 17" xfId="35" xr:uid="{00000000-0005-0000-0000-0000CF010000}"/>
    <cellStyle name="通貨 18" xfId="36" xr:uid="{00000000-0005-0000-0000-0000D0010000}"/>
    <cellStyle name="通貨 19" xfId="37" xr:uid="{00000000-0005-0000-0000-0000D1010000}"/>
    <cellStyle name="通貨 2" xfId="38" xr:uid="{00000000-0005-0000-0000-0000D2010000}"/>
    <cellStyle name="通貨 2 2" xfId="39" xr:uid="{00000000-0005-0000-0000-0000D3010000}"/>
    <cellStyle name="通貨 20" xfId="40" xr:uid="{00000000-0005-0000-0000-0000D4010000}"/>
    <cellStyle name="通貨 21" xfId="41" xr:uid="{00000000-0005-0000-0000-0000D5010000}"/>
    <cellStyle name="通貨 22" xfId="42" xr:uid="{00000000-0005-0000-0000-0000D6010000}"/>
    <cellStyle name="通貨 23" xfId="43" xr:uid="{00000000-0005-0000-0000-0000D7010000}"/>
    <cellStyle name="通貨 24" xfId="44" xr:uid="{00000000-0005-0000-0000-0000D8010000}"/>
    <cellStyle name="通貨 25" xfId="45" xr:uid="{00000000-0005-0000-0000-0000D9010000}"/>
    <cellStyle name="通貨 26" xfId="46" xr:uid="{00000000-0005-0000-0000-0000DA010000}"/>
    <cellStyle name="通貨 27" xfId="47" xr:uid="{00000000-0005-0000-0000-0000DB010000}"/>
    <cellStyle name="通貨 28" xfId="48" xr:uid="{00000000-0005-0000-0000-0000DC010000}"/>
    <cellStyle name="通貨 29" xfId="49" xr:uid="{00000000-0005-0000-0000-0000DD010000}"/>
    <cellStyle name="通貨 3" xfId="50" xr:uid="{00000000-0005-0000-0000-0000DE010000}"/>
    <cellStyle name="通貨 3 2" xfId="51" xr:uid="{00000000-0005-0000-0000-0000DF010000}"/>
    <cellStyle name="通貨 30" xfId="52" xr:uid="{00000000-0005-0000-0000-0000E0010000}"/>
    <cellStyle name="通貨 31" xfId="53" xr:uid="{00000000-0005-0000-0000-0000E1010000}"/>
    <cellStyle name="通貨 32" xfId="54" xr:uid="{00000000-0005-0000-0000-0000E2010000}"/>
    <cellStyle name="通貨 4" xfId="55" xr:uid="{00000000-0005-0000-0000-0000E3010000}"/>
    <cellStyle name="通貨 4 2" xfId="56" xr:uid="{00000000-0005-0000-0000-0000E4010000}"/>
    <cellStyle name="通貨 5" xfId="57" xr:uid="{00000000-0005-0000-0000-0000E5010000}"/>
    <cellStyle name="通貨 5 2" xfId="58" xr:uid="{00000000-0005-0000-0000-0000E6010000}"/>
    <cellStyle name="通貨 6" xfId="59" xr:uid="{00000000-0005-0000-0000-0000E7010000}"/>
    <cellStyle name="通貨 6 2" xfId="60" xr:uid="{00000000-0005-0000-0000-0000E8010000}"/>
    <cellStyle name="通貨 7" xfId="61" xr:uid="{00000000-0005-0000-0000-0000E9010000}"/>
    <cellStyle name="通貨 7 2" xfId="62" xr:uid="{00000000-0005-0000-0000-0000EA010000}"/>
    <cellStyle name="通貨 8" xfId="63" xr:uid="{00000000-0005-0000-0000-0000EB010000}"/>
    <cellStyle name="通貨 9" xfId="64" xr:uid="{00000000-0005-0000-0000-0000EC010000}"/>
    <cellStyle name="入力 2" xfId="509" xr:uid="{00000000-0005-0000-0000-0000ED010000}"/>
    <cellStyle name="入力 2 2" xfId="510" xr:uid="{00000000-0005-0000-0000-0000EE010000}"/>
    <cellStyle name="入力 3" xfId="511" xr:uid="{00000000-0005-0000-0000-0000EF010000}"/>
    <cellStyle name="標準" xfId="0" builtinId="0"/>
    <cellStyle name="標準 10" xfId="70" xr:uid="{00000000-0005-0000-0000-0000F1010000}"/>
    <cellStyle name="標準 11" xfId="512" xr:uid="{00000000-0005-0000-0000-0000F2010000}"/>
    <cellStyle name="標準 12" xfId="513" xr:uid="{00000000-0005-0000-0000-0000F3010000}"/>
    <cellStyle name="標準 13" xfId="514" xr:uid="{00000000-0005-0000-0000-0000F4010000}"/>
    <cellStyle name="標準 14" xfId="515" xr:uid="{00000000-0005-0000-0000-0000F5010000}"/>
    <cellStyle name="標準 15" xfId="516" xr:uid="{00000000-0005-0000-0000-0000F6010000}"/>
    <cellStyle name="標準 15 2" xfId="517" xr:uid="{00000000-0005-0000-0000-0000F7010000}"/>
    <cellStyle name="標準 15 3" xfId="518" xr:uid="{00000000-0005-0000-0000-0000F8010000}"/>
    <cellStyle name="標準 16" xfId="519" xr:uid="{00000000-0005-0000-0000-0000F9010000}"/>
    <cellStyle name="標準 16 2" xfId="520" xr:uid="{00000000-0005-0000-0000-0000FA010000}"/>
    <cellStyle name="標準 17" xfId="521" xr:uid="{00000000-0005-0000-0000-0000FB010000}"/>
    <cellStyle name="標準 17 2" xfId="522" xr:uid="{00000000-0005-0000-0000-0000FC010000}"/>
    <cellStyle name="標準 17 2 2" xfId="523" xr:uid="{00000000-0005-0000-0000-0000FD010000}"/>
    <cellStyle name="標準 18" xfId="524" xr:uid="{00000000-0005-0000-0000-0000FE010000}"/>
    <cellStyle name="標準 19" xfId="525" xr:uid="{00000000-0005-0000-0000-0000FF010000}"/>
    <cellStyle name="標準 2" xfId="2" xr:uid="{00000000-0005-0000-0000-000000020000}"/>
    <cellStyle name="標準 2 2" xfId="3" xr:uid="{00000000-0005-0000-0000-000001020000}"/>
    <cellStyle name="標準 2 2 2" xfId="9" xr:uid="{00000000-0005-0000-0000-000002020000}"/>
    <cellStyle name="標準 2 3" xfId="4" xr:uid="{00000000-0005-0000-0000-000003020000}"/>
    <cellStyle name="標準 2 3 2" xfId="8" xr:uid="{00000000-0005-0000-0000-000004020000}"/>
    <cellStyle name="標準 20" xfId="526" xr:uid="{00000000-0005-0000-0000-000005020000}"/>
    <cellStyle name="標準 21" xfId="527" xr:uid="{00000000-0005-0000-0000-000006020000}"/>
    <cellStyle name="標準 22" xfId="528" xr:uid="{00000000-0005-0000-0000-000007020000}"/>
    <cellStyle name="標準 23" xfId="529" xr:uid="{00000000-0005-0000-0000-000008020000}"/>
    <cellStyle name="標準 24" xfId="530" xr:uid="{00000000-0005-0000-0000-000009020000}"/>
    <cellStyle name="標準 25" xfId="568" xr:uid="{00000000-0005-0000-0000-00000A020000}"/>
    <cellStyle name="標準 3" xfId="6" xr:uid="{00000000-0005-0000-0000-00000B020000}"/>
    <cellStyle name="標準 3 2" xfId="531" xr:uid="{00000000-0005-0000-0000-00000C020000}"/>
    <cellStyle name="標準 3 3" xfId="532" xr:uid="{00000000-0005-0000-0000-00000D020000}"/>
    <cellStyle name="標準 3 4" xfId="533" xr:uid="{00000000-0005-0000-0000-00000E020000}"/>
    <cellStyle name="標準 4" xfId="65" xr:uid="{00000000-0005-0000-0000-00000F020000}"/>
    <cellStyle name="標準 4 2" xfId="66" xr:uid="{00000000-0005-0000-0000-000010020000}"/>
    <cellStyle name="標準 4 3" xfId="67" xr:uid="{00000000-0005-0000-0000-000011020000}"/>
    <cellStyle name="標準 4 4" xfId="572" xr:uid="{00000000-0005-0000-0000-000012020000}"/>
    <cellStyle name="標準 5" xfId="534" xr:uid="{00000000-0005-0000-0000-000013020000}"/>
    <cellStyle name="標準 51" xfId="564" xr:uid="{00000000-0005-0000-0000-000014020000}"/>
    <cellStyle name="標準 6" xfId="68" xr:uid="{00000000-0005-0000-0000-000015020000}"/>
    <cellStyle name="標準 6 2" xfId="69" xr:uid="{00000000-0005-0000-0000-000016020000}"/>
    <cellStyle name="標準 6 3" xfId="569" xr:uid="{00000000-0005-0000-0000-000017020000}"/>
    <cellStyle name="標準 7" xfId="535" xr:uid="{00000000-0005-0000-0000-000018020000}"/>
    <cellStyle name="標準 8" xfId="536" xr:uid="{00000000-0005-0000-0000-000019020000}"/>
    <cellStyle name="標準 9" xfId="537" xr:uid="{00000000-0005-0000-0000-00001A020000}"/>
    <cellStyle name="標準_（2・3号館）管理業務スケジュール表2010.06" xfId="567" xr:uid="{00000000-0005-0000-0000-00001B020000}"/>
    <cellStyle name="標準_(住友ビルディング）管理業務スケジュール表2010" xfId="566" xr:uid="{00000000-0005-0000-0000-00001C020000}"/>
    <cellStyle name="標準_（住友商事フカミヤ大通ビル）管理業務スケジュール表 2010 0608修正1 (2) 2" xfId="571" xr:uid="{00000000-0005-0000-0000-00001D020000}"/>
    <cellStyle name="標準_（竹橋）管理業務スケジュール表2010 2" xfId="565" xr:uid="{00000000-0005-0000-0000-00001E020000}"/>
    <cellStyle name="標準_（日通・住商神田ビル）管理業務スケジュール表2010 (2)_20107月度月次報告書　ファイナル版（フカミヤ大通） (version 1) 2" xfId="570" xr:uid="{00000000-0005-0000-0000-00001F020000}"/>
    <cellStyle name="標準_00_作業予定" xfId="10" xr:uid="{00000000-0005-0000-0000-000020020000}"/>
    <cellStyle name="標準_Sheet1" xfId="11" xr:uid="{00000000-0005-0000-0000-000021020000}"/>
    <cellStyle name="標準_Sheet1 2" xfId="7" xr:uid="{00000000-0005-0000-0000-000022020000}"/>
    <cellStyle name="標準_赤坂イイヌマビル　年報（2004年度）_日通・住商神田ビル　月報（2005.12）" xfId="5" xr:uid="{00000000-0005-0000-0000-000023020000}"/>
    <cellStyle name="未定義" xfId="538" xr:uid="{00000000-0005-0000-0000-000024020000}"/>
    <cellStyle name="未定義 2" xfId="539" xr:uid="{00000000-0005-0000-0000-000025020000}"/>
    <cellStyle name="未定義_収支予算表概要" xfId="540" xr:uid="{00000000-0005-0000-0000-000026020000}"/>
    <cellStyle name="良い 2" xfId="541" xr:uid="{00000000-0005-0000-0000-000027020000}"/>
    <cellStyle name="禃宁垃㌠" xfId="542" xr:uid="{00000000-0005-0000-0000-000028020000}"/>
    <cellStyle name="㼿" xfId="543" xr:uid="{00000000-0005-0000-0000-000029020000}"/>
    <cellStyle name="㼿 2" xfId="544" xr:uid="{00000000-0005-0000-0000-00002A020000}"/>
    <cellStyle name="㼿?" xfId="545" xr:uid="{00000000-0005-0000-0000-00002B020000}"/>
    <cellStyle name="㼿㼿" xfId="546" xr:uid="{00000000-0005-0000-0000-00002C020000}"/>
    <cellStyle name="㼿㼿?" xfId="547" xr:uid="{00000000-0005-0000-0000-00002D020000}"/>
    <cellStyle name="㼿㼿㼿" xfId="548" xr:uid="{00000000-0005-0000-0000-00002E020000}"/>
    <cellStyle name="㼿㼿㼿?" xfId="549" xr:uid="{00000000-0005-0000-0000-00002F020000}"/>
    <cellStyle name="㼿㼿㼿㼿?" xfId="550" xr:uid="{00000000-0005-0000-0000-000030020000}"/>
    <cellStyle name="㼿㼿㼿㼿㼿" xfId="551" xr:uid="{00000000-0005-0000-0000-000031020000}"/>
    <cellStyle name="㼿㼿㼿㼿㼿㼿" xfId="552" xr:uid="{00000000-0005-0000-0000-000032020000}"/>
    <cellStyle name="㼿㼿㼿㼿㼿㼿?" xfId="553" xr:uid="{00000000-0005-0000-0000-000033020000}"/>
    <cellStyle name="㼿㼿㼿㼿㼿㼿㼿" xfId="554" xr:uid="{00000000-0005-0000-0000-000034020000}"/>
    <cellStyle name="㼿㼿㼿㼿㼿㼿㼿㼿?" xfId="555" xr:uid="{00000000-0005-0000-0000-000035020000}"/>
    <cellStyle name="㼿㼿㼿㼿㼿㼿㼿㼿㼿㼿" xfId="556" xr:uid="{00000000-0005-0000-0000-000036020000}"/>
    <cellStyle name="㼿㼿㼿㼿㼿㼿㼿㼿㼿㼿㼿?" xfId="557" xr:uid="{00000000-0005-0000-0000-000037020000}"/>
    <cellStyle name="㼿㼿㼿㼿㼿㼿㼿㼿㼿㼿㼿㼿㼿" xfId="558" xr:uid="{00000000-0005-0000-0000-000038020000}"/>
    <cellStyle name="㼿㼿㼿㼿㼿㼿㼿㼿㼿㼿㼿㼿㼿㼿" xfId="559" xr:uid="{00000000-0005-0000-0000-000039020000}"/>
    <cellStyle name="㼿㼿㼿㼿㼿㼿㼿㼿㼿㼿㼿㼿㼿㼿?" xfId="560" xr:uid="{00000000-0005-0000-0000-00003A020000}"/>
    <cellStyle name="㼿㼿㼿㼿㼿㼿㼿㼿㼿㼿㼿㼿㼿㼿㼿㼿㼿" xfId="561" xr:uid="{00000000-0005-0000-0000-00003B020000}"/>
    <cellStyle name="㼿㼿㼿㼿㼿㼿㼿㼿㼿㼿㼿㼿㼿㼿㼿㼿㼿㼿㼿㼿" xfId="562" xr:uid="{00000000-0005-0000-0000-00003C020000}"/>
  </cellStyles>
  <dxfs count="224">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CCFFFF"/>
        </patternFill>
      </fill>
    </dxf>
    <dxf>
      <fill>
        <patternFill>
          <bgColor rgb="FFCCFFFF"/>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rgb="FFCCFFFF"/>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rgb="FFCCFFFF"/>
        </patternFill>
      </fill>
    </dxf>
    <dxf>
      <fill>
        <patternFill>
          <bgColor indexed="22"/>
        </patternFill>
      </fill>
    </dxf>
    <dxf>
      <fill>
        <patternFill>
          <bgColor indexed="22"/>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theme="0" tint="-0.24994659260841701"/>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theme="0" tint="-0.24994659260841701"/>
        </patternFill>
      </fill>
    </dxf>
    <dxf>
      <fill>
        <patternFill>
          <bgColor rgb="FFCCFFFF"/>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ont>
        <strike val="0"/>
        <color rgb="FFFF0000"/>
      </font>
    </dxf>
    <dxf>
      <font>
        <strike val="0"/>
        <color rgb="FFFF0000"/>
      </font>
    </dxf>
    <dxf>
      <font>
        <strike val="0"/>
        <color rgb="FFFF0000"/>
      </font>
    </dxf>
    <dxf>
      <font>
        <strike val="0"/>
        <color rgb="FFFF0000"/>
      </font>
    </dxf>
  </dxfs>
  <tableStyles count="0" defaultTableStyle="TableStyleMedium9" defaultPivotStyle="PivotStyleLight16"/>
  <colors>
    <mruColors>
      <color rgb="FFCCFFCC"/>
      <color rgb="FF0070C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drawings/_rels/drawing1.xml.rels><?xml version="1.0" encoding="UTF-8" standalone="yes"?>
<Relationships xmlns="http://schemas.openxmlformats.org/package/2006/relationships"><Relationship Id="rId1" Type="http://schemas.openxmlformats.org/officeDocument/2006/relationships/image" Target="../media/image1.gif"/></Relationships>
</file>

<file path=xl/drawings/drawing1.xml><?xml version="1.0" encoding="utf-8"?>
<xdr:wsDr xmlns:xdr="http://schemas.openxmlformats.org/drawingml/2006/spreadsheetDrawing" xmlns:a="http://schemas.openxmlformats.org/drawingml/2006/main">
  <xdr:twoCellAnchor editAs="oneCell">
    <xdr:from>
      <xdr:col>12</xdr:col>
      <xdr:colOff>504826</xdr:colOff>
      <xdr:row>7</xdr:row>
      <xdr:rowOff>28576</xdr:rowOff>
    </xdr:from>
    <xdr:to>
      <xdr:col>18</xdr:col>
      <xdr:colOff>443305</xdr:colOff>
      <xdr:row>16</xdr:row>
      <xdr:rowOff>95250</xdr:rowOff>
    </xdr:to>
    <xdr:pic>
      <xdr:nvPicPr>
        <xdr:cNvPr id="3" name="図 2">
          <a:extLst>
            <a:ext uri="{FF2B5EF4-FFF2-40B4-BE49-F238E27FC236}">
              <a16:creationId xmlns:a16="http://schemas.microsoft.com/office/drawing/2014/main" id="{00000000-0008-0000-08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1096626" y="1981201"/>
          <a:ext cx="4177104" cy="2381249"/>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oneCellAnchor>
    <xdr:from>
      <xdr:col>30</xdr:col>
      <xdr:colOff>190500</xdr:colOff>
      <xdr:row>2</xdr:row>
      <xdr:rowOff>177513</xdr:rowOff>
    </xdr:from>
    <xdr:ext cx="11477625" cy="3494355"/>
    <xdr:sp macro="" textlink="">
      <xdr:nvSpPr>
        <xdr:cNvPr id="2" name="テキスト ボックス 1">
          <a:extLst>
            <a:ext uri="{FF2B5EF4-FFF2-40B4-BE49-F238E27FC236}">
              <a16:creationId xmlns:a16="http://schemas.microsoft.com/office/drawing/2014/main" id="{00000000-0008-0000-0C00-000002000000}"/>
            </a:ext>
          </a:extLst>
        </xdr:cNvPr>
        <xdr:cNvSpPr txBox="1"/>
      </xdr:nvSpPr>
      <xdr:spPr>
        <a:xfrm>
          <a:off x="36442650" y="768063"/>
          <a:ext cx="11477625" cy="3494355"/>
        </a:xfrm>
        <a:prstGeom prst="rect">
          <a:avLst/>
        </a:prstGeom>
        <a:solidFill>
          <a:schemeClr val="lt1"/>
        </a:solidFill>
        <a:ln w="9525" cmpd="sng">
          <a:solidFill>
            <a:schemeClr val="lt1">
              <a:shade val="50000"/>
            </a:schemeClr>
          </a:solidFill>
          <a:prstDash val="lgDash"/>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spAutoFit/>
        </a:bodyPr>
        <a:lstStyle/>
        <a:p>
          <a:r>
            <a:rPr kumimoji="1" lang="en-US" altLang="ja-JP" sz="1200">
              <a:solidFill>
                <a:sysClr val="windowText" lastClr="000000"/>
              </a:solidFill>
              <a:latin typeface="ＭＳ ゴシック" panose="020B0609070205080204" pitchFamily="49" charset="-128"/>
              <a:ea typeface="ＭＳ ゴシック" panose="020B0609070205080204" pitchFamily="49" charset="-128"/>
            </a:rPr>
            <a:t>&lt;</a:t>
          </a:r>
          <a:r>
            <a:rPr kumimoji="1" lang="ja-JP" altLang="en-US" sz="1200">
              <a:solidFill>
                <a:sysClr val="windowText" lastClr="000000"/>
              </a:solidFill>
              <a:latin typeface="ＭＳ ゴシック" panose="020B0609070205080204" pitchFamily="49" charset="-128"/>
              <a:ea typeface="ＭＳ ゴシック" panose="020B0609070205080204" pitchFamily="49" charset="-128"/>
            </a:rPr>
            <a:t>更新方法（凡例、入力ルール））</a:t>
          </a:r>
          <a:r>
            <a:rPr kumimoji="1" lang="en-US" altLang="ja-JP" sz="1200">
              <a:solidFill>
                <a:sysClr val="windowText" lastClr="000000"/>
              </a:solidFill>
              <a:latin typeface="ＭＳ ゴシック" panose="020B0609070205080204" pitchFamily="49" charset="-128"/>
              <a:ea typeface="ＭＳ ゴシック" panose="020B0609070205080204" pitchFamily="49" charset="-128"/>
            </a:rPr>
            <a:t>&gt;</a:t>
          </a:r>
          <a:r>
            <a:rPr kumimoji="1" lang="ja-JP" altLang="en-US" sz="1200">
              <a:solidFill>
                <a:sysClr val="windowText" lastClr="000000"/>
              </a:solidFill>
              <a:latin typeface="ＭＳ ゴシック" panose="020B0609070205080204" pitchFamily="49" charset="-128"/>
              <a:ea typeface="ＭＳ ゴシック" panose="020B0609070205080204" pitchFamily="49" charset="-128"/>
            </a:rPr>
            <a:t>　</a:t>
          </a:r>
          <a:endParaRPr kumimoji="1" lang="en-US" altLang="ja-JP" sz="1200" u="sng">
            <a:solidFill>
              <a:sysClr val="windowText" lastClr="000000"/>
            </a:solidFill>
            <a:latin typeface="ＭＳ ゴシック" panose="020B0609070205080204" pitchFamily="49" charset="-128"/>
            <a:ea typeface="ＭＳ ゴシック" panose="020B0609070205080204" pitchFamily="49" charset="-128"/>
          </a:endParaRPr>
        </a:p>
        <a:p>
          <a:r>
            <a:rPr kumimoji="1" lang="ja-JP" altLang="en-US" sz="1200">
              <a:solidFill>
                <a:sysClr val="windowText" lastClr="000000"/>
              </a:solidFill>
              <a:latin typeface="ＭＳ ゴシック" panose="020B0609070205080204" pitchFamily="49" charset="-128"/>
              <a:ea typeface="ＭＳ ゴシック" panose="020B0609070205080204" pitchFamily="49" charset="-128"/>
            </a:rPr>
            <a:t>①予定欄／実績欄入力時における各凡例（推奨例）を記載します。</a:t>
          </a:r>
          <a:endParaRPr kumimoji="1" lang="en-US" altLang="ja-JP" sz="1200">
            <a:solidFill>
              <a:sysClr val="windowText" lastClr="000000"/>
            </a:solidFill>
            <a:latin typeface="ＭＳ ゴシック" panose="020B0609070205080204" pitchFamily="49" charset="-128"/>
            <a:ea typeface="ＭＳ ゴシック" panose="020B0609070205080204" pitchFamily="49" charset="-128"/>
          </a:endParaRPr>
        </a:p>
        <a:p>
          <a:r>
            <a:rPr kumimoji="1" lang="ja-JP" altLang="en-US" sz="1200">
              <a:solidFill>
                <a:sysClr val="windowText" lastClr="000000"/>
              </a:solidFill>
              <a:latin typeface="ＭＳ ゴシック" panose="020B0609070205080204" pitchFamily="49" charset="-128"/>
              <a:ea typeface="ＭＳ ゴシック" panose="020B0609070205080204" pitchFamily="49" charset="-128"/>
            </a:rPr>
            <a:t>　○：点検</a:t>
          </a:r>
          <a:endParaRPr kumimoji="1" lang="en-US" altLang="ja-JP" sz="1200">
            <a:solidFill>
              <a:sysClr val="windowText" lastClr="000000"/>
            </a:solidFill>
            <a:latin typeface="ＭＳ ゴシック" panose="020B0609070205080204" pitchFamily="49" charset="-128"/>
            <a:ea typeface="ＭＳ ゴシック" panose="020B0609070205080204" pitchFamily="49" charset="-128"/>
          </a:endParaRPr>
        </a:p>
        <a:p>
          <a:r>
            <a:rPr kumimoji="1" lang="ja-JP" altLang="en-US" sz="1200">
              <a:solidFill>
                <a:sysClr val="windowText" lastClr="000000"/>
              </a:solidFill>
              <a:latin typeface="ＭＳ ゴシック" panose="020B0609070205080204" pitchFamily="49" charset="-128"/>
              <a:ea typeface="ＭＳ ゴシック" panose="020B0609070205080204" pitchFamily="49" charset="-128"/>
            </a:rPr>
            <a:t>　◎：法定点検</a:t>
          </a:r>
          <a:endParaRPr kumimoji="1" lang="en-US" altLang="ja-JP" sz="1200">
            <a:solidFill>
              <a:sysClr val="windowText" lastClr="000000"/>
            </a:solidFill>
            <a:latin typeface="ＭＳ ゴシック" panose="020B0609070205080204" pitchFamily="49" charset="-128"/>
            <a:ea typeface="ＭＳ ゴシック" panose="020B0609070205080204" pitchFamily="49" charset="-128"/>
          </a:endParaRPr>
        </a:p>
        <a:p>
          <a:r>
            <a:rPr kumimoji="1" lang="ja-JP" altLang="en-US" sz="1200">
              <a:solidFill>
                <a:sysClr val="windowText" lastClr="000000"/>
              </a:solidFill>
              <a:latin typeface="ＭＳ ゴシック" panose="020B0609070205080204" pitchFamily="49" charset="-128"/>
              <a:ea typeface="ＭＳ ゴシック" panose="020B0609070205080204" pitchFamily="49" charset="-128"/>
            </a:rPr>
            <a:t>　</a:t>
          </a:r>
          <a:r>
            <a:rPr kumimoji="1" lang="en-US" altLang="ja-JP" sz="1200">
              <a:solidFill>
                <a:sysClr val="windowText" lastClr="000000"/>
              </a:solidFill>
              <a:latin typeface="ＭＳ ゴシック" panose="020B0609070205080204" pitchFamily="49" charset="-128"/>
              <a:ea typeface="ＭＳ ゴシック" panose="020B0609070205080204" pitchFamily="49" charset="-128"/>
            </a:rPr>
            <a:t>※</a:t>
          </a:r>
          <a:r>
            <a:rPr kumimoji="1" lang="ja-JP" altLang="en-US" sz="1200">
              <a:solidFill>
                <a:sysClr val="windowText" lastClr="000000"/>
              </a:solidFill>
              <a:latin typeface="ＭＳ ゴシック" panose="020B0609070205080204" pitchFamily="49" charset="-128"/>
              <a:ea typeface="ＭＳ ゴシック" panose="020B0609070205080204" pitchFamily="49" charset="-128"/>
            </a:rPr>
            <a:t>：本年度実施しない内容（該当年度には◎とし管理する。）</a:t>
          </a:r>
          <a:endParaRPr kumimoji="1" lang="en-US" altLang="ja-JP" sz="1200">
            <a:solidFill>
              <a:sysClr val="windowText" lastClr="000000"/>
            </a:solidFill>
            <a:latin typeface="ＭＳ ゴシック" panose="020B0609070205080204" pitchFamily="49" charset="-128"/>
            <a:ea typeface="ＭＳ ゴシック" panose="020B0609070205080204" pitchFamily="49" charset="-128"/>
          </a:endParaRPr>
        </a:p>
        <a:p>
          <a:r>
            <a:rPr kumimoji="1" lang="ja-JP" altLang="en-US" sz="1200">
              <a:solidFill>
                <a:sysClr val="windowText" lastClr="000000"/>
              </a:solidFill>
              <a:latin typeface="ＭＳ ゴシック" panose="020B0609070205080204" pitchFamily="49" charset="-128"/>
              <a:ea typeface="ＭＳ ゴシック" panose="020B0609070205080204" pitchFamily="49" charset="-128"/>
            </a:rPr>
            <a:t>　■：報告書・申請書の届出</a:t>
          </a:r>
          <a:endParaRPr kumimoji="1" lang="en-US" altLang="ja-JP" sz="1200">
            <a:solidFill>
              <a:sysClr val="windowText" lastClr="000000"/>
            </a:solidFill>
            <a:latin typeface="ＭＳ ゴシック" panose="020B0609070205080204" pitchFamily="49" charset="-128"/>
            <a:ea typeface="ＭＳ ゴシック" panose="020B0609070205080204" pitchFamily="49" charset="-128"/>
          </a:endParaRPr>
        </a:p>
        <a:p>
          <a:r>
            <a:rPr kumimoji="1" lang="ja-JP" altLang="en-US" sz="1200">
              <a:solidFill>
                <a:sysClr val="windowText" lastClr="000000"/>
              </a:solidFill>
              <a:latin typeface="ＭＳ ゴシック" panose="020B0609070205080204" pitchFamily="49" charset="-128"/>
              <a:ea typeface="ＭＳ ゴシック" panose="020B0609070205080204" pitchFamily="49" charset="-128"/>
            </a:rPr>
            <a:t>　●：毎日実施（特定日の実施の場合は、原則日付を記入する。）</a:t>
          </a:r>
          <a:endParaRPr kumimoji="1" lang="en-US" altLang="ja-JP" sz="1200">
            <a:solidFill>
              <a:sysClr val="windowText" lastClr="000000"/>
            </a:solidFill>
            <a:latin typeface="ＭＳ ゴシック" panose="020B0609070205080204" pitchFamily="49" charset="-128"/>
            <a:ea typeface="ＭＳ ゴシック" panose="020B0609070205080204" pitchFamily="49" charset="-128"/>
          </a:endParaRPr>
        </a:p>
        <a:p>
          <a:r>
            <a:rPr kumimoji="1" lang="ja-JP" altLang="en-US" sz="1200">
              <a:solidFill>
                <a:sysClr val="windowText" lastClr="000000"/>
              </a:solidFill>
              <a:latin typeface="ＭＳ ゴシック" panose="020B0609070205080204" pitchFamily="49" charset="-128"/>
              <a:ea typeface="ＭＳ ゴシック" panose="020B0609070205080204" pitchFamily="49" charset="-128"/>
            </a:rPr>
            <a:t>　</a:t>
          </a:r>
          <a:r>
            <a:rPr lang="ja-JP" altLang="ja-JP" sz="1200">
              <a:solidFill>
                <a:sysClr val="windowText" lastClr="000000"/>
              </a:solidFill>
              <a:effectLst/>
              <a:latin typeface="ＭＳ ゴシック" panose="020B0609070205080204" pitchFamily="49" charset="-128"/>
              <a:ea typeface="ＭＳ ゴシック" panose="020B0609070205080204" pitchFamily="49" charset="-128"/>
              <a:cs typeface="+mn-cs"/>
            </a:rPr>
            <a:t>×や△は上記内容が複数ある場合等、備考欄に詳細記載して使い分ける。</a:t>
          </a:r>
          <a:endParaRPr lang="en-US" altLang="ja-JP" sz="1200">
            <a:solidFill>
              <a:sysClr val="windowText" lastClr="000000"/>
            </a:solidFill>
            <a:effectLst/>
            <a:latin typeface="ＭＳ ゴシック" panose="020B0609070205080204" pitchFamily="49" charset="-128"/>
            <a:ea typeface="ＭＳ ゴシック" panose="020B0609070205080204" pitchFamily="49" charset="-128"/>
            <a:cs typeface="+mn-cs"/>
          </a:endParaRPr>
        </a:p>
        <a:p>
          <a:r>
            <a:rPr kumimoji="1" lang="ja-JP" altLang="en-US" sz="1200">
              <a:solidFill>
                <a:sysClr val="windowText" lastClr="000000"/>
              </a:solidFill>
              <a:latin typeface="ＭＳ ゴシック" panose="020B0609070205080204" pitchFamily="49" charset="-128"/>
              <a:ea typeface="ＭＳ ゴシック" panose="020B0609070205080204" pitchFamily="49" charset="-128"/>
            </a:rPr>
            <a:t>　</a:t>
          </a:r>
          <a:r>
            <a:rPr lang="ja-JP" altLang="ja-JP" sz="1200">
              <a:solidFill>
                <a:sysClr val="windowText" lastClr="000000"/>
              </a:solidFill>
              <a:effectLst/>
              <a:latin typeface="ＭＳ ゴシック" panose="020B0609070205080204" pitchFamily="49" charset="-128"/>
              <a:ea typeface="ＭＳ ゴシック" panose="020B0609070205080204" pitchFamily="49" charset="-128"/>
              <a:cs typeface="+mn-cs"/>
            </a:rPr>
            <a:t>建築設備定期検査、特定建築定期</a:t>
          </a:r>
          <a:r>
            <a:rPr lang="ja-JP" altLang="en-US" sz="1200">
              <a:solidFill>
                <a:sysClr val="windowText" lastClr="000000"/>
              </a:solidFill>
              <a:effectLst/>
              <a:latin typeface="ＭＳ ゴシック" panose="020B0609070205080204" pitchFamily="49" charset="-128"/>
              <a:ea typeface="ＭＳ ゴシック" panose="020B0609070205080204" pitchFamily="49" charset="-128"/>
              <a:cs typeface="+mn-cs"/>
            </a:rPr>
            <a:t>検査</a:t>
          </a:r>
          <a:r>
            <a:rPr lang="ja-JP" altLang="ja-JP" sz="1200">
              <a:solidFill>
                <a:sysClr val="windowText" lastClr="000000"/>
              </a:solidFill>
              <a:effectLst/>
              <a:latin typeface="ＭＳ ゴシック" panose="020B0609070205080204" pitchFamily="49" charset="-128"/>
              <a:ea typeface="ＭＳ ゴシック" panose="020B0609070205080204" pitchFamily="49" charset="-128"/>
              <a:cs typeface="+mn-cs"/>
            </a:rPr>
            <a:t>、防火設備定期検査等、点検と届出が必要な</a:t>
          </a:r>
          <a:r>
            <a:rPr kumimoji="1" lang="ja-JP" altLang="en-US" sz="1200">
              <a:solidFill>
                <a:sysClr val="windowText" lastClr="000000"/>
              </a:solidFill>
              <a:latin typeface="ＭＳ ゴシック" panose="020B0609070205080204" pitchFamily="49" charset="-128"/>
              <a:ea typeface="ＭＳ ゴシック" panose="020B0609070205080204" pitchFamily="49" charset="-128"/>
            </a:rPr>
            <a:t>項目は、</a:t>
          </a:r>
          <a:r>
            <a:rPr lang="ja-JP" altLang="ja-JP" sz="1200">
              <a:solidFill>
                <a:sysClr val="windowText" lastClr="000000"/>
              </a:solidFill>
              <a:effectLst/>
              <a:latin typeface="ＭＳ ゴシック" panose="020B0609070205080204" pitchFamily="49" charset="-128"/>
              <a:ea typeface="ＭＳ ゴシック" panose="020B0609070205080204" pitchFamily="49" charset="-128"/>
              <a:cs typeface="+mn-cs"/>
            </a:rPr>
            <a:t>予定月および実施日に点検と報告書提出をそれぞれ記載する</a:t>
          </a:r>
          <a:r>
            <a:rPr kumimoji="1" lang="ja-JP" altLang="en-US" sz="1200">
              <a:solidFill>
                <a:sysClr val="windowText" lastClr="000000"/>
              </a:solidFill>
              <a:latin typeface="ＭＳ ゴシック" panose="020B0609070205080204" pitchFamily="49" charset="-128"/>
              <a:ea typeface="ＭＳ ゴシック" panose="020B0609070205080204" pitchFamily="49" charset="-128"/>
            </a:rPr>
            <a:t>。</a:t>
          </a:r>
          <a:endParaRPr kumimoji="1" lang="en-US" altLang="ja-JP" sz="1200">
            <a:solidFill>
              <a:sysClr val="windowText" lastClr="000000"/>
            </a:solidFill>
            <a:latin typeface="ＭＳ ゴシック" panose="020B0609070205080204" pitchFamily="49" charset="-128"/>
            <a:ea typeface="ＭＳ ゴシック" panose="020B0609070205080204" pitchFamily="49" charset="-128"/>
          </a:endParaRPr>
        </a:p>
        <a:p>
          <a:endParaRPr kumimoji="1" lang="en-US" altLang="ja-JP" sz="1200">
            <a:solidFill>
              <a:sysClr val="windowText" lastClr="000000"/>
            </a:solidFill>
            <a:latin typeface="ＭＳ ゴシック" panose="020B0609070205080204" pitchFamily="49" charset="-128"/>
            <a:ea typeface="ＭＳ ゴシック" panose="020B0609070205080204" pitchFamily="49" charset="-128"/>
          </a:endParaRPr>
        </a:p>
        <a:p>
          <a:r>
            <a:rPr kumimoji="1" lang="ja-JP" altLang="en-US" sz="1200">
              <a:solidFill>
                <a:sysClr val="windowText" lastClr="000000"/>
              </a:solidFill>
              <a:latin typeface="ＭＳ ゴシック" panose="020B0609070205080204" pitchFamily="49" charset="-128"/>
              <a:ea typeface="ＭＳ ゴシック" panose="020B0609070205080204" pitchFamily="49" charset="-128"/>
            </a:rPr>
            <a:t>②本表記載のルールは、以下を参照とする。</a:t>
          </a:r>
          <a:endParaRPr kumimoji="1" lang="en-US" altLang="ja-JP" sz="1200">
            <a:solidFill>
              <a:sysClr val="windowText" lastClr="000000"/>
            </a:solidFill>
            <a:latin typeface="ＭＳ ゴシック" panose="020B0609070205080204" pitchFamily="49" charset="-128"/>
            <a:ea typeface="ＭＳ ゴシック" panose="020B0609070205080204" pitchFamily="49" charset="-128"/>
          </a:endParaRPr>
        </a:p>
        <a:p>
          <a:pPr marL="0" marR="0" lvl="0" indent="0" defTabSz="914400" eaLnBrk="1" fontAlgn="auto" latinLnBrk="0" hangingPunct="1">
            <a:lnSpc>
              <a:spcPct val="100000"/>
            </a:lnSpc>
            <a:spcBef>
              <a:spcPts val="0"/>
            </a:spcBef>
            <a:spcAft>
              <a:spcPts val="0"/>
            </a:spcAft>
            <a:buClrTx/>
            <a:buSzTx/>
            <a:buFontTx/>
            <a:buNone/>
            <a:tabLst/>
            <a:defRPr/>
          </a:pPr>
          <a:r>
            <a:rPr kumimoji="1" lang="ja-JP" altLang="ja-JP" sz="1200">
              <a:solidFill>
                <a:sysClr val="windowText" lastClr="000000"/>
              </a:solidFill>
              <a:effectLst/>
              <a:latin typeface="ＭＳ ゴシック" panose="020B0609070205080204" pitchFamily="49" charset="-128"/>
              <a:ea typeface="ＭＳ ゴシック" panose="020B0609070205080204" pitchFamily="49" charset="-128"/>
              <a:cs typeface="+mn-cs"/>
            </a:rPr>
            <a:t>　・</a:t>
          </a:r>
          <a:r>
            <a:rPr lang="ja-JP" altLang="ja-JP" sz="1200">
              <a:solidFill>
                <a:sysClr val="windowText" lastClr="000000"/>
              </a:solidFill>
              <a:effectLst/>
              <a:latin typeface="ＭＳ ゴシック" panose="020B0609070205080204" pitchFamily="49" charset="-128"/>
              <a:ea typeface="ＭＳ ゴシック" panose="020B0609070205080204" pitchFamily="49" charset="-128"/>
              <a:cs typeface="+mn-cs"/>
            </a:rPr>
            <a:t>実施日が複数</a:t>
          </a:r>
          <a:r>
            <a:rPr lang="ja-JP" altLang="en-US" sz="1200">
              <a:solidFill>
                <a:sysClr val="windowText" lastClr="000000"/>
              </a:solidFill>
              <a:effectLst/>
              <a:latin typeface="ＭＳ ゴシック" panose="020B0609070205080204" pitchFamily="49" charset="-128"/>
              <a:ea typeface="ＭＳ ゴシック" panose="020B0609070205080204" pitchFamily="49" charset="-128"/>
              <a:cs typeface="+mn-cs"/>
            </a:rPr>
            <a:t>日</a:t>
          </a:r>
          <a:r>
            <a:rPr lang="ja-JP" altLang="ja-JP" sz="1200">
              <a:solidFill>
                <a:sysClr val="windowText" lastClr="000000"/>
              </a:solidFill>
              <a:effectLst/>
              <a:latin typeface="ＭＳ ゴシック" panose="020B0609070205080204" pitchFamily="49" charset="-128"/>
              <a:ea typeface="ＭＳ ゴシック" panose="020B0609070205080204" pitchFamily="49" charset="-128"/>
              <a:cs typeface="+mn-cs"/>
            </a:rPr>
            <a:t>の場合</a:t>
          </a:r>
          <a:r>
            <a:rPr lang="ja-JP" altLang="en-US" sz="1200">
              <a:solidFill>
                <a:sysClr val="windowText" lastClr="000000"/>
              </a:solidFill>
              <a:effectLst/>
              <a:latin typeface="ＭＳ ゴシック" panose="020B0609070205080204" pitchFamily="49" charset="-128"/>
              <a:ea typeface="ＭＳ ゴシック" panose="020B0609070205080204" pitchFamily="49" charset="-128"/>
              <a:cs typeface="+mn-cs"/>
            </a:rPr>
            <a:t>は、原則</a:t>
          </a:r>
          <a:r>
            <a:rPr lang="ja-JP" altLang="ja-JP" sz="1200">
              <a:solidFill>
                <a:sysClr val="windowText" lastClr="000000"/>
              </a:solidFill>
              <a:effectLst/>
              <a:latin typeface="ＭＳ ゴシック" panose="020B0609070205080204" pitchFamily="49" charset="-128"/>
              <a:ea typeface="ＭＳ ゴシック" panose="020B0609070205080204" pitchFamily="49" charset="-128"/>
              <a:cs typeface="+mn-cs"/>
            </a:rPr>
            <a:t>全</a:t>
          </a:r>
          <a:r>
            <a:rPr lang="ja-JP" altLang="en-US" sz="1200">
              <a:solidFill>
                <a:sysClr val="windowText" lastClr="000000"/>
              </a:solidFill>
              <a:effectLst/>
              <a:latin typeface="ＭＳ ゴシック" panose="020B0609070205080204" pitchFamily="49" charset="-128"/>
              <a:ea typeface="ＭＳ ゴシック" panose="020B0609070205080204" pitchFamily="49" charset="-128"/>
              <a:cs typeface="+mn-cs"/>
            </a:rPr>
            <a:t>ての実施</a:t>
          </a:r>
          <a:r>
            <a:rPr lang="ja-JP" altLang="ja-JP" sz="1200">
              <a:solidFill>
                <a:sysClr val="windowText" lastClr="000000"/>
              </a:solidFill>
              <a:effectLst/>
              <a:latin typeface="ＭＳ ゴシック" panose="020B0609070205080204" pitchFamily="49" charset="-128"/>
              <a:ea typeface="ＭＳ ゴシック" panose="020B0609070205080204" pitchFamily="49" charset="-128"/>
              <a:cs typeface="+mn-cs"/>
            </a:rPr>
            <a:t>日</a:t>
          </a:r>
          <a:r>
            <a:rPr lang="ja-JP" altLang="en-US" sz="1200">
              <a:solidFill>
                <a:sysClr val="windowText" lastClr="000000"/>
              </a:solidFill>
              <a:effectLst/>
              <a:latin typeface="ＭＳ ゴシック" panose="020B0609070205080204" pitchFamily="49" charset="-128"/>
              <a:ea typeface="ＭＳ ゴシック" panose="020B0609070205080204" pitchFamily="49" charset="-128"/>
              <a:cs typeface="+mn-cs"/>
            </a:rPr>
            <a:t>を</a:t>
          </a:r>
          <a:r>
            <a:rPr lang="ja-JP" altLang="ja-JP" sz="1200">
              <a:solidFill>
                <a:sysClr val="windowText" lastClr="000000"/>
              </a:solidFill>
              <a:effectLst/>
              <a:latin typeface="ＭＳ ゴシック" panose="020B0609070205080204" pitchFamily="49" charset="-128"/>
              <a:ea typeface="ＭＳ ゴシック" panose="020B0609070205080204" pitchFamily="49" charset="-128"/>
              <a:cs typeface="+mn-cs"/>
            </a:rPr>
            <a:t>記載する。</a:t>
          </a:r>
          <a:endParaRPr lang="en-US" altLang="ja-JP" sz="1200">
            <a:solidFill>
              <a:sysClr val="windowText" lastClr="000000"/>
            </a:solidFill>
            <a:effectLst/>
            <a:latin typeface="ＭＳ ゴシック" panose="020B0609070205080204" pitchFamily="49" charset="-128"/>
            <a:ea typeface="ＭＳ ゴシック" panose="020B0609070205080204" pitchFamily="49" charset="-128"/>
            <a:cs typeface="+mn-cs"/>
          </a:endParaRPr>
        </a:p>
        <a:p>
          <a:r>
            <a:rPr kumimoji="1" lang="ja-JP" altLang="en-US" sz="1200">
              <a:solidFill>
                <a:sysClr val="windowText" lastClr="000000"/>
              </a:solidFill>
              <a:latin typeface="ＭＳ ゴシック" panose="020B0609070205080204" pitchFamily="49" charset="-128"/>
              <a:ea typeface="ＭＳ ゴシック" panose="020B0609070205080204" pitchFamily="49" charset="-128"/>
            </a:rPr>
            <a:t>　・</a:t>
          </a:r>
          <a:r>
            <a:rPr lang="ja-JP" altLang="ja-JP" sz="1200">
              <a:solidFill>
                <a:sysClr val="windowText" lastClr="000000"/>
              </a:solidFill>
              <a:effectLst/>
              <a:latin typeface="ＭＳ ゴシック" panose="020B0609070205080204" pitchFamily="49" charset="-128"/>
              <a:ea typeface="ＭＳ ゴシック" panose="020B0609070205080204" pitchFamily="49" charset="-128"/>
              <a:cs typeface="+mn-cs"/>
            </a:rPr>
            <a:t>予定月が「※</a:t>
          </a:r>
          <a:r>
            <a:rPr lang="en-US" altLang="ja-JP" sz="1200">
              <a:solidFill>
                <a:sysClr val="windowText" lastClr="000000"/>
              </a:solidFill>
              <a:effectLst/>
              <a:latin typeface="ＭＳ ゴシック" panose="020B0609070205080204" pitchFamily="49" charset="-128"/>
              <a:ea typeface="ＭＳ ゴシック" panose="020B0609070205080204" pitchFamily="49" charset="-128"/>
              <a:cs typeface="+mn-cs"/>
            </a:rPr>
            <a:t>(</a:t>
          </a:r>
          <a:r>
            <a:rPr lang="ja-JP" altLang="ja-JP" sz="1200">
              <a:solidFill>
                <a:sysClr val="windowText" lastClr="000000"/>
              </a:solidFill>
              <a:effectLst/>
              <a:latin typeface="ＭＳ ゴシック" panose="020B0609070205080204" pitchFamily="49" charset="-128"/>
              <a:ea typeface="ＭＳ ゴシック" panose="020B0609070205080204" pitchFamily="49" charset="-128"/>
              <a:cs typeface="+mn-cs"/>
            </a:rPr>
            <a:t>本年度実施しない内容</a:t>
          </a:r>
          <a:r>
            <a:rPr lang="en-US" altLang="ja-JP" sz="1200">
              <a:solidFill>
                <a:sysClr val="windowText" lastClr="000000"/>
              </a:solidFill>
              <a:effectLst/>
              <a:latin typeface="ＭＳ ゴシック" panose="020B0609070205080204" pitchFamily="49" charset="-128"/>
              <a:ea typeface="ＭＳ ゴシック" panose="020B0609070205080204" pitchFamily="49" charset="-128"/>
              <a:cs typeface="+mn-cs"/>
            </a:rPr>
            <a:t>)</a:t>
          </a:r>
          <a:r>
            <a:rPr lang="ja-JP" altLang="ja-JP" sz="1200">
              <a:solidFill>
                <a:sysClr val="windowText" lastClr="000000"/>
              </a:solidFill>
              <a:effectLst/>
              <a:latin typeface="ＭＳ ゴシック" panose="020B0609070205080204" pitchFamily="49" charset="-128"/>
              <a:ea typeface="ＭＳ ゴシック" panose="020B0609070205080204" pitchFamily="49" charset="-128"/>
              <a:cs typeface="+mn-cs"/>
            </a:rPr>
            <a:t>」の場合、実施日に「</a:t>
          </a:r>
          <a:r>
            <a:rPr lang="en-US" altLang="ja-JP" sz="1200">
              <a:solidFill>
                <a:sysClr val="windowText" lastClr="000000"/>
              </a:solidFill>
              <a:effectLst/>
              <a:latin typeface="ＭＳ ゴシック" panose="020B0609070205080204" pitchFamily="49" charset="-128"/>
              <a:ea typeface="ＭＳ ゴシック" panose="020B0609070205080204" pitchFamily="49" charset="-128"/>
              <a:cs typeface="+mn-cs"/>
            </a:rPr>
            <a:t>-</a:t>
          </a:r>
          <a:r>
            <a:rPr lang="ja-JP" altLang="ja-JP" sz="1200">
              <a:solidFill>
                <a:sysClr val="windowText" lastClr="000000"/>
              </a:solidFill>
              <a:effectLst/>
              <a:latin typeface="ＭＳ ゴシック" panose="020B0609070205080204" pitchFamily="49" charset="-128"/>
              <a:ea typeface="ＭＳ ゴシック" panose="020B0609070205080204" pitchFamily="49" charset="-128"/>
              <a:cs typeface="+mn-cs"/>
            </a:rPr>
            <a:t>」を記載する</a:t>
          </a:r>
          <a:endParaRPr lang="en-US" altLang="ja-JP" sz="1200">
            <a:solidFill>
              <a:sysClr val="windowText" lastClr="000000"/>
            </a:solidFill>
            <a:effectLst/>
            <a:latin typeface="ＭＳ ゴシック" panose="020B0609070205080204" pitchFamily="49" charset="-128"/>
            <a:ea typeface="ＭＳ ゴシック" panose="020B0609070205080204" pitchFamily="49" charset="-128"/>
            <a:cs typeface="+mn-cs"/>
          </a:endParaRPr>
        </a:p>
        <a:p>
          <a:r>
            <a:rPr kumimoji="1" lang="ja-JP" altLang="en-US" sz="1200">
              <a:solidFill>
                <a:sysClr val="windowText" lastClr="000000"/>
              </a:solidFill>
              <a:latin typeface="ＭＳ ゴシック" panose="020B0609070205080204" pitchFamily="49" charset="-128"/>
              <a:ea typeface="ＭＳ ゴシック" panose="020B0609070205080204" pitchFamily="49" charset="-128"/>
            </a:rPr>
            <a:t>　・</a:t>
          </a:r>
          <a:r>
            <a:rPr lang="ja-JP" altLang="ja-JP" sz="1200">
              <a:solidFill>
                <a:sysClr val="windowText" lastClr="000000"/>
              </a:solidFill>
              <a:effectLst/>
              <a:latin typeface="ＭＳ ゴシック" panose="020B0609070205080204" pitchFamily="49" charset="-128"/>
              <a:ea typeface="ＭＳ ゴシック" panose="020B0609070205080204" pitchFamily="49" charset="-128"/>
              <a:cs typeface="+mn-cs"/>
            </a:rPr>
            <a:t>予定月から移動する場合は、赤字で→を記載し、移動先の実施欄に実施日を記載する。</a:t>
          </a:r>
          <a:endParaRPr kumimoji="1" lang="en-US" altLang="ja-JP" sz="1200">
            <a:solidFill>
              <a:sysClr val="windowText" lastClr="000000"/>
            </a:solidFill>
            <a:latin typeface="ＭＳ ゴシック" panose="020B0609070205080204" pitchFamily="49" charset="-128"/>
            <a:ea typeface="ＭＳ ゴシック" panose="020B0609070205080204" pitchFamily="49" charset="-128"/>
          </a:endParaRPr>
        </a:p>
        <a:p>
          <a:r>
            <a:rPr kumimoji="1" lang="ja-JP" altLang="en-US" sz="1200">
              <a:solidFill>
                <a:sysClr val="windowText" lastClr="000000"/>
              </a:solidFill>
              <a:latin typeface="ＭＳ ゴシック" panose="020B0609070205080204" pitchFamily="49" charset="-128"/>
              <a:ea typeface="ＭＳ ゴシック" panose="020B0609070205080204" pitchFamily="49" charset="-128"/>
            </a:rPr>
            <a:t>　・</a:t>
          </a:r>
          <a:r>
            <a:rPr lang="ja-JP" altLang="ja-JP" sz="1200">
              <a:solidFill>
                <a:sysClr val="windowText" lastClr="000000"/>
              </a:solidFill>
              <a:effectLst/>
              <a:latin typeface="ＭＳ ゴシック" panose="020B0609070205080204" pitchFamily="49" charset="-128"/>
              <a:ea typeface="ＭＳ ゴシック" panose="020B0609070205080204" pitchFamily="49" charset="-128"/>
              <a:cs typeface="+mn-cs"/>
            </a:rPr>
            <a:t>法定点検は備考欄に「前回○年○月○日　※次回△年△月△日予定」と記載する。</a:t>
          </a:r>
          <a:endParaRPr lang="en-US" altLang="ja-JP" sz="1200">
            <a:solidFill>
              <a:sysClr val="windowText" lastClr="000000"/>
            </a:solidFill>
            <a:effectLst/>
            <a:latin typeface="ＭＳ ゴシック" panose="020B0609070205080204" pitchFamily="49" charset="-128"/>
            <a:ea typeface="ＭＳ ゴシック" panose="020B0609070205080204" pitchFamily="49" charset="-128"/>
            <a:cs typeface="+mn-cs"/>
          </a:endParaRPr>
        </a:p>
        <a:p>
          <a:endParaRPr kumimoji="1" lang="en-US" altLang="ja-JP" sz="1200">
            <a:solidFill>
              <a:sysClr val="windowText" lastClr="000000"/>
            </a:solidFill>
            <a:latin typeface="ＭＳ ゴシック" panose="020B0609070205080204" pitchFamily="49" charset="-128"/>
            <a:ea typeface="ＭＳ ゴシック" panose="020B0609070205080204" pitchFamily="49" charset="-128"/>
          </a:endParaRPr>
        </a:p>
        <a:p>
          <a:r>
            <a:rPr kumimoji="1" lang="ja-JP" altLang="en-US" sz="1200">
              <a:solidFill>
                <a:sysClr val="windowText" lastClr="000000"/>
              </a:solidFill>
              <a:latin typeface="ＭＳ ゴシック" panose="020B0609070205080204" pitchFamily="49" charset="-128"/>
              <a:ea typeface="ＭＳ ゴシック" panose="020B0609070205080204" pitchFamily="49" charset="-128"/>
            </a:rPr>
            <a:t>③点検を実施していない項目の入力については、当ビル適用有無「無」とする。（「無」を選択した場合、行全体がグレーアウトされます。）</a:t>
          </a:r>
        </a:p>
      </xdr:txBody>
    </xdr:sp>
    <xdr:clientData/>
  </xdr:one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xml"/><Relationship Id="rId1" Type="http://schemas.openxmlformats.org/officeDocument/2006/relationships/printerSettings" Target="../printerSettings/printerSettings9.bin"/><Relationship Id="rId4" Type="http://schemas.openxmlformats.org/officeDocument/2006/relationships/comments" Target="../comments6.xml"/></Relationships>
</file>

<file path=xl/worksheets/_rels/sheet10.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2.xml"/><Relationship Id="rId1" Type="http://schemas.openxmlformats.org/officeDocument/2006/relationships/printerSettings" Target="../printerSettings/printerSettings13.bin"/><Relationship Id="rId4" Type="http://schemas.openxmlformats.org/officeDocument/2006/relationships/comments" Target="../comments10.xml"/></Relationships>
</file>

<file path=xl/worksheets/_rels/sheet14.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BQ44"/>
  <sheetViews>
    <sheetView tabSelected="1" view="pageBreakPreview" zoomScaleNormal="70" zoomScaleSheetLayoutView="100" workbookViewId="0">
      <selection activeCell="G2" sqref="G2"/>
    </sheetView>
  </sheetViews>
  <sheetFormatPr defaultColWidth="9" defaultRowHeight="14.4"/>
  <cols>
    <col min="1" max="1" width="6.109375" style="201" customWidth="1"/>
    <col min="2" max="2" width="5.6640625" style="201" customWidth="1"/>
    <col min="3" max="3" width="8.6640625" style="201" customWidth="1"/>
    <col min="4" max="4" width="8.33203125" style="201" customWidth="1"/>
    <col min="5" max="9" width="7.88671875" style="201" customWidth="1"/>
    <col min="10" max="11" width="8.6640625" style="201" customWidth="1"/>
    <col min="12" max="16384" width="9" style="201"/>
  </cols>
  <sheetData>
    <row r="1" spans="1:69" s="202" customFormat="1" ht="20.25" customHeight="1">
      <c r="A1" s="227"/>
      <c r="B1" s="227"/>
      <c r="C1" s="227"/>
      <c r="D1" s="227"/>
      <c r="E1" s="227"/>
      <c r="F1" s="227"/>
      <c r="G1" s="227"/>
      <c r="H1" s="227"/>
      <c r="I1" s="227"/>
      <c r="J1" s="227"/>
      <c r="K1" s="227"/>
      <c r="L1" s="212"/>
      <c r="M1" s="212"/>
      <c r="N1" s="212"/>
      <c r="O1" s="212"/>
      <c r="P1" s="212"/>
      <c r="Q1" s="201"/>
      <c r="R1" s="201"/>
      <c r="S1" s="201"/>
      <c r="T1" s="201"/>
      <c r="U1" s="201"/>
      <c r="V1" s="201"/>
      <c r="W1" s="201"/>
      <c r="X1" s="201"/>
      <c r="Y1" s="201"/>
      <c r="Z1" s="201"/>
      <c r="AA1" s="201"/>
      <c r="AB1" s="201"/>
      <c r="AC1" s="201"/>
      <c r="AD1" s="201"/>
      <c r="AE1" s="201"/>
      <c r="AF1" s="201"/>
      <c r="AG1" s="201"/>
      <c r="AH1" s="201"/>
      <c r="AI1" s="201"/>
      <c r="AJ1" s="201"/>
      <c r="AK1" s="201"/>
      <c r="AL1" s="201"/>
      <c r="AM1" s="201"/>
      <c r="AN1" s="201"/>
      <c r="AO1" s="201"/>
      <c r="AP1" s="201"/>
      <c r="AQ1" s="201"/>
      <c r="AR1" s="201"/>
      <c r="AS1" s="201"/>
      <c r="AT1" s="201"/>
      <c r="AU1" s="201"/>
      <c r="AV1" s="201"/>
      <c r="AW1" s="201"/>
      <c r="AX1" s="201"/>
      <c r="AY1" s="201"/>
      <c r="AZ1" s="201"/>
      <c r="BA1" s="201"/>
      <c r="BB1" s="201"/>
      <c r="BC1" s="201"/>
      <c r="BD1" s="201"/>
      <c r="BE1" s="201"/>
      <c r="BF1" s="201"/>
      <c r="BG1" s="201"/>
      <c r="BH1" s="201"/>
      <c r="BI1" s="201"/>
      <c r="BJ1" s="201"/>
      <c r="BK1" s="201"/>
      <c r="BL1" s="201"/>
      <c r="BM1" s="201"/>
      <c r="BN1" s="201"/>
      <c r="BO1" s="201"/>
      <c r="BP1" s="201"/>
      <c r="BQ1" s="201"/>
    </row>
    <row r="2" spans="1:69" s="202" customFormat="1" ht="18" customHeight="1">
      <c r="A2" s="227"/>
      <c r="B2" s="227"/>
      <c r="C2" s="227"/>
      <c r="D2" s="227"/>
      <c r="E2" s="227"/>
      <c r="F2" s="227"/>
      <c r="G2" s="227"/>
      <c r="H2" s="227"/>
      <c r="I2" s="227"/>
      <c r="J2" s="227"/>
      <c r="K2" s="227"/>
      <c r="L2" s="212"/>
      <c r="M2" s="228"/>
      <c r="N2" s="229"/>
      <c r="O2" s="229"/>
      <c r="P2" s="228"/>
      <c r="Q2" s="201"/>
      <c r="R2" s="201"/>
      <c r="S2" s="201"/>
      <c r="T2" s="201"/>
      <c r="U2" s="201"/>
      <c r="V2" s="201"/>
      <c r="W2" s="201"/>
      <c r="X2" s="201"/>
      <c r="Y2" s="201"/>
      <c r="Z2" s="201"/>
      <c r="AA2" s="201"/>
      <c r="AB2" s="201"/>
      <c r="AC2" s="201"/>
      <c r="AD2" s="201"/>
      <c r="AE2" s="201"/>
      <c r="AF2" s="201"/>
      <c r="AG2" s="201"/>
      <c r="AH2" s="201"/>
      <c r="AI2" s="201"/>
      <c r="AJ2" s="201"/>
      <c r="AK2" s="201"/>
      <c r="AL2" s="201"/>
      <c r="AM2" s="201"/>
      <c r="AN2" s="201"/>
      <c r="AO2" s="201"/>
      <c r="AP2" s="201"/>
      <c r="AQ2" s="201"/>
      <c r="AR2" s="201"/>
      <c r="AS2" s="201"/>
      <c r="AT2" s="201"/>
      <c r="AU2" s="201"/>
      <c r="AV2" s="201"/>
      <c r="AW2" s="201"/>
      <c r="AX2" s="201"/>
      <c r="AY2" s="201"/>
      <c r="AZ2" s="201"/>
      <c r="BA2" s="201"/>
      <c r="BB2" s="201"/>
      <c r="BC2" s="201"/>
      <c r="BD2" s="201"/>
      <c r="BE2" s="201"/>
      <c r="BF2" s="201"/>
      <c r="BG2" s="201"/>
      <c r="BH2" s="201"/>
      <c r="BI2" s="201"/>
      <c r="BJ2" s="201"/>
      <c r="BK2" s="201"/>
      <c r="BL2" s="201"/>
      <c r="BM2" s="201"/>
      <c r="BN2" s="201"/>
      <c r="BO2" s="201"/>
      <c r="BP2" s="201"/>
      <c r="BQ2" s="201"/>
    </row>
    <row r="3" spans="1:69" ht="22.5" customHeight="1">
      <c r="A3" s="227"/>
      <c r="B3" s="227"/>
      <c r="C3" s="227"/>
      <c r="D3" s="227"/>
      <c r="E3" s="227"/>
      <c r="F3" s="227"/>
      <c r="G3" s="227"/>
      <c r="H3" s="227"/>
      <c r="I3" s="227"/>
      <c r="J3" s="227"/>
      <c r="K3" s="227"/>
      <c r="L3" s="230"/>
      <c r="M3" s="212"/>
      <c r="N3" s="231"/>
      <c r="O3" s="232"/>
      <c r="P3" s="212"/>
    </row>
    <row r="4" spans="1:69" ht="15.75" customHeight="1">
      <c r="A4" s="227"/>
      <c r="B4" s="227"/>
      <c r="C4" s="227"/>
      <c r="D4" s="227"/>
      <c r="E4" s="227"/>
      <c r="F4" s="227"/>
      <c r="G4" s="227"/>
      <c r="H4" s="227"/>
      <c r="I4" s="227"/>
      <c r="J4" s="227"/>
      <c r="K4" s="227"/>
      <c r="L4" s="212"/>
      <c r="M4" s="212"/>
      <c r="N4" s="212"/>
      <c r="O4" s="232"/>
      <c r="P4" s="212"/>
    </row>
    <row r="5" spans="1:69" ht="21.75" customHeight="1">
      <c r="A5" s="227"/>
      <c r="B5" s="227"/>
      <c r="C5" s="227"/>
      <c r="D5" s="227"/>
      <c r="E5" s="857" t="s">
        <v>192</v>
      </c>
      <c r="F5" s="858"/>
      <c r="G5" s="859"/>
      <c r="H5" s="859"/>
      <c r="I5" s="859"/>
      <c r="J5" s="859"/>
      <c r="K5" s="859"/>
      <c r="L5" s="860"/>
      <c r="M5" s="233"/>
      <c r="N5" s="212"/>
      <c r="O5" s="212"/>
      <c r="P5" s="212"/>
    </row>
    <row r="6" spans="1:69" ht="15.75" customHeight="1">
      <c r="A6" s="227"/>
      <c r="B6" s="227"/>
      <c r="C6" s="227"/>
      <c r="D6" s="227"/>
      <c r="E6" s="227"/>
      <c r="F6" s="227"/>
      <c r="G6" s="227"/>
      <c r="H6" s="227"/>
      <c r="I6" s="227"/>
      <c r="J6" s="227"/>
      <c r="K6" s="227"/>
      <c r="L6" s="212"/>
      <c r="M6" s="212"/>
      <c r="N6" s="212"/>
      <c r="O6" s="212"/>
      <c r="P6" s="212"/>
    </row>
    <row r="7" spans="1:69" ht="15.75" customHeight="1">
      <c r="A7" s="227"/>
      <c r="B7" s="227"/>
      <c r="C7" s="227"/>
      <c r="D7" s="227"/>
      <c r="E7" s="227"/>
      <c r="F7" s="227"/>
      <c r="G7" s="227"/>
      <c r="H7" s="227"/>
      <c r="I7" s="227"/>
      <c r="J7" s="227"/>
      <c r="K7" s="227"/>
      <c r="L7" s="212"/>
      <c r="M7" s="212"/>
      <c r="N7" s="212"/>
      <c r="O7" s="212"/>
      <c r="P7" s="212"/>
    </row>
    <row r="8" spans="1:69" ht="15.75" customHeight="1">
      <c r="A8" s="227"/>
      <c r="B8" s="227"/>
      <c r="C8" s="227"/>
      <c r="D8" s="227"/>
      <c r="E8" s="227"/>
      <c r="F8" s="227"/>
      <c r="G8" s="227"/>
      <c r="H8" s="227"/>
      <c r="I8" s="227"/>
      <c r="J8" s="227"/>
      <c r="K8" s="227"/>
      <c r="L8" s="212"/>
      <c r="M8" s="212"/>
      <c r="N8" s="212"/>
      <c r="O8" s="212"/>
      <c r="P8" s="212"/>
    </row>
    <row r="9" spans="1:69" ht="15.75" customHeight="1">
      <c r="A9" s="227"/>
      <c r="B9" s="227"/>
      <c r="C9" s="227"/>
      <c r="D9" s="227"/>
      <c r="E9" s="861">
        <v>45047</v>
      </c>
      <c r="F9" s="861"/>
      <c r="G9" s="861"/>
      <c r="H9" s="861"/>
      <c r="I9" s="861"/>
      <c r="J9" s="861"/>
      <c r="K9" s="861"/>
      <c r="L9" s="861"/>
      <c r="M9" s="212"/>
      <c r="N9" s="212"/>
      <c r="O9" s="212"/>
      <c r="P9" s="212"/>
    </row>
    <row r="10" spans="1:69" ht="15.75" customHeight="1">
      <c r="A10" s="227"/>
      <c r="B10" s="227"/>
      <c r="C10" s="227"/>
      <c r="D10" s="227"/>
      <c r="E10" s="227"/>
      <c r="F10" s="227"/>
      <c r="G10" s="227"/>
      <c r="H10" s="227"/>
      <c r="I10" s="227"/>
      <c r="J10" s="227"/>
      <c r="K10" s="227"/>
      <c r="L10" s="212"/>
      <c r="M10" s="212"/>
      <c r="N10" s="212"/>
      <c r="O10" s="212"/>
      <c r="P10" s="212"/>
    </row>
    <row r="11" spans="1:69" ht="30" customHeight="1">
      <c r="A11" s="227"/>
      <c r="B11" s="227"/>
      <c r="C11" s="227"/>
      <c r="D11" s="234"/>
      <c r="E11" s="234"/>
      <c r="F11" s="234"/>
      <c r="G11" s="234"/>
      <c r="H11" s="234"/>
      <c r="I11" s="227"/>
      <c r="J11" s="227"/>
      <c r="K11" s="227"/>
      <c r="L11" s="212"/>
      <c r="M11" s="212"/>
      <c r="N11" s="212"/>
      <c r="O11" s="212"/>
      <c r="P11" s="212"/>
    </row>
    <row r="12" spans="1:69" ht="15.75" customHeight="1">
      <c r="A12" s="227"/>
      <c r="B12" s="227"/>
      <c r="C12" s="227"/>
      <c r="D12" s="211"/>
      <c r="E12" s="211"/>
      <c r="F12" s="211"/>
      <c r="G12" s="211"/>
      <c r="H12" s="211"/>
      <c r="I12" s="227"/>
      <c r="J12" s="227"/>
      <c r="K12" s="227"/>
      <c r="L12" s="212"/>
      <c r="M12" s="212"/>
      <c r="N12" s="212"/>
      <c r="O12" s="212"/>
      <c r="P12" s="212"/>
    </row>
    <row r="13" spans="1:69" ht="18" customHeight="1">
      <c r="A13" s="227"/>
      <c r="B13" s="227"/>
      <c r="C13" s="227"/>
      <c r="D13" s="211"/>
      <c r="E13" s="235"/>
      <c r="F13" s="235"/>
      <c r="G13" s="235"/>
      <c r="H13" s="211"/>
      <c r="I13" s="227"/>
      <c r="J13" s="227"/>
      <c r="K13" s="227"/>
      <c r="L13" s="212"/>
      <c r="M13" s="212"/>
      <c r="N13" s="212"/>
      <c r="O13" s="212"/>
      <c r="P13" s="212"/>
    </row>
    <row r="14" spans="1:69" ht="15.75" customHeight="1">
      <c r="A14" s="227"/>
      <c r="B14" s="227"/>
      <c r="C14" s="227"/>
      <c r="D14" s="227"/>
      <c r="E14" s="862">
        <v>45078</v>
      </c>
      <c r="F14" s="862"/>
      <c r="G14" s="862"/>
      <c r="H14" s="862"/>
      <c r="I14" s="862"/>
      <c r="J14" s="862"/>
      <c r="K14" s="862"/>
      <c r="L14" s="862"/>
      <c r="M14" s="212"/>
      <c r="N14" s="212"/>
      <c r="O14" s="212"/>
      <c r="P14" s="212"/>
      <c r="Q14" s="213"/>
      <c r="R14" s="213"/>
      <c r="S14" s="213"/>
      <c r="T14" s="213"/>
      <c r="U14" s="213"/>
      <c r="V14" s="213"/>
      <c r="W14" s="213"/>
      <c r="X14" s="213"/>
      <c r="Y14" s="213"/>
      <c r="Z14" s="213"/>
      <c r="AA14" s="213"/>
      <c r="AB14" s="213"/>
      <c r="AC14" s="213"/>
    </row>
    <row r="15" spans="1:69" ht="15.75" customHeight="1">
      <c r="A15" s="227"/>
      <c r="B15" s="227"/>
      <c r="C15" s="227"/>
      <c r="D15" s="227"/>
      <c r="E15" s="227"/>
      <c r="F15" s="227"/>
      <c r="G15" s="227"/>
      <c r="H15" s="227"/>
      <c r="I15" s="227"/>
      <c r="J15" s="227"/>
      <c r="K15" s="227"/>
      <c r="L15" s="212"/>
      <c r="M15" s="212"/>
      <c r="N15" s="212"/>
      <c r="O15" s="236"/>
      <c r="P15" s="212"/>
      <c r="Q15" s="213"/>
      <c r="R15" s="213"/>
      <c r="S15" s="213"/>
      <c r="T15" s="213"/>
      <c r="U15" s="213"/>
      <c r="V15" s="213"/>
      <c r="W15" s="213"/>
      <c r="X15" s="213"/>
      <c r="Y15" s="213"/>
      <c r="Z15" s="213"/>
      <c r="AA15" s="213"/>
      <c r="AB15" s="213"/>
      <c r="AC15" s="213"/>
    </row>
    <row r="16" spans="1:69" ht="15.75" customHeight="1">
      <c r="A16" s="227"/>
      <c r="B16" s="227"/>
      <c r="C16" s="227"/>
      <c r="D16" s="227"/>
      <c r="E16" s="227"/>
      <c r="F16" s="227"/>
      <c r="G16" s="227"/>
      <c r="H16" s="227"/>
      <c r="I16" s="227"/>
      <c r="J16" s="227"/>
      <c r="K16" s="227"/>
      <c r="L16" s="212"/>
      <c r="M16" s="202"/>
      <c r="N16" s="202"/>
      <c r="O16" s="202"/>
      <c r="P16" s="202"/>
      <c r="Q16" s="213"/>
      <c r="R16" s="213"/>
      <c r="S16" s="213"/>
      <c r="T16" s="213"/>
      <c r="U16" s="213"/>
      <c r="V16" s="213"/>
      <c r="W16" s="213"/>
      <c r="X16" s="213"/>
      <c r="Y16" s="213"/>
      <c r="Z16" s="213"/>
      <c r="AA16" s="213"/>
      <c r="AB16" s="213"/>
      <c r="AC16" s="213"/>
    </row>
    <row r="17" spans="1:16" ht="15.75" customHeight="1">
      <c r="A17" s="227"/>
      <c r="B17" s="227"/>
      <c r="C17" s="227"/>
      <c r="D17" s="227"/>
      <c r="E17" s="227"/>
      <c r="F17" s="227"/>
      <c r="G17" s="227"/>
      <c r="H17" s="227"/>
      <c r="I17" s="227"/>
      <c r="J17" s="227"/>
      <c r="K17" s="227"/>
      <c r="L17" s="212"/>
      <c r="M17" s="202"/>
      <c r="N17" s="202"/>
      <c r="O17" s="202"/>
      <c r="P17" s="202"/>
    </row>
    <row r="18" spans="1:16" ht="15.75" customHeight="1">
      <c r="A18" s="227"/>
      <c r="B18" s="227"/>
      <c r="C18" s="227"/>
      <c r="D18" s="227"/>
      <c r="E18" s="227"/>
      <c r="F18" s="227"/>
      <c r="G18" s="227"/>
      <c r="H18" s="227"/>
      <c r="I18" s="227"/>
      <c r="J18" s="227"/>
      <c r="K18" s="227"/>
      <c r="L18" s="212"/>
      <c r="M18" s="202"/>
      <c r="N18" s="202"/>
      <c r="O18" s="202"/>
      <c r="P18" s="202"/>
    </row>
    <row r="19" spans="1:16" ht="15.75" customHeight="1">
      <c r="A19" s="227"/>
      <c r="B19" s="227"/>
      <c r="C19" s="227"/>
      <c r="D19" s="227"/>
      <c r="E19" s="863" t="s">
        <v>157</v>
      </c>
      <c r="F19" s="863"/>
      <c r="G19" s="863"/>
      <c r="H19" s="863"/>
      <c r="I19" s="863"/>
      <c r="J19" s="863"/>
      <c r="K19" s="863"/>
      <c r="L19" s="863"/>
      <c r="M19" s="202"/>
      <c r="N19" s="202"/>
      <c r="O19" s="202"/>
      <c r="P19" s="202"/>
    </row>
    <row r="20" spans="1:16" ht="15.75" customHeight="1">
      <c r="A20" s="227"/>
      <c r="B20" s="227"/>
      <c r="C20" s="227"/>
      <c r="D20" s="227"/>
      <c r="E20" s="227"/>
      <c r="F20" s="227"/>
      <c r="G20" s="202"/>
      <c r="H20" s="863"/>
      <c r="I20" s="863"/>
      <c r="J20" s="863"/>
      <c r="K20" s="227"/>
      <c r="L20" s="212"/>
      <c r="M20" s="202"/>
      <c r="N20" s="202"/>
      <c r="O20" s="202"/>
      <c r="P20" s="202"/>
    </row>
    <row r="21" spans="1:16" ht="15.75" customHeight="1">
      <c r="A21" s="227"/>
      <c r="B21" s="227"/>
      <c r="C21" s="227"/>
      <c r="D21" s="227"/>
      <c r="E21" s="237"/>
      <c r="F21" s="237"/>
      <c r="G21" s="202"/>
      <c r="H21" s="227"/>
      <c r="I21" s="227"/>
      <c r="J21" s="227"/>
      <c r="K21" s="227"/>
      <c r="L21" s="212"/>
      <c r="M21" s="202"/>
      <c r="N21" s="202"/>
      <c r="O21" s="202"/>
      <c r="P21" s="202"/>
    </row>
    <row r="22" spans="1:16" ht="15.75" customHeight="1">
      <c r="A22" s="227"/>
      <c r="B22" s="227"/>
      <c r="C22" s="227"/>
      <c r="D22" s="227"/>
      <c r="E22" s="227"/>
      <c r="F22" s="227"/>
      <c r="G22" s="202"/>
      <c r="H22" s="227"/>
      <c r="I22" s="227"/>
      <c r="J22" s="227"/>
      <c r="K22" s="227"/>
      <c r="L22" s="212"/>
      <c r="M22" s="202"/>
      <c r="N22" s="202"/>
      <c r="O22" s="202"/>
      <c r="P22" s="202"/>
    </row>
    <row r="23" spans="1:16" ht="15.75" customHeight="1">
      <c r="A23" s="227"/>
      <c r="B23" s="227"/>
      <c r="C23" s="227"/>
      <c r="D23" s="227"/>
      <c r="E23" s="319"/>
      <c r="F23" s="853" t="s">
        <v>158</v>
      </c>
      <c r="G23" s="854"/>
      <c r="H23" s="854"/>
      <c r="I23" s="855" t="s">
        <v>343</v>
      </c>
      <c r="J23" s="856"/>
      <c r="K23" s="856"/>
      <c r="L23" s="320"/>
      <c r="M23" s="202"/>
      <c r="N23" s="202"/>
    </row>
    <row r="24" spans="1:16" ht="15.75" customHeight="1">
      <c r="A24" s="227"/>
      <c r="B24" s="227"/>
      <c r="C24" s="227"/>
      <c r="D24" s="227"/>
      <c r="E24" s="866"/>
      <c r="F24" s="867"/>
      <c r="G24" s="868"/>
      <c r="H24" s="855"/>
      <c r="I24" s="855"/>
      <c r="J24" s="855"/>
      <c r="K24" s="864"/>
      <c r="L24" s="865"/>
      <c r="M24" s="212"/>
      <c r="N24" s="212"/>
    </row>
    <row r="25" spans="1:16" ht="15.75" customHeight="1">
      <c r="A25" s="227"/>
      <c r="B25" s="227"/>
      <c r="C25" s="227"/>
      <c r="D25" s="227"/>
      <c r="E25" s="866"/>
      <c r="F25" s="867"/>
      <c r="G25" s="868"/>
      <c r="H25" s="855"/>
      <c r="I25" s="855"/>
      <c r="J25" s="855"/>
      <c r="K25" s="864"/>
      <c r="L25" s="865"/>
      <c r="M25" s="212"/>
      <c r="N25" s="212"/>
    </row>
    <row r="26" spans="1:16" ht="15.75" customHeight="1">
      <c r="A26" s="227"/>
      <c r="B26" s="227"/>
      <c r="C26" s="227"/>
      <c r="D26" s="227"/>
      <c r="E26" s="866"/>
      <c r="F26" s="867"/>
      <c r="G26" s="868"/>
      <c r="H26" s="855"/>
      <c r="I26" s="855"/>
      <c r="J26" s="855"/>
      <c r="K26" s="864"/>
      <c r="L26" s="865"/>
      <c r="M26" s="212"/>
      <c r="N26" s="212"/>
      <c r="O26" s="212"/>
      <c r="P26" s="212"/>
    </row>
    <row r="27" spans="1:16" ht="15.75" customHeight="1">
      <c r="A27" s="227"/>
      <c r="B27" s="227"/>
      <c r="C27" s="227"/>
      <c r="D27" s="227"/>
      <c r="E27" s="227"/>
      <c r="F27" s="227"/>
      <c r="G27" s="227"/>
      <c r="H27" s="227"/>
      <c r="I27" s="227"/>
      <c r="J27" s="227"/>
      <c r="K27" s="227"/>
      <c r="L27" s="212"/>
      <c r="M27" s="212"/>
      <c r="N27" s="212"/>
      <c r="O27" s="212"/>
      <c r="P27" s="212"/>
    </row>
    <row r="28" spans="1:16" ht="15.75" customHeight="1">
      <c r="A28" s="211"/>
      <c r="B28" s="211"/>
      <c r="C28" s="211"/>
      <c r="D28" s="211"/>
      <c r="E28" s="211"/>
      <c r="F28" s="211"/>
      <c r="G28" s="211"/>
      <c r="H28" s="211"/>
      <c r="I28" s="211"/>
      <c r="J28" s="211"/>
      <c r="K28" s="211"/>
      <c r="L28" s="212"/>
    </row>
    <row r="29" spans="1:16" ht="15.75" customHeight="1">
      <c r="A29" s="211"/>
      <c r="B29" s="211"/>
      <c r="C29" s="211"/>
      <c r="D29" s="211"/>
      <c r="E29" s="211"/>
      <c r="F29" s="211"/>
      <c r="G29" s="211"/>
      <c r="H29" s="211"/>
      <c r="I29" s="211"/>
      <c r="J29" s="211"/>
      <c r="K29" s="211"/>
      <c r="L29" s="212"/>
    </row>
    <row r="30" spans="1:16" ht="15.75" customHeight="1">
      <c r="A30" s="211"/>
      <c r="B30" s="211"/>
      <c r="C30" s="211"/>
      <c r="D30" s="211"/>
      <c r="E30" s="211"/>
      <c r="F30" s="211"/>
      <c r="G30" s="211"/>
      <c r="H30" s="211"/>
      <c r="I30" s="211"/>
      <c r="J30" s="211"/>
      <c r="K30" s="211"/>
      <c r="L30" s="212"/>
    </row>
    <row r="31" spans="1:16" ht="15.75" customHeight="1">
      <c r="A31" s="211"/>
      <c r="B31" s="211"/>
      <c r="C31" s="211"/>
      <c r="D31" s="211"/>
      <c r="E31" s="211"/>
      <c r="F31" s="211"/>
      <c r="G31" s="211"/>
      <c r="H31" s="211"/>
      <c r="I31" s="211"/>
      <c r="J31" s="211"/>
      <c r="K31" s="211"/>
      <c r="L31" s="212"/>
    </row>
    <row r="32" spans="1:16" ht="15.75" customHeight="1">
      <c r="A32" s="211"/>
      <c r="B32" s="211"/>
      <c r="C32" s="211"/>
      <c r="D32" s="211"/>
      <c r="E32" s="211"/>
      <c r="F32" s="211"/>
      <c r="G32" s="211"/>
      <c r="H32" s="211"/>
      <c r="I32" s="211"/>
      <c r="J32" s="211"/>
      <c r="K32" s="211"/>
      <c r="L32" s="212"/>
    </row>
    <row r="33" spans="1:12" ht="15.75" customHeight="1">
      <c r="A33" s="211"/>
      <c r="B33" s="211"/>
      <c r="C33" s="211"/>
      <c r="D33" s="238"/>
      <c r="E33" s="238"/>
      <c r="F33" s="238"/>
      <c r="G33" s="238"/>
      <c r="H33" s="238"/>
      <c r="I33" s="211"/>
      <c r="J33" s="211"/>
      <c r="K33" s="211"/>
      <c r="L33" s="212"/>
    </row>
    <row r="34" spans="1:12" ht="15.75" customHeight="1">
      <c r="A34" s="211"/>
      <c r="B34" s="211"/>
      <c r="C34" s="211"/>
      <c r="D34" s="211"/>
      <c r="E34" s="238"/>
      <c r="F34" s="238"/>
      <c r="G34" s="238"/>
      <c r="H34" s="211"/>
      <c r="I34" s="211"/>
      <c r="J34" s="211"/>
      <c r="K34" s="211"/>
      <c r="L34" s="212"/>
    </row>
    <row r="35" spans="1:12" ht="18" customHeight="1">
      <c r="A35" s="211"/>
      <c r="B35" s="211"/>
      <c r="C35" s="211"/>
      <c r="D35" s="211"/>
      <c r="E35" s="211"/>
      <c r="F35" s="211"/>
      <c r="G35" s="211"/>
      <c r="H35" s="211"/>
      <c r="I35" s="211"/>
      <c r="J35" s="211"/>
      <c r="K35" s="211"/>
      <c r="L35" s="212"/>
    </row>
    <row r="36" spans="1:12" ht="15.75" customHeight="1">
      <c r="A36" s="211"/>
      <c r="B36" s="211"/>
      <c r="C36" s="211"/>
      <c r="D36" s="211"/>
      <c r="E36" s="211"/>
      <c r="F36" s="211"/>
      <c r="G36" s="211"/>
      <c r="H36" s="211"/>
      <c r="I36" s="211"/>
      <c r="J36" s="211"/>
      <c r="K36" s="211"/>
      <c r="L36" s="212"/>
    </row>
    <row r="37" spans="1:12" ht="15.75" customHeight="1">
      <c r="A37" s="211"/>
      <c r="B37" s="211"/>
      <c r="C37" s="211"/>
      <c r="D37" s="238"/>
      <c r="E37" s="238"/>
      <c r="F37" s="238"/>
      <c r="G37" s="238"/>
      <c r="H37" s="238"/>
      <c r="I37" s="211"/>
      <c r="J37" s="211"/>
      <c r="K37" s="211"/>
      <c r="L37" s="212"/>
    </row>
    <row r="38" spans="1:12" ht="15.75" customHeight="1">
      <c r="A38" s="211"/>
      <c r="B38" s="211"/>
      <c r="C38" s="211"/>
      <c r="D38" s="238"/>
      <c r="E38" s="238"/>
      <c r="F38" s="238"/>
      <c r="G38" s="238"/>
      <c r="H38" s="238"/>
      <c r="I38" s="211"/>
      <c r="J38" s="211"/>
      <c r="K38" s="211"/>
      <c r="L38" s="212"/>
    </row>
    <row r="39" spans="1:12" ht="15.75" customHeight="1">
      <c r="A39" s="211"/>
      <c r="B39" s="211"/>
      <c r="C39" s="211"/>
      <c r="D39" s="238"/>
      <c r="E39" s="238"/>
      <c r="F39" s="238"/>
      <c r="G39" s="238"/>
      <c r="H39" s="238"/>
      <c r="I39" s="211"/>
      <c r="J39" s="211"/>
      <c r="K39" s="211"/>
      <c r="L39" s="212"/>
    </row>
    <row r="40" spans="1:12" ht="15.75" customHeight="1">
      <c r="A40" s="211"/>
      <c r="B40" s="211"/>
      <c r="C40" s="211"/>
      <c r="D40" s="238"/>
      <c r="E40" s="238"/>
      <c r="F40" s="238"/>
      <c r="G40" s="238"/>
      <c r="H40" s="238"/>
      <c r="I40" s="211"/>
      <c r="J40" s="211"/>
      <c r="K40" s="211"/>
      <c r="L40" s="212"/>
    </row>
    <row r="41" spans="1:12" ht="15.75" customHeight="1">
      <c r="A41" s="211"/>
      <c r="B41" s="211"/>
      <c r="C41" s="211"/>
      <c r="D41" s="211"/>
      <c r="E41" s="211"/>
      <c r="F41" s="211"/>
      <c r="G41" s="211"/>
      <c r="H41" s="211"/>
      <c r="I41" s="211"/>
      <c r="J41" s="211"/>
      <c r="K41" s="211"/>
      <c r="L41" s="212"/>
    </row>
    <row r="42" spans="1:12" ht="15.75" customHeight="1">
      <c r="A42" s="211"/>
      <c r="B42" s="211"/>
      <c r="C42" s="211"/>
      <c r="D42" s="211"/>
      <c r="E42" s="211"/>
      <c r="F42" s="211"/>
      <c r="G42" s="211"/>
      <c r="H42" s="211"/>
      <c r="I42" s="211"/>
      <c r="J42" s="211"/>
      <c r="K42" s="211"/>
      <c r="L42" s="212"/>
    </row>
    <row r="43" spans="1:12" ht="15.75" customHeight="1">
      <c r="A43" s="211"/>
      <c r="B43" s="211"/>
      <c r="C43" s="211"/>
      <c r="D43" s="211"/>
      <c r="E43" s="211"/>
      <c r="F43" s="211"/>
      <c r="G43" s="211"/>
      <c r="H43" s="211"/>
      <c r="I43" s="211"/>
      <c r="J43" s="211"/>
      <c r="K43" s="211"/>
      <c r="L43" s="212"/>
    </row>
    <row r="44" spans="1:12" ht="15.75" customHeight="1">
      <c r="A44" s="211"/>
      <c r="B44" s="211"/>
      <c r="C44" s="211"/>
      <c r="D44" s="211"/>
      <c r="E44" s="211"/>
      <c r="F44" s="211"/>
      <c r="G44" s="211"/>
      <c r="H44" s="211"/>
      <c r="I44" s="211"/>
      <c r="J44" s="211"/>
      <c r="K44" s="211"/>
      <c r="L44" s="239"/>
    </row>
  </sheetData>
  <mergeCells count="15">
    <mergeCell ref="K24:K26"/>
    <mergeCell ref="L24:L26"/>
    <mergeCell ref="E24:E26"/>
    <mergeCell ref="F24:F26"/>
    <mergeCell ref="G24:G26"/>
    <mergeCell ref="H24:H26"/>
    <mergeCell ref="I24:I26"/>
    <mergeCell ref="J24:J26"/>
    <mergeCell ref="F23:H23"/>
    <mergeCell ref="I23:K23"/>
    <mergeCell ref="E5:L5"/>
    <mergeCell ref="E9:L9"/>
    <mergeCell ref="E14:L14"/>
    <mergeCell ref="E19:L19"/>
    <mergeCell ref="H20:J20"/>
  </mergeCells>
  <phoneticPr fontId="8"/>
  <dataValidations count="1">
    <dataValidation allowBlank="1" showErrorMessage="1" sqref="E9:L9" xr:uid="{00000000-0002-0000-0000-000000000000}"/>
  </dataValidations>
  <printOptions horizontalCentered="1" verticalCentered="1"/>
  <pageMargins left="0.98425196850393704" right="0.59055118110236227" top="0.98425196850393704" bottom="0.78740157480314965" header="0.51181102362204722" footer="0.51181102362204722"/>
  <pageSetup paperSize="9" orientation="landscape" r:id="rId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A1:BN51"/>
  <sheetViews>
    <sheetView view="pageBreakPreview" zoomScaleNormal="80" zoomScaleSheetLayoutView="100" workbookViewId="0">
      <selection activeCell="I16" sqref="I16"/>
    </sheetView>
  </sheetViews>
  <sheetFormatPr defaultColWidth="9" defaultRowHeight="14.4"/>
  <cols>
    <col min="1" max="1" width="6.109375" style="201" customWidth="1"/>
    <col min="2" max="2" width="8.33203125" style="201" customWidth="1"/>
    <col min="3" max="6" width="7.88671875" style="201" customWidth="1"/>
    <col min="7" max="8" width="8.6640625" style="201" customWidth="1"/>
    <col min="9" max="16384" width="9" style="201"/>
  </cols>
  <sheetData>
    <row r="1" spans="1:66" s="202" customFormat="1" ht="20.25" customHeight="1">
      <c r="M1" s="212"/>
      <c r="N1" s="201"/>
      <c r="O1" s="201"/>
      <c r="P1" s="201"/>
      <c r="Q1" s="201"/>
      <c r="R1" s="201"/>
      <c r="S1" s="201"/>
      <c r="T1" s="201"/>
      <c r="U1" s="201"/>
      <c r="V1" s="201"/>
      <c r="W1" s="201"/>
      <c r="X1" s="201"/>
      <c r="Y1" s="201"/>
      <c r="Z1" s="201"/>
      <c r="AA1" s="201"/>
      <c r="AB1" s="201"/>
      <c r="AC1" s="201"/>
      <c r="AD1" s="201"/>
      <c r="AE1" s="201"/>
      <c r="AF1" s="201"/>
      <c r="AG1" s="201"/>
      <c r="AH1" s="201"/>
      <c r="AI1" s="201"/>
      <c r="AJ1" s="201"/>
      <c r="AK1" s="201"/>
      <c r="AL1" s="201"/>
      <c r="AM1" s="201"/>
      <c r="AN1" s="201"/>
      <c r="AO1" s="201"/>
      <c r="AP1" s="201"/>
      <c r="AQ1" s="201"/>
      <c r="AR1" s="201"/>
      <c r="AS1" s="201"/>
      <c r="AT1" s="201"/>
      <c r="AU1" s="201"/>
      <c r="AV1" s="201"/>
      <c r="AW1" s="201"/>
      <c r="AX1" s="201"/>
      <c r="AY1" s="201"/>
      <c r="AZ1" s="201"/>
      <c r="BA1" s="201"/>
      <c r="BB1" s="201"/>
      <c r="BC1" s="201"/>
      <c r="BD1" s="201"/>
      <c r="BE1" s="201"/>
      <c r="BF1" s="201"/>
      <c r="BG1" s="201"/>
      <c r="BH1" s="201"/>
      <c r="BI1" s="201"/>
      <c r="BJ1" s="201"/>
      <c r="BK1" s="201"/>
      <c r="BL1" s="201"/>
      <c r="BM1" s="201"/>
      <c r="BN1" s="201"/>
    </row>
    <row r="2" spans="1:66" s="202" customFormat="1" ht="18" customHeight="1">
      <c r="M2" s="212"/>
      <c r="N2" s="201"/>
      <c r="O2" s="201"/>
      <c r="P2" s="201"/>
      <c r="Q2" s="201"/>
      <c r="R2" s="201"/>
      <c r="S2" s="201"/>
      <c r="T2" s="201"/>
      <c r="U2" s="201"/>
      <c r="V2" s="201"/>
      <c r="W2" s="201"/>
      <c r="X2" s="201"/>
      <c r="Y2" s="201"/>
      <c r="Z2" s="201"/>
      <c r="AA2" s="201"/>
      <c r="AB2" s="201"/>
      <c r="AC2" s="201"/>
      <c r="AD2" s="201"/>
      <c r="AE2" s="201"/>
      <c r="AF2" s="201"/>
      <c r="AG2" s="201"/>
      <c r="AH2" s="201"/>
      <c r="AI2" s="201"/>
      <c r="AJ2" s="201"/>
      <c r="AK2" s="201"/>
      <c r="AL2" s="201"/>
      <c r="AM2" s="201"/>
      <c r="AN2" s="201"/>
      <c r="AO2" s="201"/>
      <c r="AP2" s="201"/>
      <c r="AQ2" s="201"/>
      <c r="AR2" s="201"/>
      <c r="AS2" s="201"/>
      <c r="AT2" s="201"/>
      <c r="AU2" s="201"/>
      <c r="AV2" s="201"/>
      <c r="AW2" s="201"/>
      <c r="AX2" s="201"/>
      <c r="AY2" s="201"/>
      <c r="AZ2" s="201"/>
      <c r="BA2" s="201"/>
      <c r="BB2" s="201"/>
      <c r="BC2" s="201"/>
      <c r="BD2" s="201"/>
      <c r="BE2" s="201"/>
      <c r="BF2" s="201"/>
      <c r="BG2" s="201"/>
      <c r="BH2" s="201"/>
      <c r="BI2" s="201"/>
      <c r="BJ2" s="201"/>
      <c r="BK2" s="201"/>
      <c r="BL2" s="201"/>
      <c r="BM2" s="201"/>
      <c r="BN2" s="201"/>
    </row>
    <row r="3" spans="1:66" ht="34.5" customHeight="1">
      <c r="A3" s="870" t="s">
        <v>159</v>
      </c>
      <c r="B3" s="870"/>
      <c r="C3" s="870"/>
      <c r="D3" s="870"/>
      <c r="E3" s="870"/>
      <c r="F3" s="870"/>
      <c r="G3" s="870"/>
      <c r="H3" s="870"/>
      <c r="I3" s="870"/>
      <c r="J3" s="870"/>
      <c r="K3" s="870"/>
      <c r="L3" s="870"/>
      <c r="M3" s="870"/>
    </row>
    <row r="4" spans="1:66" ht="20.25" customHeight="1">
      <c r="A4" s="202"/>
      <c r="B4" s="202"/>
      <c r="C4" s="202"/>
      <c r="D4" s="202"/>
      <c r="E4" s="202"/>
      <c r="F4" s="202"/>
      <c r="G4" s="202"/>
      <c r="H4" s="202"/>
      <c r="I4" s="202"/>
      <c r="J4" s="202"/>
      <c r="K4" s="202"/>
      <c r="L4" s="202"/>
      <c r="M4" s="212"/>
    </row>
    <row r="5" spans="1:66" ht="22.5" customHeight="1">
      <c r="A5" s="869" t="s">
        <v>160</v>
      </c>
      <c r="B5" s="869"/>
      <c r="C5" s="869"/>
      <c r="D5" s="869"/>
      <c r="E5" s="869"/>
      <c r="F5" s="869"/>
      <c r="G5" s="869"/>
      <c r="H5" s="869"/>
      <c r="I5" s="869"/>
      <c r="J5" s="869"/>
      <c r="K5" s="869"/>
      <c r="L5" s="869"/>
      <c r="M5" s="869"/>
    </row>
    <row r="6" spans="1:66" ht="15.75" customHeight="1">
      <c r="A6" s="202"/>
      <c r="B6" s="202"/>
      <c r="C6" s="202"/>
      <c r="D6" s="202"/>
      <c r="E6" s="202"/>
      <c r="F6" s="202"/>
      <c r="G6" s="202"/>
      <c r="H6" s="202"/>
      <c r="I6" s="202"/>
      <c r="J6" s="202"/>
      <c r="K6" s="202"/>
      <c r="L6" s="202"/>
      <c r="M6" s="212"/>
    </row>
    <row r="7" spans="1:66" ht="22.5" customHeight="1">
      <c r="A7" s="869" t="s">
        <v>161</v>
      </c>
      <c r="B7" s="869"/>
      <c r="C7" s="869"/>
      <c r="D7" s="869"/>
      <c r="E7" s="869"/>
      <c r="F7" s="869"/>
      <c r="G7" s="869"/>
      <c r="H7" s="869"/>
      <c r="I7" s="869"/>
      <c r="J7" s="869"/>
      <c r="K7" s="869"/>
      <c r="L7" s="869"/>
      <c r="M7" s="869"/>
    </row>
    <row r="8" spans="1:66" ht="15.75" customHeight="1">
      <c r="A8" s="202"/>
      <c r="E8" s="202"/>
      <c r="F8" s="202"/>
      <c r="G8" s="202"/>
      <c r="H8" s="202"/>
      <c r="I8" s="202"/>
      <c r="J8" s="202"/>
      <c r="K8" s="202"/>
      <c r="L8" s="202"/>
      <c r="M8" s="212"/>
    </row>
    <row r="9" spans="1:66" ht="19.5" customHeight="1">
      <c r="A9" s="869" t="s">
        <v>162</v>
      </c>
      <c r="B9" s="869"/>
      <c r="C9" s="869"/>
      <c r="D9" s="869"/>
      <c r="E9" s="869"/>
      <c r="F9" s="869"/>
      <c r="G9" s="869"/>
      <c r="H9" s="869"/>
      <c r="I9" s="869"/>
      <c r="J9" s="869"/>
      <c r="K9" s="869"/>
      <c r="L9" s="869"/>
      <c r="M9" s="869"/>
    </row>
    <row r="10" spans="1:66" ht="15.75" customHeight="1">
      <c r="A10" s="202"/>
      <c r="E10" s="202"/>
      <c r="F10" s="202"/>
      <c r="G10" s="202"/>
      <c r="H10" s="202"/>
      <c r="I10" s="202"/>
      <c r="J10" s="202"/>
      <c r="K10" s="202"/>
      <c r="L10" s="202"/>
      <c r="M10" s="212"/>
    </row>
    <row r="11" spans="1:66" ht="19.5" customHeight="1">
      <c r="A11" s="869" t="s">
        <v>163</v>
      </c>
      <c r="B11" s="869"/>
      <c r="C11" s="869"/>
      <c r="D11" s="869"/>
      <c r="E11" s="869"/>
      <c r="F11" s="869"/>
      <c r="G11" s="869"/>
      <c r="H11" s="869"/>
      <c r="I11" s="869"/>
      <c r="J11" s="869"/>
      <c r="K11" s="869"/>
      <c r="L11" s="202"/>
      <c r="M11" s="212"/>
    </row>
    <row r="12" spans="1:66" ht="18.75" customHeight="1">
      <c r="A12" s="202"/>
      <c r="E12" s="202"/>
      <c r="F12" s="202"/>
      <c r="G12" s="202"/>
      <c r="H12" s="202"/>
      <c r="I12" s="202"/>
      <c r="J12" s="202"/>
      <c r="K12" s="202"/>
      <c r="L12" s="202"/>
      <c r="M12" s="212"/>
    </row>
    <row r="13" spans="1:66" ht="19.5" customHeight="1">
      <c r="A13" s="869" t="s">
        <v>164</v>
      </c>
      <c r="B13" s="869"/>
      <c r="C13" s="869"/>
      <c r="D13" s="869"/>
      <c r="E13" s="869"/>
      <c r="F13" s="869"/>
      <c r="G13" s="869"/>
      <c r="H13" s="869"/>
      <c r="I13" s="869"/>
      <c r="J13" s="869"/>
      <c r="K13" s="869"/>
      <c r="L13" s="202"/>
      <c r="M13" s="212"/>
    </row>
    <row r="14" spans="1:66" ht="18" customHeight="1">
      <c r="A14" s="202"/>
      <c r="E14" s="202"/>
      <c r="F14" s="202"/>
      <c r="G14" s="202"/>
      <c r="H14" s="202"/>
      <c r="I14" s="202"/>
      <c r="J14" s="202"/>
      <c r="K14" s="202"/>
      <c r="L14" s="202"/>
      <c r="M14" s="212"/>
    </row>
    <row r="15" spans="1:66" ht="19.5" customHeight="1">
      <c r="A15" s="869" t="s">
        <v>165</v>
      </c>
      <c r="B15" s="869"/>
      <c r="C15" s="869"/>
      <c r="D15" s="869"/>
      <c r="E15" s="869"/>
      <c r="F15" s="869"/>
      <c r="G15" s="869"/>
      <c r="H15" s="869"/>
      <c r="I15" s="869"/>
      <c r="J15" s="869"/>
      <c r="K15" s="869"/>
      <c r="L15" s="202"/>
      <c r="M15" s="212"/>
      <c r="N15" s="213"/>
      <c r="O15" s="213"/>
      <c r="P15" s="213"/>
      <c r="Q15" s="213"/>
      <c r="R15" s="213"/>
      <c r="S15" s="213"/>
      <c r="T15" s="213"/>
      <c r="U15" s="213"/>
      <c r="V15" s="213"/>
      <c r="W15" s="213"/>
      <c r="X15" s="213"/>
      <c r="Y15" s="213"/>
      <c r="Z15" s="213"/>
    </row>
    <row r="16" spans="1:66" ht="15.75" customHeight="1">
      <c r="A16" s="202"/>
      <c r="E16" s="202"/>
      <c r="F16" s="202"/>
      <c r="G16" s="202"/>
      <c r="H16" s="202"/>
      <c r="I16" s="202"/>
      <c r="J16" s="202"/>
      <c r="K16" s="202"/>
      <c r="L16" s="202"/>
      <c r="M16" s="212"/>
      <c r="N16" s="213"/>
      <c r="O16" s="213"/>
      <c r="P16" s="213"/>
      <c r="Q16" s="213"/>
      <c r="R16" s="213"/>
      <c r="S16" s="213"/>
      <c r="T16" s="213"/>
      <c r="U16" s="213"/>
      <c r="V16" s="213"/>
      <c r="W16" s="213"/>
      <c r="X16" s="213"/>
      <c r="Y16" s="213"/>
      <c r="Z16" s="213"/>
    </row>
    <row r="17" spans="1:26" ht="19.5" customHeight="1">
      <c r="A17" s="869" t="s">
        <v>166</v>
      </c>
      <c r="B17" s="869"/>
      <c r="C17" s="869"/>
      <c r="D17" s="869"/>
      <c r="E17" s="869"/>
      <c r="F17" s="869"/>
      <c r="G17" s="869"/>
      <c r="H17" s="869"/>
      <c r="I17" s="869"/>
      <c r="J17" s="869"/>
      <c r="K17" s="869"/>
      <c r="L17" s="202"/>
      <c r="M17" s="212"/>
      <c r="N17" s="213"/>
      <c r="O17" s="213"/>
      <c r="P17" s="213"/>
      <c r="Q17" s="213"/>
      <c r="R17" s="213"/>
      <c r="S17" s="213"/>
      <c r="T17" s="213"/>
      <c r="U17" s="213"/>
      <c r="V17" s="213"/>
      <c r="W17" s="213"/>
      <c r="X17" s="213"/>
      <c r="Y17" s="213"/>
      <c r="Z17" s="213"/>
    </row>
    <row r="18" spans="1:26" ht="15.75" customHeight="1">
      <c r="A18" s="202"/>
      <c r="D18" s="202"/>
      <c r="E18" s="202"/>
      <c r="F18" s="202"/>
      <c r="G18" s="202"/>
      <c r="H18" s="202"/>
      <c r="I18" s="202"/>
      <c r="J18" s="202"/>
      <c r="K18" s="202"/>
      <c r="L18" s="202"/>
      <c r="M18" s="212"/>
    </row>
    <row r="19" spans="1:26" s="202" customFormat="1" ht="19.5" customHeight="1">
      <c r="A19" s="869" t="s">
        <v>167</v>
      </c>
      <c r="B19" s="869"/>
      <c r="C19" s="869"/>
      <c r="D19" s="869"/>
      <c r="E19" s="869"/>
      <c r="F19" s="869"/>
      <c r="G19" s="869"/>
      <c r="H19" s="869"/>
      <c r="I19" s="869"/>
      <c r="J19" s="869"/>
      <c r="K19" s="869"/>
    </row>
    <row r="20" spans="1:26" ht="15.75" customHeight="1">
      <c r="A20" s="202"/>
      <c r="D20" s="202"/>
      <c r="E20" s="202"/>
      <c r="F20" s="202"/>
      <c r="G20" s="202"/>
      <c r="H20" s="202"/>
      <c r="I20" s="202"/>
      <c r="J20" s="202"/>
      <c r="K20" s="202"/>
      <c r="L20" s="202"/>
      <c r="M20" s="212"/>
    </row>
    <row r="21" spans="1:26" ht="15.75" customHeight="1">
      <c r="A21" s="202"/>
      <c r="D21" s="202"/>
      <c r="E21" s="202"/>
      <c r="F21" s="202"/>
      <c r="G21" s="202"/>
      <c r="H21" s="202"/>
      <c r="I21" s="202"/>
      <c r="J21" s="202"/>
      <c r="K21" s="202"/>
      <c r="L21" s="202"/>
      <c r="M21" s="212"/>
    </row>
    <row r="22" spans="1:26" ht="22.5" customHeight="1">
      <c r="A22" s="869" t="s">
        <v>168</v>
      </c>
      <c r="B22" s="869"/>
      <c r="C22" s="869"/>
      <c r="D22" s="869"/>
      <c r="E22" s="869"/>
      <c r="F22" s="869"/>
      <c r="G22" s="869"/>
      <c r="H22" s="869"/>
      <c r="I22" s="869"/>
      <c r="J22" s="869"/>
      <c r="K22" s="869"/>
      <c r="L22" s="202"/>
      <c r="M22" s="212"/>
    </row>
    <row r="23" spans="1:26" ht="15.75" customHeight="1">
      <c r="A23" s="202"/>
      <c r="B23" s="202"/>
      <c r="C23" s="202"/>
      <c r="D23" s="202"/>
      <c r="E23" s="202"/>
      <c r="F23" s="202"/>
      <c r="G23" s="202"/>
      <c r="H23" s="202"/>
      <c r="I23" s="202"/>
      <c r="J23" s="202"/>
      <c r="K23" s="202"/>
      <c r="L23" s="202"/>
      <c r="M23" s="212"/>
    </row>
    <row r="24" spans="1:26" ht="22.5" customHeight="1">
      <c r="A24" s="869" t="s">
        <v>169</v>
      </c>
      <c r="B24" s="869"/>
      <c r="C24" s="869"/>
      <c r="D24" s="869"/>
      <c r="E24" s="869"/>
      <c r="F24" s="869"/>
      <c r="G24" s="869"/>
      <c r="H24" s="869"/>
      <c r="I24" s="869"/>
      <c r="J24" s="869"/>
      <c r="K24" s="869"/>
      <c r="L24" s="202"/>
      <c r="M24" s="212"/>
    </row>
    <row r="25" spans="1:26" ht="15.75" customHeight="1">
      <c r="A25" s="202"/>
      <c r="B25" s="202"/>
      <c r="C25" s="202"/>
      <c r="D25" s="202"/>
      <c r="E25" s="202"/>
      <c r="F25" s="202"/>
      <c r="G25" s="202"/>
      <c r="H25" s="202"/>
      <c r="I25" s="202"/>
      <c r="J25" s="202"/>
      <c r="K25" s="202"/>
      <c r="L25" s="202"/>
      <c r="M25" s="212"/>
    </row>
    <row r="26" spans="1:26" ht="22.5" customHeight="1">
      <c r="A26" s="869" t="s">
        <v>170</v>
      </c>
      <c r="B26" s="869"/>
      <c r="C26" s="869"/>
      <c r="D26" s="869"/>
      <c r="E26" s="869"/>
      <c r="F26" s="869"/>
      <c r="G26" s="869"/>
      <c r="H26" s="869"/>
      <c r="I26" s="869"/>
      <c r="J26" s="869"/>
      <c r="K26" s="869"/>
      <c r="L26" s="202"/>
      <c r="M26" s="212"/>
    </row>
    <row r="27" spans="1:26" ht="15.75" customHeight="1">
      <c r="A27" s="211"/>
      <c r="B27" s="211"/>
      <c r="C27" s="211"/>
      <c r="D27" s="211"/>
      <c r="E27" s="211"/>
      <c r="F27" s="211"/>
      <c r="G27" s="211"/>
      <c r="H27" s="211"/>
      <c r="I27" s="212"/>
    </row>
    <row r="28" spans="1:26" ht="15.75" customHeight="1">
      <c r="A28" s="211"/>
      <c r="B28" s="211"/>
      <c r="C28" s="211"/>
      <c r="D28" s="211"/>
      <c r="E28" s="211"/>
      <c r="F28" s="211"/>
      <c r="G28" s="211"/>
      <c r="H28" s="211"/>
      <c r="I28" s="212"/>
    </row>
    <row r="29" spans="1:26" ht="15.75" customHeight="1">
      <c r="A29" s="211"/>
      <c r="B29" s="211"/>
      <c r="C29" s="211"/>
      <c r="D29" s="211"/>
      <c r="E29" s="211"/>
      <c r="F29" s="211"/>
      <c r="G29" s="211"/>
      <c r="H29" s="211"/>
      <c r="I29" s="212"/>
    </row>
    <row r="30" spans="1:26" ht="15.75" customHeight="1">
      <c r="A30" s="211"/>
      <c r="B30" s="211"/>
      <c r="C30" s="211"/>
      <c r="D30" s="211"/>
      <c r="E30" s="211"/>
      <c r="F30" s="211"/>
      <c r="G30" s="211"/>
      <c r="H30" s="211"/>
      <c r="I30" s="212"/>
    </row>
    <row r="31" spans="1:26" ht="15.75" customHeight="1">
      <c r="A31" s="211"/>
      <c r="B31" s="211"/>
      <c r="C31" s="211"/>
      <c r="D31" s="211"/>
      <c r="E31" s="211"/>
      <c r="F31" s="211"/>
      <c r="G31" s="211"/>
      <c r="H31" s="211"/>
      <c r="I31" s="212"/>
    </row>
    <row r="32" spans="1:26" ht="15.75" customHeight="1">
      <c r="A32" s="211"/>
      <c r="B32" s="211"/>
      <c r="C32" s="211"/>
      <c r="D32" s="211"/>
      <c r="E32" s="211"/>
      <c r="F32" s="211"/>
      <c r="G32" s="211"/>
      <c r="H32" s="211"/>
      <c r="I32" s="212"/>
    </row>
    <row r="33" spans="1:9" ht="15.75" customHeight="1">
      <c r="A33" s="211"/>
      <c r="B33" s="211"/>
      <c r="C33" s="211"/>
      <c r="D33" s="211"/>
      <c r="E33" s="211"/>
      <c r="F33" s="211"/>
      <c r="G33" s="211"/>
      <c r="H33" s="211"/>
      <c r="I33" s="212"/>
    </row>
    <row r="34" spans="1:9" ht="15.75" customHeight="1">
      <c r="A34" s="211"/>
      <c r="B34" s="211"/>
      <c r="C34" s="211"/>
      <c r="D34" s="211"/>
      <c r="E34" s="211"/>
      <c r="F34" s="211"/>
      <c r="G34" s="211"/>
      <c r="H34" s="211"/>
      <c r="I34" s="212"/>
    </row>
    <row r="35" spans="1:9" ht="15.75" customHeight="1">
      <c r="A35" s="211"/>
      <c r="B35" s="238"/>
      <c r="C35" s="238"/>
      <c r="D35" s="238"/>
      <c r="E35" s="238"/>
      <c r="F35" s="211"/>
      <c r="G35" s="211"/>
      <c r="H35" s="211"/>
      <c r="I35" s="212"/>
    </row>
    <row r="36" spans="1:9" ht="15.75" customHeight="1">
      <c r="A36" s="211"/>
      <c r="B36" s="211"/>
      <c r="C36" s="238"/>
      <c r="D36" s="238"/>
      <c r="E36" s="211"/>
      <c r="F36" s="211"/>
      <c r="G36" s="211"/>
      <c r="H36" s="211"/>
      <c r="I36" s="212"/>
    </row>
    <row r="37" spans="1:9" ht="18" customHeight="1">
      <c r="A37" s="211"/>
      <c r="B37" s="211"/>
      <c r="C37" s="211"/>
      <c r="D37" s="211"/>
      <c r="E37" s="211"/>
      <c r="F37" s="211"/>
      <c r="G37" s="211"/>
      <c r="H37" s="211"/>
      <c r="I37" s="212"/>
    </row>
    <row r="38" spans="1:9" ht="15.75" customHeight="1">
      <c r="A38" s="211"/>
      <c r="B38" s="211"/>
      <c r="C38" s="211"/>
      <c r="D38" s="211"/>
      <c r="E38" s="211"/>
      <c r="F38" s="211"/>
      <c r="G38" s="211"/>
      <c r="H38" s="211"/>
      <c r="I38" s="212"/>
    </row>
    <row r="39" spans="1:9" ht="15.75" customHeight="1">
      <c r="A39" s="211"/>
      <c r="B39" s="238"/>
      <c r="C39" s="238"/>
      <c r="D39" s="238"/>
      <c r="E39" s="238"/>
      <c r="F39" s="211"/>
      <c r="G39" s="211"/>
      <c r="H39" s="211"/>
      <c r="I39" s="212"/>
    </row>
    <row r="40" spans="1:9" ht="15.75" customHeight="1">
      <c r="A40" s="211"/>
      <c r="B40" s="238"/>
      <c r="C40" s="238"/>
      <c r="D40" s="238"/>
      <c r="E40" s="238"/>
      <c r="F40" s="211"/>
      <c r="G40" s="211"/>
      <c r="H40" s="211"/>
      <c r="I40" s="212"/>
    </row>
    <row r="41" spans="1:9" ht="15.75" customHeight="1">
      <c r="A41" s="211"/>
      <c r="B41" s="238"/>
      <c r="C41" s="238"/>
      <c r="D41" s="238"/>
      <c r="E41" s="238"/>
      <c r="F41" s="211"/>
      <c r="G41" s="211"/>
      <c r="H41" s="211"/>
      <c r="I41" s="212"/>
    </row>
    <row r="42" spans="1:9" ht="15.75" customHeight="1">
      <c r="A42" s="211"/>
      <c r="B42" s="238"/>
      <c r="C42" s="238"/>
      <c r="D42" s="238"/>
      <c r="E42" s="238"/>
      <c r="F42" s="211"/>
      <c r="G42" s="211"/>
      <c r="H42" s="211"/>
      <c r="I42" s="212"/>
    </row>
    <row r="43" spans="1:9" ht="15.75" customHeight="1">
      <c r="A43" s="211"/>
      <c r="B43" s="211"/>
      <c r="C43" s="211"/>
      <c r="D43" s="211"/>
      <c r="E43" s="211"/>
      <c r="F43" s="211"/>
      <c r="G43" s="211"/>
      <c r="H43" s="211"/>
      <c r="I43" s="212"/>
    </row>
    <row r="44" spans="1:9" ht="15.75" customHeight="1">
      <c r="A44" s="211"/>
      <c r="B44" s="211"/>
      <c r="C44" s="211"/>
      <c r="D44" s="211"/>
      <c r="E44" s="211"/>
      <c r="F44" s="211"/>
      <c r="G44" s="211"/>
      <c r="H44" s="211"/>
      <c r="I44" s="212"/>
    </row>
    <row r="45" spans="1:9" ht="15.75" customHeight="1">
      <c r="A45" s="211"/>
      <c r="B45" s="211"/>
      <c r="C45" s="211"/>
      <c r="D45" s="211"/>
      <c r="E45" s="211"/>
      <c r="F45" s="211"/>
      <c r="G45" s="211"/>
      <c r="H45" s="211"/>
      <c r="I45" s="212"/>
    </row>
    <row r="46" spans="1:9" ht="15.75" customHeight="1">
      <c r="A46" s="211"/>
      <c r="B46" s="211"/>
      <c r="C46" s="211"/>
      <c r="D46" s="211"/>
      <c r="E46" s="211"/>
      <c r="F46" s="211"/>
      <c r="G46" s="211"/>
      <c r="H46" s="211"/>
      <c r="I46" s="239"/>
    </row>
    <row r="50" spans="1:1">
      <c r="A50" s="213"/>
    </row>
    <row r="51" spans="1:1">
      <c r="A51" s="213"/>
    </row>
  </sheetData>
  <mergeCells count="12">
    <mergeCell ref="A26:K26"/>
    <mergeCell ref="A15:K15"/>
    <mergeCell ref="A17:K17"/>
    <mergeCell ref="A19:K19"/>
    <mergeCell ref="A22:K22"/>
    <mergeCell ref="A24:K24"/>
    <mergeCell ref="A13:K13"/>
    <mergeCell ref="A3:M3"/>
    <mergeCell ref="A5:M5"/>
    <mergeCell ref="A7:M7"/>
    <mergeCell ref="A9:M9"/>
    <mergeCell ref="A11:K11"/>
  </mergeCells>
  <phoneticPr fontId="8"/>
  <printOptions verticalCentered="1"/>
  <pageMargins left="1.3779527559055118" right="0.59055118110236227" top="0.98425196850393704" bottom="0.78740157480314965" header="0.51181102362204722" footer="0.51181102362204722"/>
  <pageSetup paperSize="9" orientation="landscape"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rgb="FFFFC000"/>
    <pageSetUpPr fitToPage="1"/>
  </sheetPr>
  <dimension ref="A1:BO28"/>
  <sheetViews>
    <sheetView view="pageBreakPreview" zoomScale="85" zoomScaleNormal="100" zoomScaleSheetLayoutView="85" workbookViewId="0">
      <selection activeCell="C10" sqref="C10:T10"/>
    </sheetView>
  </sheetViews>
  <sheetFormatPr defaultColWidth="9" defaultRowHeight="14.4"/>
  <cols>
    <col min="1" max="1" width="3.6640625" style="201" customWidth="1"/>
    <col min="2" max="2" width="6.109375" style="201" customWidth="1"/>
    <col min="3" max="3" width="8.33203125" style="201" customWidth="1"/>
    <col min="4" max="7" width="7.88671875" style="201" customWidth="1"/>
    <col min="8" max="9" width="8.6640625" style="201" customWidth="1"/>
    <col min="10" max="19" width="9" style="201"/>
    <col min="20" max="20" width="4.109375" style="201" customWidth="1"/>
    <col min="21" max="16384" width="9" style="201"/>
  </cols>
  <sheetData>
    <row r="1" spans="1:67" s="202" customFormat="1" ht="20.25" customHeight="1">
      <c r="A1" s="197"/>
      <c r="B1" s="198"/>
      <c r="C1" s="198"/>
      <c r="D1" s="198"/>
      <c r="E1" s="198"/>
      <c r="F1" s="198"/>
      <c r="G1" s="198"/>
      <c r="H1" s="198"/>
      <c r="I1" s="198"/>
      <c r="J1" s="198"/>
      <c r="K1" s="198"/>
      <c r="L1" s="198"/>
      <c r="M1" s="198"/>
      <c r="N1" s="198"/>
      <c r="O1" s="199"/>
      <c r="P1" s="199"/>
      <c r="Q1" s="199"/>
      <c r="R1" s="199"/>
      <c r="S1" s="199"/>
      <c r="T1" s="200"/>
      <c r="U1" s="201"/>
      <c r="V1" s="201"/>
      <c r="W1" s="201"/>
      <c r="X1" s="201"/>
      <c r="Y1" s="201"/>
      <c r="Z1" s="201"/>
      <c r="AA1" s="201"/>
      <c r="AB1" s="201"/>
      <c r="AC1" s="201"/>
      <c r="AD1" s="201"/>
      <c r="AE1" s="201"/>
      <c r="AF1" s="201"/>
      <c r="AG1" s="201"/>
      <c r="AH1" s="201"/>
      <c r="AI1" s="201"/>
      <c r="AJ1" s="201"/>
      <c r="AK1" s="201"/>
      <c r="AL1" s="201"/>
      <c r="AM1" s="201"/>
      <c r="AN1" s="201"/>
      <c r="AO1" s="201"/>
      <c r="AP1" s="201"/>
      <c r="AQ1" s="201"/>
      <c r="AR1" s="201"/>
      <c r="AS1" s="201"/>
      <c r="AT1" s="201"/>
      <c r="AU1" s="201"/>
      <c r="AV1" s="201"/>
      <c r="AW1" s="201"/>
      <c r="AX1" s="201"/>
      <c r="AY1" s="201"/>
      <c r="AZ1" s="201"/>
      <c r="BA1" s="201"/>
      <c r="BB1" s="201"/>
      <c r="BC1" s="201"/>
      <c r="BD1" s="201"/>
      <c r="BE1" s="201"/>
      <c r="BF1" s="201"/>
      <c r="BG1" s="201"/>
      <c r="BH1" s="201"/>
      <c r="BI1" s="201"/>
      <c r="BJ1" s="201"/>
      <c r="BK1" s="201"/>
      <c r="BL1" s="201"/>
      <c r="BM1" s="201"/>
      <c r="BN1" s="201"/>
      <c r="BO1" s="201"/>
    </row>
    <row r="2" spans="1:67" ht="34.5" customHeight="1">
      <c r="A2" s="203"/>
      <c r="B2" s="874">
        <v>45047</v>
      </c>
      <c r="C2" s="874"/>
      <c r="D2" s="874"/>
      <c r="E2" s="874"/>
      <c r="F2" s="874"/>
      <c r="G2" s="874"/>
      <c r="H2" s="874"/>
      <c r="I2" s="874"/>
      <c r="J2" s="874"/>
      <c r="K2" s="874"/>
      <c r="L2" s="874"/>
      <c r="M2" s="874"/>
      <c r="N2" s="874"/>
      <c r="O2" s="874"/>
      <c r="P2" s="874"/>
      <c r="Q2" s="874"/>
      <c r="R2" s="874"/>
      <c r="S2" s="874"/>
      <c r="T2" s="204"/>
    </row>
    <row r="3" spans="1:67" ht="29.25" customHeight="1">
      <c r="A3" s="205"/>
      <c r="B3" s="206" t="s">
        <v>153</v>
      </c>
      <c r="C3" s="207"/>
      <c r="D3" s="207"/>
      <c r="E3" s="207"/>
      <c r="F3" s="207"/>
      <c r="G3" s="207"/>
      <c r="H3" s="207"/>
      <c r="I3" s="207"/>
      <c r="J3" s="208"/>
      <c r="K3" s="209"/>
      <c r="L3" s="209"/>
      <c r="M3" s="209"/>
      <c r="N3" s="209"/>
      <c r="O3" s="209"/>
      <c r="P3" s="209"/>
      <c r="Q3" s="209"/>
      <c r="R3" s="209"/>
      <c r="S3" s="209"/>
      <c r="T3" s="210"/>
    </row>
    <row r="4" spans="1:67" ht="19.5" customHeight="1">
      <c r="A4" s="203"/>
      <c r="B4" s="211"/>
      <c r="C4" s="211"/>
      <c r="D4" s="211"/>
      <c r="E4" s="211"/>
      <c r="F4" s="211"/>
      <c r="G4" s="211"/>
      <c r="H4" s="211"/>
      <c r="I4" s="211"/>
      <c r="J4" s="212"/>
      <c r="K4" s="213"/>
      <c r="L4" s="213"/>
      <c r="M4" s="213"/>
      <c r="N4" s="213"/>
      <c r="O4" s="213"/>
      <c r="P4" s="213"/>
      <c r="Q4" s="213"/>
      <c r="R4" s="213"/>
      <c r="S4" s="213"/>
      <c r="T4" s="204"/>
    </row>
    <row r="5" spans="1:67" ht="19.5" customHeight="1">
      <c r="A5" s="203"/>
      <c r="B5" s="214" t="s">
        <v>154</v>
      </c>
      <c r="C5" s="876" t="s">
        <v>640</v>
      </c>
      <c r="D5" s="876"/>
      <c r="E5" s="876"/>
      <c r="F5" s="876"/>
      <c r="G5" s="876"/>
      <c r="H5" s="876"/>
      <c r="I5" s="876"/>
      <c r="J5" s="876"/>
      <c r="K5" s="876"/>
      <c r="L5" s="876"/>
      <c r="M5" s="876"/>
      <c r="N5" s="876"/>
      <c r="O5" s="876"/>
      <c r="P5" s="876"/>
      <c r="Q5" s="876"/>
      <c r="R5" s="876"/>
      <c r="S5" s="876"/>
      <c r="T5" s="877"/>
    </row>
    <row r="6" spans="1:67" ht="19.5" customHeight="1">
      <c r="A6" s="304"/>
      <c r="B6" s="214"/>
      <c r="C6" s="223"/>
      <c r="D6" s="223"/>
      <c r="E6" s="223"/>
      <c r="F6" s="223"/>
      <c r="G6" s="223"/>
      <c r="H6" s="223"/>
      <c r="I6" s="223"/>
      <c r="J6" s="223"/>
      <c r="K6" s="223"/>
      <c r="L6" s="223"/>
      <c r="M6" s="223"/>
      <c r="N6" s="223"/>
      <c r="O6" s="223"/>
      <c r="P6" s="223"/>
      <c r="Q6" s="223"/>
      <c r="R6" s="223"/>
      <c r="S6" s="223"/>
      <c r="T6" s="801"/>
    </row>
    <row r="7" spans="1:67" ht="19.5" customHeight="1">
      <c r="A7" s="203"/>
      <c r="B7" s="214"/>
      <c r="C7" s="871"/>
      <c r="D7" s="872"/>
      <c r="E7" s="872"/>
      <c r="F7" s="872"/>
      <c r="G7" s="872"/>
      <c r="H7" s="872"/>
      <c r="I7" s="872"/>
      <c r="J7" s="872"/>
      <c r="K7" s="872"/>
      <c r="L7" s="872"/>
      <c r="M7" s="872"/>
      <c r="N7" s="872"/>
      <c r="O7" s="872"/>
      <c r="P7" s="872"/>
      <c r="Q7" s="872"/>
      <c r="R7" s="872"/>
      <c r="S7" s="872"/>
      <c r="T7" s="875"/>
    </row>
    <row r="8" spans="1:67" ht="19.5" customHeight="1">
      <c r="A8" s="203"/>
      <c r="C8" s="878"/>
      <c r="D8" s="878"/>
      <c r="E8" s="878"/>
      <c r="F8" s="878"/>
      <c r="G8" s="878"/>
      <c r="H8" s="878"/>
      <c r="I8" s="878"/>
      <c r="J8" s="878"/>
      <c r="K8" s="878"/>
      <c r="L8" s="878"/>
      <c r="M8" s="878"/>
      <c r="N8" s="878"/>
      <c r="O8" s="878"/>
      <c r="P8" s="878"/>
      <c r="Q8" s="878"/>
      <c r="R8" s="878"/>
      <c r="S8" s="878"/>
      <c r="T8" s="815"/>
      <c r="U8" s="304"/>
    </row>
    <row r="9" spans="1:67" ht="20.25" customHeight="1">
      <c r="A9" s="203"/>
      <c r="B9" s="214"/>
      <c r="C9" s="876"/>
      <c r="D9" s="876"/>
      <c r="E9" s="876"/>
      <c r="F9" s="876"/>
      <c r="G9" s="876"/>
      <c r="H9" s="876"/>
      <c r="I9" s="876"/>
      <c r="J9" s="876"/>
      <c r="K9" s="876"/>
      <c r="L9" s="876"/>
      <c r="M9" s="876"/>
      <c r="N9" s="876"/>
      <c r="O9" s="876"/>
      <c r="P9" s="876"/>
      <c r="Q9" s="876"/>
      <c r="R9" s="876"/>
      <c r="S9" s="876"/>
      <c r="T9" s="877"/>
    </row>
    <row r="10" spans="1:67" ht="20.25" customHeight="1">
      <c r="A10" s="203"/>
      <c r="B10" s="211"/>
      <c r="C10" s="872"/>
      <c r="D10" s="872"/>
      <c r="E10" s="872"/>
      <c r="F10" s="872"/>
      <c r="G10" s="872"/>
      <c r="H10" s="872"/>
      <c r="I10" s="872"/>
      <c r="J10" s="872"/>
      <c r="K10" s="872"/>
      <c r="L10" s="872"/>
      <c r="M10" s="872"/>
      <c r="N10" s="872"/>
      <c r="O10" s="872"/>
      <c r="P10" s="872"/>
      <c r="Q10" s="872"/>
      <c r="R10" s="872"/>
      <c r="S10" s="872"/>
      <c r="T10" s="875"/>
    </row>
    <row r="11" spans="1:67" ht="19.5" customHeight="1">
      <c r="A11" s="215"/>
      <c r="B11" s="216"/>
      <c r="C11" s="217"/>
      <c r="D11" s="217"/>
      <c r="E11" s="217"/>
      <c r="F11" s="217"/>
      <c r="G11" s="216"/>
      <c r="H11" s="216"/>
      <c r="I11" s="216"/>
      <c r="J11" s="218"/>
      <c r="K11" s="219"/>
      <c r="L11" s="219"/>
      <c r="M11" s="219"/>
      <c r="N11" s="219"/>
      <c r="O11" s="219"/>
      <c r="P11" s="219"/>
      <c r="Q11" s="219"/>
      <c r="R11" s="219"/>
      <c r="S11" s="219"/>
      <c r="T11" s="220"/>
      <c r="V11" s="772"/>
      <c r="W11" s="772"/>
      <c r="X11" s="772"/>
      <c r="Y11" s="772"/>
      <c r="Z11" s="772"/>
      <c r="AA11" s="772"/>
      <c r="AB11" s="772"/>
      <c r="AC11" s="772"/>
      <c r="AD11" s="772"/>
    </row>
    <row r="12" spans="1:67" ht="29.25" customHeight="1">
      <c r="A12" s="205"/>
      <c r="B12" s="206" t="s">
        <v>155</v>
      </c>
      <c r="C12" s="221"/>
      <c r="D12" s="221"/>
      <c r="E12" s="221"/>
      <c r="F12" s="221"/>
      <c r="G12" s="207"/>
      <c r="H12" s="207"/>
      <c r="I12" s="207"/>
      <c r="J12" s="208"/>
      <c r="K12" s="209"/>
      <c r="L12" s="209"/>
      <c r="M12" s="209"/>
      <c r="N12" s="209"/>
      <c r="O12" s="209"/>
      <c r="P12" s="209"/>
      <c r="Q12" s="209"/>
      <c r="R12" s="209"/>
      <c r="S12" s="209"/>
      <c r="T12" s="210"/>
      <c r="V12" s="772"/>
      <c r="W12" s="772"/>
      <c r="X12" s="772"/>
      <c r="Y12" s="772"/>
      <c r="Z12" s="772"/>
      <c r="AA12" s="772"/>
      <c r="AB12" s="772"/>
      <c r="AC12" s="772"/>
      <c r="AD12" s="772"/>
    </row>
    <row r="13" spans="1:67" ht="20.25" customHeight="1">
      <c r="A13" s="203"/>
      <c r="B13" s="211"/>
      <c r="C13" s="211"/>
      <c r="D13" s="211"/>
      <c r="E13" s="211"/>
      <c r="F13" s="211"/>
      <c r="G13" s="211"/>
      <c r="H13" s="211"/>
      <c r="I13" s="211"/>
      <c r="J13" s="212"/>
      <c r="K13" s="213"/>
      <c r="L13" s="213"/>
      <c r="M13" s="213"/>
      <c r="N13" s="213"/>
      <c r="O13" s="213"/>
      <c r="P13" s="213"/>
      <c r="Q13" s="213"/>
      <c r="R13" s="213"/>
      <c r="S13" s="213"/>
      <c r="T13" s="204"/>
      <c r="V13" s="772"/>
      <c r="W13" s="772"/>
      <c r="X13" s="772"/>
      <c r="Y13" s="772"/>
      <c r="Z13" s="772"/>
      <c r="AA13" s="772"/>
      <c r="AB13" s="772"/>
      <c r="AC13" s="772"/>
      <c r="AD13" s="772"/>
    </row>
    <row r="14" spans="1:67" ht="20.25" customHeight="1">
      <c r="A14" s="203"/>
      <c r="B14" s="211" t="s">
        <v>154</v>
      </c>
      <c r="C14" s="211" t="s">
        <v>668</v>
      </c>
      <c r="D14" s="211"/>
      <c r="E14" s="796"/>
      <c r="F14" s="796"/>
      <c r="G14" s="796"/>
      <c r="H14" s="796"/>
      <c r="I14" s="796"/>
      <c r="J14" s="796"/>
      <c r="K14" s="796"/>
      <c r="L14" s="796"/>
      <c r="M14" s="796"/>
      <c r="N14" s="796"/>
      <c r="O14" s="796"/>
      <c r="P14" s="796"/>
      <c r="Q14" s="796"/>
      <c r="R14" s="796"/>
      <c r="S14" s="796"/>
      <c r="T14" s="797"/>
      <c r="V14" s="772"/>
      <c r="W14" s="772"/>
      <c r="X14" s="772"/>
      <c r="Y14" s="772"/>
      <c r="Z14" s="772"/>
      <c r="AA14" s="772"/>
      <c r="AB14" s="772"/>
      <c r="AC14" s="772"/>
      <c r="AD14" s="772"/>
    </row>
    <row r="15" spans="1:67" ht="20.25" customHeight="1">
      <c r="A15" s="304"/>
      <c r="B15" s="211"/>
      <c r="C15" s="223"/>
      <c r="D15" s="223"/>
      <c r="E15" s="223"/>
      <c r="F15" s="223"/>
      <c r="G15" s="223"/>
      <c r="H15" s="223"/>
      <c r="I15" s="223"/>
      <c r="J15" s="223"/>
      <c r="K15" s="223"/>
      <c r="L15" s="223"/>
      <c r="M15" s="223"/>
      <c r="N15" s="223"/>
      <c r="O15" s="223"/>
      <c r="P15" s="223"/>
      <c r="Q15" s="223"/>
      <c r="R15" s="223"/>
      <c r="S15" s="223"/>
      <c r="T15" s="303"/>
      <c r="V15" s="772"/>
      <c r="W15" s="772"/>
      <c r="X15" s="772"/>
      <c r="Y15" s="772"/>
      <c r="Z15" s="772"/>
      <c r="AA15" s="772"/>
      <c r="AB15" s="772"/>
      <c r="AC15" s="772"/>
      <c r="AD15" s="772"/>
    </row>
    <row r="16" spans="1:67" ht="20.25" customHeight="1">
      <c r="A16" s="304"/>
      <c r="B16" s="211"/>
      <c r="C16" s="223"/>
      <c r="D16" s="223"/>
      <c r="E16" s="223"/>
      <c r="F16" s="223"/>
      <c r="G16" s="223"/>
      <c r="H16" s="223"/>
      <c r="I16" s="223"/>
      <c r="J16" s="223"/>
      <c r="K16" s="223"/>
      <c r="L16" s="223"/>
      <c r="M16" s="223"/>
      <c r="N16" s="223"/>
      <c r="O16" s="223"/>
      <c r="P16" s="223"/>
      <c r="Q16" s="223"/>
      <c r="R16" s="223"/>
      <c r="S16" s="223"/>
      <c r="T16" s="303"/>
      <c r="V16" s="772"/>
      <c r="W16" s="772"/>
      <c r="X16" s="772"/>
      <c r="Y16" s="772"/>
      <c r="Z16" s="772"/>
      <c r="AA16" s="772"/>
      <c r="AB16" s="772"/>
      <c r="AC16" s="772"/>
      <c r="AD16" s="772"/>
    </row>
    <row r="17" spans="1:30" ht="20.25" customHeight="1">
      <c r="A17" s="304"/>
      <c r="B17" s="211"/>
      <c r="C17" s="223"/>
      <c r="D17" s="223"/>
      <c r="E17" s="223"/>
      <c r="F17" s="223"/>
      <c r="G17" s="223"/>
      <c r="H17" s="223"/>
      <c r="I17" s="223"/>
      <c r="J17" s="223"/>
      <c r="K17" s="223"/>
      <c r="L17" s="223"/>
      <c r="M17" s="223"/>
      <c r="N17" s="223"/>
      <c r="O17" s="223"/>
      <c r="P17" s="223"/>
      <c r="Q17" s="223"/>
      <c r="R17" s="223"/>
      <c r="S17" s="223"/>
      <c r="T17" s="303"/>
      <c r="V17" s="772"/>
      <c r="W17" s="772"/>
      <c r="X17" s="772"/>
      <c r="Y17" s="772"/>
      <c r="Z17" s="772"/>
      <c r="AA17" s="772"/>
      <c r="AB17" s="772"/>
      <c r="AC17" s="772"/>
      <c r="AD17" s="772"/>
    </row>
    <row r="18" spans="1:30" ht="20.25" customHeight="1">
      <c r="A18" s="203"/>
      <c r="B18" s="211"/>
      <c r="C18" s="211"/>
      <c r="D18" s="211"/>
      <c r="E18" s="211"/>
      <c r="F18" s="211"/>
      <c r="G18" s="211"/>
      <c r="H18" s="211"/>
      <c r="I18" s="211"/>
      <c r="J18" s="212"/>
      <c r="K18" s="213"/>
      <c r="L18" s="213"/>
      <c r="M18" s="213"/>
      <c r="N18" s="213"/>
      <c r="O18" s="213"/>
      <c r="P18" s="213"/>
      <c r="Q18" s="213"/>
      <c r="R18" s="213"/>
      <c r="S18" s="213"/>
      <c r="T18" s="204"/>
      <c r="V18" s="772"/>
      <c r="W18" s="772"/>
      <c r="X18" s="772"/>
      <c r="Y18" s="772"/>
      <c r="Z18" s="772"/>
      <c r="AA18" s="772"/>
      <c r="AB18" s="772"/>
      <c r="AC18" s="772"/>
      <c r="AD18" s="772"/>
    </row>
    <row r="19" spans="1:30" ht="20.25" customHeight="1">
      <c r="A19" s="215"/>
      <c r="B19" s="219"/>
      <c r="C19" s="219"/>
      <c r="D19" s="219"/>
      <c r="E19" s="219"/>
      <c r="F19" s="219"/>
      <c r="G19" s="219"/>
      <c r="H19" s="219"/>
      <c r="I19" s="219"/>
      <c r="J19" s="219"/>
      <c r="K19" s="219"/>
      <c r="L19" s="219"/>
      <c r="M19" s="219"/>
      <c r="N19" s="219"/>
      <c r="O19" s="219"/>
      <c r="P19" s="219"/>
      <c r="Q19" s="219"/>
      <c r="R19" s="219"/>
      <c r="S19" s="219"/>
      <c r="T19" s="220"/>
    </row>
    <row r="20" spans="1:30" ht="30.75" customHeight="1">
      <c r="A20" s="203"/>
      <c r="B20" s="222" t="s">
        <v>156</v>
      </c>
      <c r="C20" s="213"/>
      <c r="D20" s="213"/>
      <c r="E20" s="213"/>
      <c r="F20" s="213"/>
      <c r="G20" s="213"/>
      <c r="H20" s="213"/>
      <c r="I20" s="213"/>
      <c r="J20" s="213"/>
      <c r="K20" s="213"/>
      <c r="L20" s="213"/>
      <c r="M20" s="213"/>
      <c r="N20" s="213"/>
      <c r="O20" s="213"/>
      <c r="P20" s="213"/>
      <c r="Q20" s="213"/>
      <c r="R20" s="213"/>
      <c r="S20" s="213"/>
      <c r="T20" s="204"/>
    </row>
    <row r="21" spans="1:30" ht="20.25" customHeight="1">
      <c r="A21" s="203"/>
      <c r="B21" s="213"/>
      <c r="C21" s="213"/>
      <c r="D21" s="213"/>
      <c r="E21" s="213"/>
      <c r="F21" s="213"/>
      <c r="G21" s="213"/>
      <c r="H21" s="213"/>
      <c r="I21" s="213"/>
      <c r="J21" s="213"/>
      <c r="K21" s="213"/>
      <c r="L21" s="213"/>
      <c r="M21" s="213"/>
      <c r="N21" s="213"/>
      <c r="O21" s="213"/>
      <c r="P21" s="213"/>
      <c r="Q21" s="213"/>
      <c r="R21" s="213"/>
      <c r="S21" s="213"/>
      <c r="T21" s="204"/>
    </row>
    <row r="22" spans="1:30" ht="20.25" customHeight="1">
      <c r="A22" s="203"/>
      <c r="B22" s="211" t="s">
        <v>154</v>
      </c>
      <c r="C22" s="871" t="s">
        <v>672</v>
      </c>
      <c r="D22" s="872"/>
      <c r="E22" s="872"/>
      <c r="F22" s="872"/>
      <c r="G22" s="872"/>
      <c r="H22" s="872"/>
      <c r="I22" s="872"/>
      <c r="J22" s="872"/>
      <c r="K22" s="872"/>
      <c r="L22" s="872"/>
      <c r="M22" s="872"/>
      <c r="N22" s="872"/>
      <c r="O22" s="872"/>
      <c r="P22" s="872"/>
      <c r="Q22" s="872"/>
      <c r="R22" s="872"/>
      <c r="S22" s="872"/>
      <c r="T22" s="873"/>
    </row>
    <row r="23" spans="1:30" ht="20.25" customHeight="1">
      <c r="A23" s="203"/>
      <c r="B23" s="211" t="s">
        <v>671</v>
      </c>
      <c r="C23" s="871" t="s">
        <v>666</v>
      </c>
      <c r="D23" s="872"/>
      <c r="E23" s="872"/>
      <c r="F23" s="872"/>
      <c r="G23" s="872"/>
      <c r="H23" s="872"/>
      <c r="I23" s="872"/>
      <c r="J23" s="872"/>
      <c r="K23" s="872"/>
      <c r="L23" s="872"/>
      <c r="M23" s="872"/>
      <c r="N23" s="872"/>
      <c r="O23" s="872"/>
      <c r="P23" s="872"/>
      <c r="Q23" s="872"/>
      <c r="R23" s="872"/>
      <c r="S23" s="872"/>
      <c r="T23" s="873"/>
    </row>
    <row r="24" spans="1:30" ht="20.25" customHeight="1">
      <c r="A24" s="304"/>
      <c r="B24" s="213"/>
      <c r="C24" s="795"/>
      <c r="D24" s="249"/>
      <c r="E24" s="249"/>
      <c r="F24" s="249"/>
      <c r="G24" s="249"/>
      <c r="H24" s="249"/>
      <c r="I24" s="249"/>
      <c r="J24" s="249"/>
      <c r="K24" s="249"/>
      <c r="L24" s="249"/>
      <c r="M24" s="249"/>
      <c r="N24" s="249"/>
      <c r="O24" s="249"/>
      <c r="P24" s="249"/>
      <c r="Q24" s="249"/>
      <c r="R24" s="249"/>
      <c r="S24" s="249"/>
      <c r="T24" s="250"/>
    </row>
    <row r="25" spans="1:30" ht="20.25" customHeight="1">
      <c r="A25" s="203"/>
      <c r="B25" s="212"/>
      <c r="C25" s="795"/>
      <c r="D25" s="249"/>
      <c r="E25" s="249"/>
      <c r="F25" s="249"/>
      <c r="G25" s="249"/>
      <c r="H25" s="249"/>
      <c r="I25" s="249"/>
      <c r="J25" s="249"/>
      <c r="K25" s="249"/>
      <c r="L25" s="249"/>
      <c r="M25" s="249"/>
      <c r="N25" s="249"/>
      <c r="O25" s="249"/>
      <c r="P25" s="249"/>
      <c r="Q25" s="249"/>
      <c r="R25" s="249"/>
      <c r="S25" s="249"/>
      <c r="T25" s="250"/>
    </row>
    <row r="26" spans="1:30" ht="20.25" customHeight="1">
      <c r="A26" s="203"/>
      <c r="B26" s="212"/>
      <c r="C26" s="249"/>
      <c r="D26" s="249"/>
      <c r="E26" s="249"/>
      <c r="F26" s="249"/>
      <c r="G26" s="249"/>
      <c r="H26" s="249"/>
      <c r="I26" s="249"/>
      <c r="J26" s="249"/>
      <c r="K26" s="249"/>
      <c r="L26" s="249"/>
      <c r="M26" s="249"/>
      <c r="N26" s="249"/>
      <c r="O26" s="249"/>
      <c r="P26" s="249"/>
      <c r="Q26" s="249"/>
      <c r="R26" s="249"/>
      <c r="S26" s="249"/>
      <c r="T26" s="250"/>
    </row>
    <row r="27" spans="1:30" ht="20.25" customHeight="1">
      <c r="A27" s="203"/>
      <c r="B27" s="213"/>
      <c r="C27" s="223"/>
      <c r="D27" s="213"/>
      <c r="E27" s="213"/>
      <c r="F27" s="213"/>
      <c r="G27" s="213"/>
      <c r="H27" s="213"/>
      <c r="I27" s="213"/>
      <c r="J27" s="213"/>
      <c r="K27" s="213"/>
      <c r="L27" s="213"/>
      <c r="M27" s="213"/>
      <c r="N27" s="213"/>
      <c r="O27" s="213"/>
      <c r="P27" s="213"/>
      <c r="Q27" s="213"/>
      <c r="R27" s="213"/>
      <c r="S27" s="213"/>
      <c r="T27" s="204"/>
    </row>
    <row r="28" spans="1:30" ht="20.25" customHeight="1">
      <c r="A28" s="224"/>
      <c r="B28" s="225"/>
      <c r="C28" s="225"/>
      <c r="D28" s="225"/>
      <c r="E28" s="225"/>
      <c r="F28" s="225"/>
      <c r="G28" s="225"/>
      <c r="H28" s="225"/>
      <c r="I28" s="225"/>
      <c r="J28" s="225"/>
      <c r="K28" s="225"/>
      <c r="L28" s="225"/>
      <c r="M28" s="225"/>
      <c r="N28" s="225"/>
      <c r="O28" s="225"/>
      <c r="P28" s="225"/>
      <c r="Q28" s="225"/>
      <c r="R28" s="225"/>
      <c r="S28" s="225"/>
      <c r="T28" s="226"/>
    </row>
  </sheetData>
  <mergeCells count="8">
    <mergeCell ref="C23:T23"/>
    <mergeCell ref="B2:S2"/>
    <mergeCell ref="C10:T10"/>
    <mergeCell ref="C22:T22"/>
    <mergeCell ref="C9:T9"/>
    <mergeCell ref="C5:T5"/>
    <mergeCell ref="C7:T7"/>
    <mergeCell ref="C8:S8"/>
  </mergeCells>
  <phoneticPr fontId="8"/>
  <pageMargins left="0.63" right="0.47" top="0.82" bottom="0.39370078740157483" header="0.31496062992125984" footer="0.31496062992125984"/>
  <pageSetup paperSize="9" scale="81" orientation="landscape" r:id="rId1"/>
  <headerFooter alignWithMargins="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tabColor rgb="FFFF0000"/>
    <pageSetUpPr fitToPage="1"/>
  </sheetPr>
  <dimension ref="A1:X80"/>
  <sheetViews>
    <sheetView view="pageBreakPreview" zoomScale="90" zoomScaleNormal="85" zoomScaleSheetLayoutView="90" workbookViewId="0">
      <selection activeCell="AA29" sqref="AA29"/>
    </sheetView>
  </sheetViews>
  <sheetFormatPr defaultColWidth="9" defaultRowHeight="13.2"/>
  <cols>
    <col min="1" max="9" width="9" style="18"/>
    <col min="10" max="10" width="9" style="264"/>
    <col min="11" max="12" width="9" style="18"/>
    <col min="13" max="13" width="9.44140625" style="18" bestFit="1" customWidth="1"/>
    <col min="14" max="21" width="9" style="18"/>
    <col min="22" max="22" width="9" style="264"/>
    <col min="23" max="26" width="9" style="18"/>
    <col min="27" max="27" width="10.21875" style="18" bestFit="1" customWidth="1"/>
    <col min="28" max="16384" width="9" style="18"/>
  </cols>
  <sheetData>
    <row r="1" spans="1:24" ht="24" thickBot="1">
      <c r="A1" s="1" t="s">
        <v>19</v>
      </c>
      <c r="B1" s="2"/>
      <c r="C1" s="67"/>
      <c r="D1" s="67"/>
      <c r="E1" s="67"/>
      <c r="F1" s="67"/>
      <c r="G1" s="67"/>
      <c r="H1" s="67"/>
      <c r="I1" s="67"/>
      <c r="J1" s="270"/>
      <c r="K1" s="67"/>
      <c r="L1" s="67"/>
      <c r="M1" s="67"/>
      <c r="N1" s="67"/>
      <c r="O1" s="67"/>
      <c r="P1" s="67"/>
      <c r="Q1" s="67"/>
      <c r="R1" s="67"/>
      <c r="S1" s="67"/>
      <c r="T1" s="67"/>
      <c r="U1" s="67"/>
      <c r="V1" s="270"/>
      <c r="W1" s="67"/>
      <c r="X1" s="67"/>
    </row>
    <row r="2" spans="1:24" ht="17.25" customHeight="1" thickTop="1">
      <c r="A2" s="4"/>
      <c r="B2" s="5"/>
    </row>
    <row r="3" spans="1:24" ht="17.25" customHeight="1">
      <c r="A3" s="4"/>
      <c r="B3" s="5"/>
    </row>
    <row r="4" spans="1:24" s="7" customFormat="1" ht="18" customHeight="1">
      <c r="A4" s="899" t="s">
        <v>114</v>
      </c>
      <c r="B4" s="900"/>
      <c r="C4" s="900"/>
      <c r="D4" s="900"/>
      <c r="E4" s="900"/>
      <c r="F4" s="901"/>
      <c r="J4" s="10"/>
      <c r="V4" s="10"/>
    </row>
    <row r="5" spans="1:24" s="7" customFormat="1" ht="14.1" customHeight="1">
      <c r="J5" s="10"/>
      <c r="V5" s="10"/>
    </row>
    <row r="6" spans="1:24" s="10" customFormat="1" ht="14.1" customHeight="1">
      <c r="A6" s="8" t="s">
        <v>5</v>
      </c>
      <c r="B6" s="8" t="s">
        <v>6</v>
      </c>
      <c r="C6" s="902" t="s">
        <v>7</v>
      </c>
      <c r="D6" s="903"/>
      <c r="E6" s="902" t="s">
        <v>8</v>
      </c>
      <c r="F6" s="904"/>
      <c r="G6" s="904"/>
      <c r="H6" s="904"/>
      <c r="I6" s="903"/>
      <c r="J6" s="11" t="s">
        <v>16</v>
      </c>
      <c r="K6" s="904" t="s">
        <v>9</v>
      </c>
      <c r="L6" s="904"/>
      <c r="M6" s="271" t="s">
        <v>5</v>
      </c>
      <c r="N6" s="8" t="s">
        <v>6</v>
      </c>
      <c r="O6" s="902" t="s">
        <v>7</v>
      </c>
      <c r="P6" s="903"/>
      <c r="Q6" s="902" t="s">
        <v>8</v>
      </c>
      <c r="R6" s="904"/>
      <c r="S6" s="904"/>
      <c r="T6" s="904"/>
      <c r="U6" s="903"/>
      <c r="V6" s="11" t="s">
        <v>16</v>
      </c>
      <c r="W6" s="902" t="s">
        <v>9</v>
      </c>
      <c r="X6" s="903"/>
    </row>
    <row r="7" spans="1:24" s="7" customFormat="1" ht="13.5" customHeight="1">
      <c r="A7" s="905">
        <v>45047</v>
      </c>
      <c r="B7" s="907" t="s">
        <v>685</v>
      </c>
      <c r="C7" s="909"/>
      <c r="D7" s="910"/>
      <c r="E7" s="911"/>
      <c r="F7" s="912"/>
      <c r="G7" s="912"/>
      <c r="H7" s="912"/>
      <c r="I7" s="913"/>
      <c r="J7" s="268"/>
      <c r="K7" s="909"/>
      <c r="L7" s="914"/>
      <c r="M7" s="915">
        <v>45062</v>
      </c>
      <c r="N7" s="907" t="s">
        <v>686</v>
      </c>
      <c r="O7" s="909"/>
      <c r="P7" s="910"/>
      <c r="Q7" s="911"/>
      <c r="R7" s="912"/>
      <c r="S7" s="912"/>
      <c r="T7" s="912"/>
      <c r="U7" s="913"/>
      <c r="V7" s="268"/>
      <c r="W7" s="909"/>
      <c r="X7" s="910"/>
    </row>
    <row r="8" spans="1:24" s="7" customFormat="1" ht="13.5" customHeight="1">
      <c r="A8" s="906"/>
      <c r="B8" s="908"/>
      <c r="C8" s="889"/>
      <c r="D8" s="890"/>
      <c r="E8" s="886"/>
      <c r="F8" s="887"/>
      <c r="G8" s="887"/>
      <c r="H8" s="887"/>
      <c r="I8" s="888"/>
      <c r="J8" s="268"/>
      <c r="K8" s="889"/>
      <c r="L8" s="920"/>
      <c r="M8" s="916"/>
      <c r="N8" s="908"/>
      <c r="O8" s="889"/>
      <c r="P8" s="890"/>
      <c r="Q8" s="886"/>
      <c r="R8" s="887"/>
      <c r="S8" s="887"/>
      <c r="T8" s="887"/>
      <c r="U8" s="888"/>
      <c r="V8" s="268"/>
      <c r="W8" s="889"/>
      <c r="X8" s="890"/>
    </row>
    <row r="9" spans="1:24" s="7" customFormat="1" ht="13.5" customHeight="1">
      <c r="A9" s="917">
        <v>45048</v>
      </c>
      <c r="B9" s="919" t="s">
        <v>686</v>
      </c>
      <c r="C9" s="889"/>
      <c r="D9" s="890"/>
      <c r="E9" s="886"/>
      <c r="F9" s="887"/>
      <c r="G9" s="887"/>
      <c r="H9" s="887"/>
      <c r="I9" s="888"/>
      <c r="J9" s="268"/>
      <c r="K9" s="889"/>
      <c r="L9" s="920"/>
      <c r="M9" s="921">
        <v>45063</v>
      </c>
      <c r="N9" s="919" t="s">
        <v>687</v>
      </c>
      <c r="O9" s="889" t="s">
        <v>699</v>
      </c>
      <c r="P9" s="890"/>
      <c r="Q9" s="886" t="s">
        <v>698</v>
      </c>
      <c r="R9" s="887"/>
      <c r="S9" s="887"/>
      <c r="T9" s="887"/>
      <c r="U9" s="888"/>
      <c r="V9" s="268" t="s">
        <v>700</v>
      </c>
      <c r="W9" s="889" t="s">
        <v>701</v>
      </c>
      <c r="X9" s="890"/>
    </row>
    <row r="10" spans="1:24" s="7" customFormat="1" ht="13.5" customHeight="1">
      <c r="A10" s="918"/>
      <c r="B10" s="908"/>
      <c r="C10" s="889"/>
      <c r="D10" s="890"/>
      <c r="E10" s="886"/>
      <c r="F10" s="887"/>
      <c r="G10" s="887"/>
      <c r="H10" s="887"/>
      <c r="I10" s="888"/>
      <c r="J10" s="268"/>
      <c r="K10" s="889"/>
      <c r="L10" s="920"/>
      <c r="M10" s="922"/>
      <c r="N10" s="908"/>
      <c r="O10" s="889" t="s">
        <v>572</v>
      </c>
      <c r="P10" s="890"/>
      <c r="Q10" s="886" t="s">
        <v>694</v>
      </c>
      <c r="R10" s="887"/>
      <c r="S10" s="887"/>
      <c r="T10" s="887"/>
      <c r="U10" s="888"/>
      <c r="V10" s="268" t="s">
        <v>691</v>
      </c>
      <c r="W10" s="889" t="s">
        <v>695</v>
      </c>
      <c r="X10" s="890"/>
    </row>
    <row r="11" spans="1:24" s="7" customFormat="1" ht="13.5" customHeight="1">
      <c r="A11" s="923">
        <v>45049</v>
      </c>
      <c r="B11" s="924" t="s">
        <v>687</v>
      </c>
      <c r="C11" s="889"/>
      <c r="D11" s="890"/>
      <c r="E11" s="886"/>
      <c r="F11" s="887"/>
      <c r="G11" s="887"/>
      <c r="H11" s="887"/>
      <c r="I11" s="888"/>
      <c r="J11" s="268"/>
      <c r="K11" s="889"/>
      <c r="L11" s="920"/>
      <c r="M11" s="921">
        <v>45064</v>
      </c>
      <c r="N11" s="919" t="s">
        <v>688</v>
      </c>
      <c r="O11" s="889"/>
      <c r="P11" s="890"/>
      <c r="Q11" s="886"/>
      <c r="R11" s="887"/>
      <c r="S11" s="887"/>
      <c r="T11" s="887"/>
      <c r="U11" s="888"/>
      <c r="V11" s="268"/>
      <c r="W11" s="889"/>
      <c r="X11" s="890"/>
    </row>
    <row r="12" spans="1:24" s="7" customFormat="1" ht="13.5" customHeight="1">
      <c r="A12" s="918"/>
      <c r="B12" s="908"/>
      <c r="C12" s="889"/>
      <c r="D12" s="890"/>
      <c r="E12" s="886"/>
      <c r="F12" s="887"/>
      <c r="G12" s="887"/>
      <c r="H12" s="887"/>
      <c r="I12" s="888"/>
      <c r="J12" s="268"/>
      <c r="K12" s="889"/>
      <c r="L12" s="920"/>
      <c r="M12" s="922"/>
      <c r="N12" s="908"/>
      <c r="O12" s="889"/>
      <c r="P12" s="890"/>
      <c r="Q12" s="886"/>
      <c r="R12" s="887"/>
      <c r="S12" s="887"/>
      <c r="T12" s="887"/>
      <c r="U12" s="888"/>
      <c r="V12" s="268"/>
      <c r="W12" s="889"/>
      <c r="X12" s="890"/>
    </row>
    <row r="13" spans="1:24" s="7" customFormat="1" ht="13.5" customHeight="1">
      <c r="A13" s="923">
        <v>45050</v>
      </c>
      <c r="B13" s="924" t="s">
        <v>688</v>
      </c>
      <c r="C13" s="889"/>
      <c r="D13" s="890"/>
      <c r="E13" s="886"/>
      <c r="F13" s="887"/>
      <c r="G13" s="887"/>
      <c r="H13" s="887"/>
      <c r="I13" s="888"/>
      <c r="J13" s="268"/>
      <c r="K13" s="889"/>
      <c r="L13" s="920"/>
      <c r="M13" s="921">
        <v>45065</v>
      </c>
      <c r="N13" s="919" t="s">
        <v>689</v>
      </c>
      <c r="O13" s="889"/>
      <c r="P13" s="890"/>
      <c r="Q13" s="886"/>
      <c r="R13" s="887"/>
      <c r="S13" s="887"/>
      <c r="T13" s="887"/>
      <c r="U13" s="888"/>
      <c r="V13" s="268"/>
      <c r="W13" s="889"/>
      <c r="X13" s="890"/>
    </row>
    <row r="14" spans="1:24" s="7" customFormat="1" ht="13.5" customHeight="1">
      <c r="A14" s="918"/>
      <c r="B14" s="908"/>
      <c r="C14" s="889"/>
      <c r="D14" s="890"/>
      <c r="E14" s="886"/>
      <c r="F14" s="887"/>
      <c r="G14" s="887"/>
      <c r="H14" s="887"/>
      <c r="I14" s="888"/>
      <c r="J14" s="268"/>
      <c r="K14" s="889"/>
      <c r="L14" s="920"/>
      <c r="M14" s="922"/>
      <c r="N14" s="908"/>
      <c r="O14" s="889"/>
      <c r="P14" s="890"/>
      <c r="Q14" s="886"/>
      <c r="R14" s="887"/>
      <c r="S14" s="887"/>
      <c r="T14" s="887"/>
      <c r="U14" s="888"/>
      <c r="V14" s="268"/>
      <c r="W14" s="889"/>
      <c r="X14" s="890"/>
    </row>
    <row r="15" spans="1:24" s="7" customFormat="1" ht="13.5" customHeight="1">
      <c r="A15" s="923">
        <v>45051</v>
      </c>
      <c r="B15" s="924" t="s">
        <v>689</v>
      </c>
      <c r="C15" s="889"/>
      <c r="D15" s="890"/>
      <c r="E15" s="886"/>
      <c r="F15" s="887"/>
      <c r="G15" s="887"/>
      <c r="H15" s="887"/>
      <c r="I15" s="888"/>
      <c r="J15" s="268"/>
      <c r="K15" s="889"/>
      <c r="L15" s="920"/>
      <c r="M15" s="926">
        <v>45066</v>
      </c>
      <c r="N15" s="925" t="s">
        <v>690</v>
      </c>
      <c r="O15" s="889"/>
      <c r="P15" s="890"/>
      <c r="Q15" s="886"/>
      <c r="R15" s="887"/>
      <c r="S15" s="887"/>
      <c r="T15" s="887"/>
      <c r="U15" s="888"/>
      <c r="V15" s="268"/>
      <c r="W15" s="889"/>
      <c r="X15" s="890"/>
    </row>
    <row r="16" spans="1:24" s="7" customFormat="1" ht="13.5" customHeight="1">
      <c r="A16" s="918"/>
      <c r="B16" s="908"/>
      <c r="C16" s="889"/>
      <c r="D16" s="890"/>
      <c r="E16" s="886"/>
      <c r="F16" s="887"/>
      <c r="G16" s="887"/>
      <c r="H16" s="887"/>
      <c r="I16" s="888"/>
      <c r="J16" s="268"/>
      <c r="K16" s="889"/>
      <c r="L16" s="920"/>
      <c r="M16" s="922"/>
      <c r="N16" s="908"/>
      <c r="O16" s="889"/>
      <c r="P16" s="890"/>
      <c r="Q16" s="886"/>
      <c r="R16" s="887"/>
      <c r="S16" s="887"/>
      <c r="T16" s="887"/>
      <c r="U16" s="888"/>
      <c r="V16" s="268"/>
      <c r="W16" s="889"/>
      <c r="X16" s="890"/>
    </row>
    <row r="17" spans="1:24" s="7" customFormat="1" ht="13.5" customHeight="1">
      <c r="A17" s="927">
        <v>45052</v>
      </c>
      <c r="B17" s="925" t="s">
        <v>690</v>
      </c>
      <c r="C17" s="889"/>
      <c r="D17" s="890"/>
      <c r="E17" s="886"/>
      <c r="F17" s="887"/>
      <c r="G17" s="887"/>
      <c r="H17" s="887"/>
      <c r="I17" s="888"/>
      <c r="J17" s="268"/>
      <c r="K17" s="889"/>
      <c r="L17" s="920"/>
      <c r="M17" s="928">
        <v>45067</v>
      </c>
      <c r="N17" s="924" t="s">
        <v>10</v>
      </c>
      <c r="O17" s="889"/>
      <c r="P17" s="890"/>
      <c r="Q17" s="886"/>
      <c r="R17" s="887"/>
      <c r="S17" s="887"/>
      <c r="T17" s="887"/>
      <c r="U17" s="888"/>
      <c r="V17" s="268"/>
      <c r="W17" s="889"/>
      <c r="X17" s="890"/>
    </row>
    <row r="18" spans="1:24" s="7" customFormat="1" ht="13.5" customHeight="1">
      <c r="A18" s="918"/>
      <c r="B18" s="908"/>
      <c r="C18" s="889"/>
      <c r="D18" s="890"/>
      <c r="E18" s="886"/>
      <c r="F18" s="887"/>
      <c r="G18" s="887"/>
      <c r="H18" s="887"/>
      <c r="I18" s="888"/>
      <c r="J18" s="268"/>
      <c r="K18" s="889"/>
      <c r="L18" s="920"/>
      <c r="M18" s="922"/>
      <c r="N18" s="908"/>
      <c r="O18" s="889"/>
      <c r="P18" s="890"/>
      <c r="Q18" s="886"/>
      <c r="R18" s="887"/>
      <c r="S18" s="887"/>
      <c r="T18" s="887"/>
      <c r="U18" s="888"/>
      <c r="V18" s="268"/>
      <c r="W18" s="889"/>
      <c r="X18" s="890"/>
    </row>
    <row r="19" spans="1:24" s="7" customFormat="1" ht="13.5" customHeight="1">
      <c r="A19" s="923">
        <v>45053</v>
      </c>
      <c r="B19" s="924" t="s">
        <v>10</v>
      </c>
      <c r="C19" s="889"/>
      <c r="D19" s="890"/>
      <c r="E19" s="886"/>
      <c r="F19" s="887"/>
      <c r="G19" s="887"/>
      <c r="H19" s="887"/>
      <c r="I19" s="888"/>
      <c r="J19" s="268"/>
      <c r="K19" s="889"/>
      <c r="L19" s="920"/>
      <c r="M19" s="921">
        <v>45068</v>
      </c>
      <c r="N19" s="919" t="s">
        <v>685</v>
      </c>
      <c r="O19" s="889"/>
      <c r="P19" s="890"/>
      <c r="Q19" s="886"/>
      <c r="R19" s="887"/>
      <c r="S19" s="887"/>
      <c r="T19" s="887"/>
      <c r="U19" s="888"/>
      <c r="V19" s="268"/>
      <c r="W19" s="889"/>
      <c r="X19" s="890"/>
    </row>
    <row r="20" spans="1:24" s="7" customFormat="1" ht="13.5" customHeight="1">
      <c r="A20" s="918"/>
      <c r="B20" s="908"/>
      <c r="C20" s="889"/>
      <c r="D20" s="890"/>
      <c r="E20" s="886"/>
      <c r="F20" s="887"/>
      <c r="G20" s="887"/>
      <c r="H20" s="887"/>
      <c r="I20" s="888"/>
      <c r="J20" s="268"/>
      <c r="K20" s="889"/>
      <c r="L20" s="920"/>
      <c r="M20" s="922"/>
      <c r="N20" s="908"/>
      <c r="O20" s="889"/>
      <c r="P20" s="890"/>
      <c r="Q20" s="886"/>
      <c r="R20" s="887"/>
      <c r="S20" s="887"/>
      <c r="T20" s="887"/>
      <c r="U20" s="888"/>
      <c r="V20" s="268"/>
      <c r="W20" s="889"/>
      <c r="X20" s="890"/>
    </row>
    <row r="21" spans="1:24" s="7" customFormat="1" ht="13.5" customHeight="1">
      <c r="A21" s="917">
        <v>45054</v>
      </c>
      <c r="B21" s="919" t="s">
        <v>685</v>
      </c>
      <c r="C21" s="889"/>
      <c r="D21" s="890"/>
      <c r="E21" s="886"/>
      <c r="F21" s="887"/>
      <c r="G21" s="887"/>
      <c r="H21" s="887"/>
      <c r="I21" s="888"/>
      <c r="J21" s="268"/>
      <c r="K21" s="889"/>
      <c r="L21" s="920"/>
      <c r="M21" s="921">
        <v>45069</v>
      </c>
      <c r="N21" s="919" t="s">
        <v>686</v>
      </c>
      <c r="O21" s="889"/>
      <c r="P21" s="890"/>
      <c r="Q21" s="886"/>
      <c r="R21" s="887"/>
      <c r="S21" s="887"/>
      <c r="T21" s="887"/>
      <c r="U21" s="888"/>
      <c r="V21" s="268"/>
      <c r="W21" s="889"/>
      <c r="X21" s="890"/>
    </row>
    <row r="22" spans="1:24" s="7" customFormat="1" ht="13.5" customHeight="1">
      <c r="A22" s="918"/>
      <c r="B22" s="908"/>
      <c r="C22" s="889"/>
      <c r="D22" s="890"/>
      <c r="E22" s="886"/>
      <c r="F22" s="887"/>
      <c r="G22" s="887"/>
      <c r="H22" s="887"/>
      <c r="I22" s="888"/>
      <c r="J22" s="268"/>
      <c r="K22" s="889"/>
      <c r="L22" s="920"/>
      <c r="M22" s="922"/>
      <c r="N22" s="908"/>
      <c r="O22" s="889"/>
      <c r="P22" s="890"/>
      <c r="Q22" s="886"/>
      <c r="R22" s="887"/>
      <c r="S22" s="887"/>
      <c r="T22" s="887"/>
      <c r="U22" s="888"/>
      <c r="V22" s="268"/>
      <c r="W22" s="889"/>
      <c r="X22" s="890"/>
    </row>
    <row r="23" spans="1:24" s="7" customFormat="1" ht="13.5" customHeight="1">
      <c r="A23" s="917">
        <v>45055</v>
      </c>
      <c r="B23" s="919" t="s">
        <v>686</v>
      </c>
      <c r="C23" s="889" t="s">
        <v>572</v>
      </c>
      <c r="D23" s="890"/>
      <c r="E23" s="886" t="s">
        <v>702</v>
      </c>
      <c r="F23" s="887"/>
      <c r="G23" s="887"/>
      <c r="H23" s="887"/>
      <c r="I23" s="888"/>
      <c r="J23" s="268" t="s">
        <v>691</v>
      </c>
      <c r="K23" s="889" t="s">
        <v>703</v>
      </c>
      <c r="L23" s="920"/>
      <c r="M23" s="921">
        <v>45070</v>
      </c>
      <c r="N23" s="919" t="s">
        <v>687</v>
      </c>
      <c r="O23" s="889"/>
      <c r="P23" s="890"/>
      <c r="Q23" s="886"/>
      <c r="R23" s="887"/>
      <c r="S23" s="887"/>
      <c r="T23" s="887"/>
      <c r="U23" s="888"/>
      <c r="V23" s="268"/>
      <c r="W23" s="889"/>
      <c r="X23" s="890"/>
    </row>
    <row r="24" spans="1:24" s="7" customFormat="1" ht="13.5" customHeight="1">
      <c r="A24" s="918"/>
      <c r="B24" s="908"/>
      <c r="C24" s="889"/>
      <c r="D24" s="890"/>
      <c r="E24" s="886"/>
      <c r="F24" s="887"/>
      <c r="G24" s="887"/>
      <c r="H24" s="887"/>
      <c r="I24" s="888"/>
      <c r="J24" s="268"/>
      <c r="K24" s="889"/>
      <c r="L24" s="920"/>
      <c r="M24" s="922"/>
      <c r="N24" s="908"/>
      <c r="O24" s="889"/>
      <c r="P24" s="890"/>
      <c r="Q24" s="886"/>
      <c r="R24" s="887"/>
      <c r="S24" s="887"/>
      <c r="T24" s="887"/>
      <c r="U24" s="888"/>
      <c r="V24" s="268"/>
      <c r="W24" s="889"/>
      <c r="X24" s="890"/>
    </row>
    <row r="25" spans="1:24" s="7" customFormat="1" ht="13.5" customHeight="1">
      <c r="A25" s="917">
        <v>45056</v>
      </c>
      <c r="B25" s="919" t="s">
        <v>687</v>
      </c>
      <c r="C25" s="889"/>
      <c r="D25" s="890"/>
      <c r="E25" s="886"/>
      <c r="F25" s="887"/>
      <c r="G25" s="887"/>
      <c r="H25" s="887"/>
      <c r="I25" s="888"/>
      <c r="J25" s="268"/>
      <c r="K25" s="889"/>
      <c r="L25" s="920"/>
      <c r="M25" s="921">
        <v>45071</v>
      </c>
      <c r="N25" s="919" t="s">
        <v>688</v>
      </c>
      <c r="O25" s="889"/>
      <c r="P25" s="890"/>
      <c r="Q25" s="886"/>
      <c r="R25" s="887"/>
      <c r="S25" s="887"/>
      <c r="T25" s="887"/>
      <c r="U25" s="888"/>
      <c r="V25" s="268"/>
      <c r="W25" s="889"/>
      <c r="X25" s="890"/>
    </row>
    <row r="26" spans="1:24" s="7" customFormat="1" ht="13.5" customHeight="1">
      <c r="A26" s="918"/>
      <c r="B26" s="908"/>
      <c r="C26" s="889"/>
      <c r="D26" s="890"/>
      <c r="E26" s="886"/>
      <c r="F26" s="887"/>
      <c r="G26" s="887"/>
      <c r="H26" s="887"/>
      <c r="I26" s="888"/>
      <c r="J26" s="268"/>
      <c r="K26" s="889"/>
      <c r="L26" s="920"/>
      <c r="M26" s="922"/>
      <c r="N26" s="908"/>
      <c r="O26" s="889"/>
      <c r="P26" s="890"/>
      <c r="Q26" s="886"/>
      <c r="R26" s="887"/>
      <c r="S26" s="887"/>
      <c r="T26" s="887"/>
      <c r="U26" s="888"/>
      <c r="V26" s="268"/>
      <c r="W26" s="889"/>
      <c r="X26" s="890"/>
    </row>
    <row r="27" spans="1:24" s="7" customFormat="1" ht="13.5" customHeight="1">
      <c r="A27" s="917">
        <v>45057</v>
      </c>
      <c r="B27" s="919" t="s">
        <v>688</v>
      </c>
      <c r="C27" s="889"/>
      <c r="D27" s="890"/>
      <c r="E27" s="886"/>
      <c r="F27" s="887"/>
      <c r="G27" s="887"/>
      <c r="H27" s="887"/>
      <c r="I27" s="888"/>
      <c r="J27" s="268"/>
      <c r="K27" s="889"/>
      <c r="L27" s="920"/>
      <c r="M27" s="921">
        <v>45072</v>
      </c>
      <c r="N27" s="919" t="s">
        <v>689</v>
      </c>
      <c r="O27" s="889"/>
      <c r="P27" s="890"/>
      <c r="Q27" s="886"/>
      <c r="R27" s="887"/>
      <c r="S27" s="887"/>
      <c r="T27" s="887"/>
      <c r="U27" s="888"/>
      <c r="V27" s="268"/>
      <c r="W27" s="889"/>
      <c r="X27" s="890"/>
    </row>
    <row r="28" spans="1:24" s="7" customFormat="1" ht="13.5" customHeight="1">
      <c r="A28" s="918"/>
      <c r="B28" s="908"/>
      <c r="C28" s="889"/>
      <c r="D28" s="890"/>
      <c r="E28" s="886"/>
      <c r="F28" s="887"/>
      <c r="G28" s="887"/>
      <c r="H28" s="887"/>
      <c r="I28" s="888"/>
      <c r="J28" s="268"/>
      <c r="K28" s="889"/>
      <c r="L28" s="920"/>
      <c r="M28" s="922"/>
      <c r="N28" s="908"/>
      <c r="O28" s="889"/>
      <c r="P28" s="890"/>
      <c r="Q28" s="886"/>
      <c r="R28" s="887"/>
      <c r="S28" s="887"/>
      <c r="T28" s="887"/>
      <c r="U28" s="888"/>
      <c r="V28" s="268"/>
      <c r="W28" s="889"/>
      <c r="X28" s="890"/>
    </row>
    <row r="29" spans="1:24" s="7" customFormat="1" ht="13.5" customHeight="1">
      <c r="A29" s="917">
        <v>45058</v>
      </c>
      <c r="B29" s="919" t="s">
        <v>689</v>
      </c>
      <c r="C29" s="889"/>
      <c r="D29" s="890"/>
      <c r="E29" s="886"/>
      <c r="F29" s="887"/>
      <c r="G29" s="887"/>
      <c r="H29" s="887"/>
      <c r="I29" s="888"/>
      <c r="J29" s="268"/>
      <c r="K29" s="889"/>
      <c r="L29" s="920"/>
      <c r="M29" s="926">
        <v>45073</v>
      </c>
      <c r="N29" s="925" t="s">
        <v>690</v>
      </c>
      <c r="O29" s="929"/>
      <c r="P29" s="930"/>
      <c r="Q29" s="891"/>
      <c r="R29" s="892"/>
      <c r="S29" s="892"/>
      <c r="T29" s="892"/>
      <c r="U29" s="893"/>
      <c r="V29" s="268"/>
      <c r="W29" s="894"/>
      <c r="X29" s="895"/>
    </row>
    <row r="30" spans="1:24" s="7" customFormat="1" ht="13.5" customHeight="1">
      <c r="A30" s="918"/>
      <c r="B30" s="908"/>
      <c r="C30" s="889"/>
      <c r="D30" s="890"/>
      <c r="E30" s="886"/>
      <c r="F30" s="887"/>
      <c r="G30" s="887"/>
      <c r="H30" s="887"/>
      <c r="I30" s="888"/>
      <c r="J30" s="268"/>
      <c r="K30" s="889"/>
      <c r="L30" s="920"/>
      <c r="M30" s="922"/>
      <c r="N30" s="908"/>
      <c r="O30" s="889"/>
      <c r="P30" s="890"/>
      <c r="Q30" s="886"/>
      <c r="R30" s="887"/>
      <c r="S30" s="887"/>
      <c r="T30" s="887"/>
      <c r="U30" s="888"/>
      <c r="V30" s="268"/>
      <c r="W30" s="889"/>
      <c r="X30" s="890"/>
    </row>
    <row r="31" spans="1:24" s="7" customFormat="1" ht="13.5" customHeight="1">
      <c r="A31" s="927">
        <v>45059</v>
      </c>
      <c r="B31" s="925" t="s">
        <v>690</v>
      </c>
      <c r="C31" s="889"/>
      <c r="D31" s="890"/>
      <c r="E31" s="886"/>
      <c r="F31" s="887"/>
      <c r="G31" s="887"/>
      <c r="H31" s="887"/>
      <c r="I31" s="888"/>
      <c r="J31" s="268"/>
      <c r="K31" s="889"/>
      <c r="L31" s="920"/>
      <c r="M31" s="928">
        <v>45074</v>
      </c>
      <c r="N31" s="924" t="s">
        <v>10</v>
      </c>
      <c r="O31" s="929" t="s">
        <v>572</v>
      </c>
      <c r="P31" s="930"/>
      <c r="Q31" s="891" t="s">
        <v>696</v>
      </c>
      <c r="R31" s="892"/>
      <c r="S31" s="892"/>
      <c r="T31" s="892"/>
      <c r="U31" s="893"/>
      <c r="V31" s="268" t="s">
        <v>691</v>
      </c>
      <c r="W31" s="894" t="s">
        <v>697</v>
      </c>
      <c r="X31" s="895"/>
    </row>
    <row r="32" spans="1:24" s="7" customFormat="1" ht="13.5" customHeight="1">
      <c r="A32" s="918"/>
      <c r="B32" s="908"/>
      <c r="C32" s="889"/>
      <c r="D32" s="890"/>
      <c r="E32" s="886"/>
      <c r="F32" s="887"/>
      <c r="G32" s="887"/>
      <c r="H32" s="887"/>
      <c r="I32" s="888"/>
      <c r="J32" s="268"/>
      <c r="K32" s="889"/>
      <c r="L32" s="920"/>
      <c r="M32" s="922"/>
      <c r="N32" s="908"/>
      <c r="O32" s="889"/>
      <c r="P32" s="890"/>
      <c r="Q32" s="886"/>
      <c r="R32" s="887"/>
      <c r="S32" s="887"/>
      <c r="T32" s="887"/>
      <c r="U32" s="888"/>
      <c r="V32" s="268"/>
      <c r="W32" s="889"/>
      <c r="X32" s="890"/>
    </row>
    <row r="33" spans="1:24" s="7" customFormat="1" ht="13.5" customHeight="1">
      <c r="A33" s="923">
        <v>45060</v>
      </c>
      <c r="B33" s="924" t="s">
        <v>10</v>
      </c>
      <c r="C33" s="931"/>
      <c r="D33" s="932"/>
      <c r="E33" s="933"/>
      <c r="F33" s="934"/>
      <c r="G33" s="934"/>
      <c r="H33" s="934"/>
      <c r="I33" s="935"/>
      <c r="J33" s="814"/>
      <c r="K33" s="931"/>
      <c r="L33" s="936"/>
      <c r="M33" s="921">
        <v>45075</v>
      </c>
      <c r="N33" s="919" t="s">
        <v>685</v>
      </c>
      <c r="O33" s="889"/>
      <c r="P33" s="890"/>
      <c r="Q33" s="886"/>
      <c r="R33" s="887"/>
      <c r="S33" s="887"/>
      <c r="T33" s="887"/>
      <c r="U33" s="888"/>
      <c r="V33" s="268"/>
      <c r="W33" s="889"/>
      <c r="X33" s="890"/>
    </row>
    <row r="34" spans="1:24" s="7" customFormat="1" ht="13.5" customHeight="1">
      <c r="A34" s="918"/>
      <c r="B34" s="908"/>
      <c r="C34" s="889"/>
      <c r="D34" s="890"/>
      <c r="E34" s="886"/>
      <c r="F34" s="887"/>
      <c r="G34" s="887"/>
      <c r="H34" s="887"/>
      <c r="I34" s="888"/>
      <c r="J34" s="268"/>
      <c r="K34" s="889"/>
      <c r="L34" s="920"/>
      <c r="M34" s="922"/>
      <c r="N34" s="908"/>
      <c r="O34" s="889"/>
      <c r="P34" s="890"/>
      <c r="Q34" s="886"/>
      <c r="R34" s="887"/>
      <c r="S34" s="887"/>
      <c r="T34" s="887"/>
      <c r="U34" s="888"/>
      <c r="V34" s="268"/>
      <c r="W34" s="889"/>
      <c r="X34" s="890"/>
    </row>
    <row r="35" spans="1:24" s="7" customFormat="1" ht="13.5" customHeight="1">
      <c r="A35" s="917">
        <v>45061</v>
      </c>
      <c r="B35" s="919" t="s">
        <v>685</v>
      </c>
      <c r="C35" s="889"/>
      <c r="D35" s="890"/>
      <c r="E35" s="886"/>
      <c r="F35" s="887"/>
      <c r="G35" s="887"/>
      <c r="H35" s="887"/>
      <c r="I35" s="888"/>
      <c r="J35" s="268"/>
      <c r="K35" s="889"/>
      <c r="L35" s="920"/>
      <c r="M35" s="921">
        <v>45076</v>
      </c>
      <c r="N35" s="919" t="s">
        <v>686</v>
      </c>
      <c r="O35" s="889"/>
      <c r="P35" s="890"/>
      <c r="Q35" s="886"/>
      <c r="R35" s="887"/>
      <c r="S35" s="887"/>
      <c r="T35" s="887"/>
      <c r="U35" s="888"/>
      <c r="V35" s="268"/>
      <c r="W35" s="889"/>
      <c r="X35" s="890"/>
    </row>
    <row r="36" spans="1:24" s="7" customFormat="1" ht="13.5" customHeight="1">
      <c r="A36" s="918"/>
      <c r="B36" s="908"/>
      <c r="C36" s="889"/>
      <c r="D36" s="890"/>
      <c r="E36" s="886"/>
      <c r="F36" s="887"/>
      <c r="G36" s="887"/>
      <c r="H36" s="887"/>
      <c r="I36" s="888"/>
      <c r="J36" s="268"/>
      <c r="K36" s="889"/>
      <c r="L36" s="920"/>
      <c r="M36" s="922"/>
      <c r="N36" s="908"/>
      <c r="O36" s="889"/>
      <c r="P36" s="890"/>
      <c r="Q36" s="886"/>
      <c r="R36" s="887"/>
      <c r="S36" s="887"/>
      <c r="T36" s="887"/>
      <c r="U36" s="888"/>
      <c r="V36" s="268"/>
      <c r="W36" s="889"/>
      <c r="X36" s="890"/>
    </row>
    <row r="37" spans="1:24" s="7" customFormat="1" ht="13.5" customHeight="1">
      <c r="A37" s="917"/>
      <c r="B37" s="937"/>
      <c r="C37" s="889"/>
      <c r="D37" s="890"/>
      <c r="E37" s="886"/>
      <c r="F37" s="887"/>
      <c r="G37" s="887"/>
      <c r="H37" s="887"/>
      <c r="I37" s="888"/>
      <c r="J37" s="268"/>
      <c r="K37" s="889"/>
      <c r="L37" s="920"/>
      <c r="M37" s="921">
        <v>45077</v>
      </c>
      <c r="N37" s="919" t="s">
        <v>687</v>
      </c>
      <c r="O37" s="889"/>
      <c r="P37" s="890"/>
      <c r="Q37" s="886"/>
      <c r="R37" s="887"/>
      <c r="S37" s="887"/>
      <c r="T37" s="887"/>
      <c r="U37" s="888"/>
      <c r="V37" s="268"/>
      <c r="W37" s="939"/>
      <c r="X37" s="940"/>
    </row>
    <row r="38" spans="1:24" s="7" customFormat="1" ht="13.5" customHeight="1">
      <c r="A38" s="918"/>
      <c r="B38" s="938"/>
      <c r="C38" s="889"/>
      <c r="D38" s="890"/>
      <c r="E38" s="886"/>
      <c r="F38" s="887"/>
      <c r="G38" s="887"/>
      <c r="H38" s="887"/>
      <c r="I38" s="888"/>
      <c r="J38" s="268"/>
      <c r="K38" s="889"/>
      <c r="L38" s="920"/>
      <c r="M38" s="922"/>
      <c r="N38" s="908"/>
      <c r="O38" s="889"/>
      <c r="P38" s="890"/>
      <c r="Q38" s="886"/>
      <c r="R38" s="887"/>
      <c r="S38" s="887"/>
      <c r="T38" s="887"/>
      <c r="U38" s="888"/>
      <c r="V38" s="268"/>
      <c r="W38" s="889"/>
      <c r="X38" s="890"/>
    </row>
    <row r="39" spans="1:24" s="7" customFormat="1" ht="14.1" customHeight="1">
      <c r="A39" s="952"/>
      <c r="B39" s="952"/>
      <c r="C39" s="889"/>
      <c r="D39" s="890"/>
      <c r="E39" s="886"/>
      <c r="F39" s="887"/>
      <c r="G39" s="887"/>
      <c r="H39" s="887"/>
      <c r="I39" s="888"/>
      <c r="J39" s="787"/>
      <c r="K39" s="889"/>
      <c r="L39" s="920"/>
      <c r="M39" s="953"/>
      <c r="N39" s="944"/>
      <c r="O39" s="889"/>
      <c r="P39" s="890"/>
      <c r="Q39" s="886"/>
      <c r="R39" s="887"/>
      <c r="S39" s="887"/>
      <c r="T39" s="887"/>
      <c r="U39" s="888"/>
      <c r="V39" s="268"/>
      <c r="W39" s="889"/>
      <c r="X39" s="890"/>
    </row>
    <row r="40" spans="1:24" s="7" customFormat="1" ht="14.1" customHeight="1">
      <c r="A40" s="952"/>
      <c r="B40" s="952"/>
      <c r="C40" s="946"/>
      <c r="D40" s="947"/>
      <c r="E40" s="948"/>
      <c r="F40" s="949"/>
      <c r="G40" s="949"/>
      <c r="H40" s="949"/>
      <c r="I40" s="950"/>
      <c r="J40" s="91"/>
      <c r="K40" s="946"/>
      <c r="L40" s="951"/>
      <c r="M40" s="954"/>
      <c r="N40" s="945"/>
      <c r="O40" s="946"/>
      <c r="P40" s="947"/>
      <c r="Q40" s="948"/>
      <c r="R40" s="949"/>
      <c r="S40" s="949"/>
      <c r="T40" s="949"/>
      <c r="U40" s="950"/>
      <c r="V40" s="268"/>
      <c r="W40" s="946"/>
      <c r="X40" s="947"/>
    </row>
    <row r="41" spans="1:24" s="7" customFormat="1" ht="14.1" customHeight="1">
      <c r="A41" s="68" t="s">
        <v>107</v>
      </c>
      <c r="B41" s="69"/>
      <c r="C41" s="69"/>
      <c r="D41" s="69"/>
      <c r="E41" s="69"/>
      <c r="F41" s="69"/>
      <c r="G41" s="69"/>
      <c r="H41" s="69"/>
      <c r="I41" s="69"/>
      <c r="J41" s="69"/>
      <c r="K41" s="69"/>
      <c r="L41" s="69"/>
      <c r="M41" s="69"/>
      <c r="N41" s="69"/>
      <c r="O41" s="69"/>
      <c r="P41" s="69"/>
      <c r="Q41" s="69"/>
      <c r="R41" s="69"/>
      <c r="S41" s="69"/>
      <c r="T41" s="69"/>
      <c r="U41" s="69"/>
      <c r="V41" s="69"/>
      <c r="W41" s="69"/>
      <c r="X41" s="70"/>
    </row>
    <row r="42" spans="1:24" s="7" customFormat="1" ht="14.1" customHeight="1">
      <c r="A42" s="941" t="s">
        <v>227</v>
      </c>
      <c r="B42" s="942"/>
      <c r="C42" s="942"/>
      <c r="D42" s="942"/>
      <c r="E42" s="942"/>
      <c r="F42" s="942"/>
      <c r="G42" s="942"/>
      <c r="H42" s="942"/>
      <c r="I42" s="942"/>
      <c r="J42" s="942"/>
      <c r="K42" s="942"/>
      <c r="L42" s="942"/>
      <c r="M42" s="942"/>
      <c r="N42" s="942"/>
      <c r="O42" s="942"/>
      <c r="P42" s="942"/>
      <c r="Q42" s="942"/>
      <c r="R42" s="942"/>
      <c r="S42" s="942"/>
      <c r="T42" s="942"/>
      <c r="U42" s="942"/>
      <c r="V42" s="942"/>
      <c r="W42" s="942"/>
      <c r="X42" s="943"/>
    </row>
    <row r="43" spans="1:24" s="7" customFormat="1" ht="14.1" customHeight="1">
      <c r="A43" s="272"/>
      <c r="B43" s="71"/>
      <c r="C43" s="71"/>
      <c r="D43" s="71"/>
      <c r="E43" s="71"/>
      <c r="F43" s="71"/>
      <c r="G43" s="71"/>
      <c r="H43" s="71"/>
      <c r="I43" s="71"/>
      <c r="J43" s="71"/>
      <c r="K43" s="71"/>
      <c r="L43" s="71"/>
      <c r="M43" s="71"/>
      <c r="N43" s="71"/>
      <c r="O43" s="71"/>
      <c r="P43" s="71"/>
      <c r="Q43" s="71"/>
      <c r="R43" s="71"/>
      <c r="S43" s="71"/>
      <c r="T43" s="71"/>
      <c r="U43" s="71"/>
      <c r="V43" s="71"/>
      <c r="W43" s="71"/>
      <c r="X43" s="72"/>
    </row>
    <row r="44" spans="1:24" s="7" customFormat="1" ht="14.1" customHeight="1">
      <c r="A44" s="272"/>
      <c r="B44" s="71"/>
      <c r="C44" s="71"/>
      <c r="D44" s="71"/>
      <c r="E44" s="71"/>
      <c r="F44" s="71"/>
      <c r="G44" s="71"/>
      <c r="H44" s="71"/>
      <c r="I44" s="71"/>
      <c r="J44" s="71"/>
      <c r="K44" s="71"/>
      <c r="L44" s="71"/>
      <c r="M44" s="71"/>
      <c r="N44" s="71"/>
      <c r="O44" s="71"/>
      <c r="P44" s="71"/>
      <c r="Q44" s="71"/>
      <c r="R44" s="71"/>
      <c r="S44" s="71"/>
      <c r="T44" s="71"/>
      <c r="U44" s="71"/>
      <c r="V44" s="71"/>
      <c r="W44" s="71"/>
      <c r="X44" s="72"/>
    </row>
    <row r="45" spans="1:24" s="7" customFormat="1" ht="14.1" customHeight="1">
      <c r="A45" s="272"/>
      <c r="B45" s="71"/>
      <c r="C45" s="71"/>
      <c r="D45" s="71"/>
      <c r="E45" s="71"/>
      <c r="F45" s="71"/>
      <c r="G45" s="71"/>
      <c r="H45" s="71"/>
      <c r="I45" s="71"/>
      <c r="J45" s="71"/>
      <c r="K45" s="71"/>
      <c r="L45" s="71"/>
      <c r="M45" s="71"/>
      <c r="N45" s="71"/>
      <c r="O45" s="71"/>
      <c r="P45" s="71"/>
      <c r="Q45" s="71"/>
      <c r="R45" s="71"/>
      <c r="S45" s="71"/>
      <c r="T45" s="71"/>
      <c r="U45" s="71"/>
      <c r="V45" s="71"/>
      <c r="W45" s="71"/>
      <c r="X45" s="72"/>
    </row>
    <row r="46" spans="1:24" s="7" customFormat="1" ht="14.1" customHeight="1">
      <c r="A46" s="272"/>
      <c r="B46" s="71"/>
      <c r="C46" s="71"/>
      <c r="D46" s="71"/>
      <c r="E46" s="71"/>
      <c r="F46" s="71"/>
      <c r="G46" s="71"/>
      <c r="H46" s="71"/>
      <c r="I46" s="71"/>
      <c r="J46" s="71"/>
      <c r="K46" s="71"/>
      <c r="L46" s="71"/>
      <c r="M46" s="71"/>
      <c r="N46" s="71"/>
      <c r="O46" s="71"/>
      <c r="P46" s="71"/>
      <c r="Q46" s="71"/>
      <c r="R46" s="71"/>
      <c r="S46" s="71"/>
      <c r="T46" s="71"/>
      <c r="U46" s="71"/>
      <c r="V46" s="71"/>
      <c r="W46" s="71"/>
      <c r="X46" s="72"/>
    </row>
    <row r="47" spans="1:24" s="7" customFormat="1" ht="14.1" customHeight="1">
      <c r="A47" s="272"/>
      <c r="B47" s="71"/>
      <c r="C47" s="71"/>
      <c r="D47" s="71"/>
      <c r="E47" s="71"/>
      <c r="F47" s="71"/>
      <c r="G47" s="71"/>
      <c r="H47" s="71"/>
      <c r="I47" s="71"/>
      <c r="J47" s="71"/>
      <c r="K47" s="71"/>
      <c r="L47" s="71"/>
      <c r="M47" s="71"/>
      <c r="N47" s="71"/>
      <c r="O47" s="71"/>
      <c r="P47" s="71"/>
      <c r="Q47" s="71"/>
      <c r="R47" s="71"/>
      <c r="S47" s="71"/>
      <c r="T47" s="71"/>
      <c r="U47" s="71"/>
      <c r="V47" s="71"/>
      <c r="W47" s="71"/>
      <c r="X47" s="72"/>
    </row>
    <row r="48" spans="1:24" s="7" customFormat="1" ht="14.1" customHeight="1">
      <c r="A48" s="272"/>
      <c r="B48" s="71"/>
      <c r="C48" s="71"/>
      <c r="D48" s="71"/>
      <c r="E48" s="71"/>
      <c r="F48" s="71"/>
      <c r="G48" s="71"/>
      <c r="H48" s="71"/>
      <c r="I48" s="71"/>
      <c r="J48" s="71"/>
      <c r="K48" s="71"/>
      <c r="L48" s="71"/>
      <c r="M48" s="71"/>
      <c r="N48" s="71"/>
      <c r="O48" s="71"/>
      <c r="P48" s="71"/>
      <c r="Q48" s="71"/>
      <c r="R48" s="71"/>
      <c r="S48" s="71"/>
      <c r="T48" s="71"/>
      <c r="U48" s="71"/>
      <c r="V48" s="71"/>
      <c r="W48" s="71"/>
      <c r="X48" s="72"/>
    </row>
    <row r="49" spans="1:24" s="7" customFormat="1" ht="14.1" customHeight="1">
      <c r="A49" s="272"/>
      <c r="B49" s="71"/>
      <c r="C49" s="71"/>
      <c r="D49" s="71"/>
      <c r="E49" s="71"/>
      <c r="F49" s="71"/>
      <c r="G49" s="71"/>
      <c r="H49" s="71"/>
      <c r="I49" s="71"/>
      <c r="J49" s="71"/>
      <c r="K49" s="71"/>
      <c r="L49" s="71"/>
      <c r="M49" s="71"/>
      <c r="N49" s="71"/>
      <c r="O49" s="71"/>
      <c r="P49" s="71"/>
      <c r="Q49" s="71"/>
      <c r="R49" s="71"/>
      <c r="S49" s="71"/>
      <c r="T49" s="71"/>
      <c r="U49" s="71"/>
      <c r="V49" s="71"/>
      <c r="W49" s="71"/>
      <c r="X49" s="72"/>
    </row>
    <row r="50" spans="1:24" s="7" customFormat="1" ht="14.1" customHeight="1">
      <c r="A50" s="73"/>
      <c r="B50" s="74"/>
      <c r="C50" s="74"/>
      <c r="D50" s="74"/>
      <c r="E50" s="74"/>
      <c r="F50" s="74"/>
      <c r="G50" s="74"/>
      <c r="H50" s="74"/>
      <c r="I50" s="74"/>
      <c r="J50" s="74"/>
      <c r="K50" s="74"/>
      <c r="L50" s="74"/>
      <c r="M50" s="74"/>
      <c r="N50" s="74"/>
      <c r="O50" s="74"/>
      <c r="P50" s="74"/>
      <c r="Q50" s="74"/>
      <c r="R50" s="74"/>
      <c r="S50" s="74"/>
      <c r="T50" s="74"/>
      <c r="U50" s="74"/>
      <c r="V50" s="74"/>
      <c r="W50" s="74"/>
      <c r="X50" s="75"/>
    </row>
    <row r="51" spans="1:24" s="7" customFormat="1" ht="14.1" customHeight="1">
      <c r="J51" s="264"/>
      <c r="V51" s="264"/>
    </row>
    <row r="52" spans="1:24" s="7" customFormat="1" ht="14.1" customHeight="1">
      <c r="J52" s="264"/>
      <c r="V52" s="264"/>
    </row>
    <row r="53" spans="1:24" s="7" customFormat="1" ht="14.1" customHeight="1">
      <c r="C53" s="838" t="s">
        <v>225</v>
      </c>
      <c r="D53" s="841"/>
      <c r="E53" s="886" t="s">
        <v>230</v>
      </c>
      <c r="F53" s="887"/>
      <c r="G53" s="887"/>
      <c r="H53" s="887"/>
      <c r="I53" s="888"/>
      <c r="J53" s="268" t="s">
        <v>226</v>
      </c>
      <c r="K53" s="889" t="s">
        <v>231</v>
      </c>
      <c r="L53" s="890"/>
      <c r="V53" s="264"/>
    </row>
    <row r="54" spans="1:24" s="7" customFormat="1" ht="14.1" customHeight="1">
      <c r="C54" s="838" t="s">
        <v>563</v>
      </c>
      <c r="D54" s="841"/>
      <c r="E54" s="886" t="s">
        <v>566</v>
      </c>
      <c r="F54" s="887"/>
      <c r="G54" s="887"/>
      <c r="H54" s="887"/>
      <c r="I54" s="888"/>
      <c r="J54" s="268" t="s">
        <v>226</v>
      </c>
      <c r="K54" s="889" t="s">
        <v>567</v>
      </c>
      <c r="L54" s="890"/>
      <c r="V54" s="264"/>
    </row>
    <row r="55" spans="1:24">
      <c r="C55" s="838" t="s">
        <v>584</v>
      </c>
      <c r="D55" s="841"/>
      <c r="E55" s="886" t="s">
        <v>344</v>
      </c>
      <c r="F55" s="887"/>
      <c r="G55" s="887"/>
      <c r="H55" s="887"/>
      <c r="I55" s="888"/>
      <c r="J55" s="268" t="s">
        <v>226</v>
      </c>
      <c r="K55" s="889" t="s">
        <v>345</v>
      </c>
      <c r="L55" s="890"/>
    </row>
    <row r="56" spans="1:24">
      <c r="C56" s="838" t="s">
        <v>225</v>
      </c>
      <c r="D56" s="841"/>
      <c r="E56" s="886" t="s">
        <v>564</v>
      </c>
      <c r="F56" s="887"/>
      <c r="G56" s="887"/>
      <c r="H56" s="887"/>
      <c r="I56" s="888"/>
      <c r="J56" s="268" t="s">
        <v>226</v>
      </c>
      <c r="K56" s="889" t="s">
        <v>565</v>
      </c>
      <c r="L56" s="890"/>
    </row>
    <row r="57" spans="1:24">
      <c r="C57" s="838" t="s">
        <v>570</v>
      </c>
      <c r="D57" s="841"/>
      <c r="E57" s="886" t="s">
        <v>569</v>
      </c>
      <c r="F57" s="887"/>
      <c r="G57" s="887"/>
      <c r="H57" s="887"/>
      <c r="I57" s="888"/>
      <c r="J57" s="268" t="s">
        <v>571</v>
      </c>
      <c r="K57" s="889" t="s">
        <v>590</v>
      </c>
      <c r="L57" s="890"/>
    </row>
    <row r="58" spans="1:24">
      <c r="C58" s="838" t="s">
        <v>591</v>
      </c>
      <c r="D58" s="841"/>
      <c r="E58" s="886" t="s">
        <v>592</v>
      </c>
      <c r="F58" s="887"/>
      <c r="G58" s="887"/>
      <c r="H58" s="887"/>
      <c r="I58" s="888"/>
      <c r="J58" s="268" t="s">
        <v>571</v>
      </c>
      <c r="K58" s="889" t="s">
        <v>593</v>
      </c>
      <c r="L58" s="890"/>
    </row>
    <row r="59" spans="1:24">
      <c r="C59" s="838" t="s">
        <v>584</v>
      </c>
      <c r="D59" s="841"/>
      <c r="E59" s="886" t="s">
        <v>594</v>
      </c>
      <c r="F59" s="887"/>
      <c r="G59" s="887"/>
      <c r="H59" s="887"/>
      <c r="I59" s="888"/>
      <c r="J59" s="268" t="s">
        <v>226</v>
      </c>
      <c r="K59" s="889" t="s">
        <v>345</v>
      </c>
      <c r="L59" s="890"/>
    </row>
    <row r="60" spans="1:24">
      <c r="C60" s="838" t="s">
        <v>225</v>
      </c>
      <c r="D60" s="841"/>
      <c r="E60" s="886" t="s">
        <v>595</v>
      </c>
      <c r="F60" s="887"/>
      <c r="G60" s="887"/>
      <c r="H60" s="887"/>
      <c r="I60" s="888"/>
      <c r="J60" s="268" t="s">
        <v>226</v>
      </c>
      <c r="K60" s="889" t="s">
        <v>596</v>
      </c>
      <c r="L60" s="890"/>
    </row>
    <row r="61" spans="1:24">
      <c r="C61" s="838" t="s">
        <v>585</v>
      </c>
      <c r="D61" s="841"/>
      <c r="E61" s="886" t="s">
        <v>110</v>
      </c>
      <c r="F61" s="887"/>
      <c r="G61" s="887"/>
      <c r="H61" s="887"/>
      <c r="I61" s="888"/>
      <c r="J61" s="268" t="s">
        <v>586</v>
      </c>
      <c r="K61" s="889" t="s">
        <v>187</v>
      </c>
      <c r="L61" s="896"/>
    </row>
    <row r="62" spans="1:24">
      <c r="C62" s="844" t="s">
        <v>572</v>
      </c>
      <c r="D62" s="845"/>
      <c r="E62" s="891" t="s">
        <v>597</v>
      </c>
      <c r="F62" s="892"/>
      <c r="G62" s="892"/>
      <c r="H62" s="892"/>
      <c r="I62" s="893"/>
      <c r="J62" s="268" t="s">
        <v>226</v>
      </c>
      <c r="K62" s="897" t="s">
        <v>598</v>
      </c>
      <c r="L62" s="898"/>
    </row>
    <row r="63" spans="1:24">
      <c r="C63" s="844" t="s">
        <v>585</v>
      </c>
      <c r="D63" s="845"/>
      <c r="E63" s="891" t="s">
        <v>89</v>
      </c>
      <c r="F63" s="892"/>
      <c r="G63" s="892"/>
      <c r="H63" s="892"/>
      <c r="I63" s="893"/>
      <c r="J63" s="268" t="s">
        <v>226</v>
      </c>
      <c r="K63" s="894" t="s">
        <v>599</v>
      </c>
      <c r="L63" s="895"/>
    </row>
    <row r="64" spans="1:24">
      <c r="C64" s="844" t="s">
        <v>600</v>
      </c>
      <c r="D64" s="845"/>
      <c r="E64" s="891" t="s">
        <v>601</v>
      </c>
      <c r="F64" s="892"/>
      <c r="G64" s="892"/>
      <c r="H64" s="892"/>
      <c r="I64" s="893"/>
      <c r="J64" s="268" t="s">
        <v>226</v>
      </c>
      <c r="K64" s="894" t="s">
        <v>602</v>
      </c>
      <c r="L64" s="895"/>
    </row>
    <row r="65" spans="3:12">
      <c r="C65" s="838" t="s">
        <v>584</v>
      </c>
      <c r="D65" s="841"/>
      <c r="E65" s="886" t="s">
        <v>603</v>
      </c>
      <c r="F65" s="887"/>
      <c r="G65" s="887"/>
      <c r="H65" s="887"/>
      <c r="I65" s="888"/>
      <c r="J65" s="268" t="s">
        <v>226</v>
      </c>
      <c r="K65" s="889" t="s">
        <v>345</v>
      </c>
      <c r="L65" s="890"/>
    </row>
    <row r="66" spans="3:12">
      <c r="C66" s="838" t="s">
        <v>584</v>
      </c>
      <c r="D66" s="841"/>
      <c r="E66" s="881" t="s">
        <v>643</v>
      </c>
      <c r="F66" s="882"/>
      <c r="G66" s="882"/>
      <c r="H66" s="882"/>
      <c r="I66" s="883"/>
      <c r="J66" s="842" t="s">
        <v>226</v>
      </c>
      <c r="K66" s="884" t="s">
        <v>645</v>
      </c>
      <c r="L66" s="885"/>
    </row>
    <row r="67" spans="3:12">
      <c r="C67" s="838" t="s">
        <v>584</v>
      </c>
      <c r="D67" s="841"/>
      <c r="E67" s="881" t="s">
        <v>644</v>
      </c>
      <c r="F67" s="882"/>
      <c r="G67" s="882"/>
      <c r="H67" s="882"/>
      <c r="I67" s="883"/>
      <c r="J67" s="268" t="s">
        <v>226</v>
      </c>
      <c r="K67" s="881" t="s">
        <v>642</v>
      </c>
      <c r="L67" s="882"/>
    </row>
    <row r="68" spans="3:12">
      <c r="E68" s="880"/>
      <c r="F68" s="880"/>
      <c r="G68" s="880"/>
      <c r="H68" s="880"/>
      <c r="I68" s="880"/>
      <c r="K68" s="880"/>
      <c r="L68" s="880"/>
    </row>
    <row r="69" spans="3:12">
      <c r="E69" s="879"/>
      <c r="F69" s="879"/>
      <c r="G69" s="879"/>
      <c r="H69" s="879"/>
      <c r="I69" s="879"/>
      <c r="K69" s="879"/>
      <c r="L69" s="879"/>
    </row>
    <row r="70" spans="3:12">
      <c r="E70" s="879"/>
      <c r="F70" s="879"/>
      <c r="G70" s="879"/>
      <c r="H70" s="879"/>
      <c r="I70" s="879"/>
      <c r="K70" s="879"/>
      <c r="L70" s="879"/>
    </row>
    <row r="71" spans="3:12">
      <c r="E71" s="879"/>
      <c r="F71" s="879"/>
      <c r="G71" s="879"/>
      <c r="H71" s="879"/>
      <c r="I71" s="879"/>
      <c r="K71" s="879"/>
      <c r="L71" s="879"/>
    </row>
    <row r="72" spans="3:12">
      <c r="E72" s="879"/>
      <c r="F72" s="879"/>
      <c r="G72" s="879"/>
      <c r="H72" s="879"/>
      <c r="I72" s="879"/>
      <c r="K72" s="879"/>
      <c r="L72" s="879"/>
    </row>
    <row r="73" spans="3:12">
      <c r="E73" s="879"/>
      <c r="F73" s="879"/>
      <c r="G73" s="879"/>
      <c r="H73" s="879"/>
      <c r="I73" s="879"/>
      <c r="K73" s="879"/>
      <c r="L73" s="879"/>
    </row>
    <row r="74" spans="3:12">
      <c r="E74" s="879"/>
      <c r="F74" s="879"/>
      <c r="G74" s="879"/>
      <c r="H74" s="879"/>
      <c r="I74" s="879"/>
      <c r="K74" s="879"/>
      <c r="L74" s="879"/>
    </row>
    <row r="75" spans="3:12">
      <c r="E75" s="879"/>
      <c r="F75" s="879"/>
      <c r="G75" s="879"/>
      <c r="H75" s="879"/>
      <c r="I75" s="879"/>
      <c r="K75" s="879"/>
      <c r="L75" s="879"/>
    </row>
    <row r="76" spans="3:12">
      <c r="E76" s="879"/>
      <c r="F76" s="879"/>
      <c r="G76" s="879"/>
      <c r="H76" s="879"/>
      <c r="I76" s="879"/>
      <c r="K76" s="879"/>
      <c r="L76" s="879"/>
    </row>
    <row r="77" spans="3:12">
      <c r="E77" s="879"/>
      <c r="F77" s="879"/>
      <c r="G77" s="879"/>
      <c r="H77" s="879"/>
      <c r="I77" s="879"/>
      <c r="K77" s="879"/>
      <c r="L77" s="879"/>
    </row>
    <row r="78" spans="3:12">
      <c r="E78" s="879"/>
      <c r="F78" s="879"/>
      <c r="G78" s="879"/>
      <c r="H78" s="879"/>
      <c r="I78" s="879"/>
      <c r="K78" s="879"/>
      <c r="L78" s="879"/>
    </row>
    <row r="79" spans="3:12">
      <c r="E79" s="879"/>
      <c r="F79" s="879"/>
      <c r="G79" s="879"/>
      <c r="H79" s="879"/>
      <c r="I79" s="879"/>
      <c r="K79" s="879"/>
      <c r="L79" s="879"/>
    </row>
    <row r="80" spans="3:12">
      <c r="E80" s="879"/>
      <c r="F80" s="879"/>
      <c r="G80" s="879"/>
      <c r="H80" s="879"/>
      <c r="I80" s="879"/>
      <c r="K80" s="879"/>
      <c r="L80" s="879"/>
    </row>
  </sheetData>
  <mergeCells count="336">
    <mergeCell ref="E56:I56"/>
    <mergeCell ref="K56:L56"/>
    <mergeCell ref="E57:I57"/>
    <mergeCell ref="K57:L57"/>
    <mergeCell ref="E53:I53"/>
    <mergeCell ref="K53:L53"/>
    <mergeCell ref="E54:I54"/>
    <mergeCell ref="K54:L54"/>
    <mergeCell ref="E55:I55"/>
    <mergeCell ref="K55:L55"/>
    <mergeCell ref="A42:X42"/>
    <mergeCell ref="N39:N40"/>
    <mergeCell ref="O39:P39"/>
    <mergeCell ref="Q39:U39"/>
    <mergeCell ref="W39:X39"/>
    <mergeCell ref="C40:D40"/>
    <mergeCell ref="E40:I40"/>
    <mergeCell ref="K40:L40"/>
    <mergeCell ref="O40:P40"/>
    <mergeCell ref="Q40:U40"/>
    <mergeCell ref="W40:X40"/>
    <mergeCell ref="A39:A40"/>
    <mergeCell ref="B39:B40"/>
    <mergeCell ref="C39:D39"/>
    <mergeCell ref="E39:I39"/>
    <mergeCell ref="K39:L39"/>
    <mergeCell ref="M39:M40"/>
    <mergeCell ref="N37:N38"/>
    <mergeCell ref="O37:P37"/>
    <mergeCell ref="Q37:U37"/>
    <mergeCell ref="W37:X37"/>
    <mergeCell ref="C38:D38"/>
    <mergeCell ref="E38:I38"/>
    <mergeCell ref="K38:L38"/>
    <mergeCell ref="O38:P38"/>
    <mergeCell ref="Q38:U38"/>
    <mergeCell ref="W38:X38"/>
    <mergeCell ref="A35:A36"/>
    <mergeCell ref="B35:B36"/>
    <mergeCell ref="C35:D35"/>
    <mergeCell ref="E35:I35"/>
    <mergeCell ref="K35:L35"/>
    <mergeCell ref="M35:M36"/>
    <mergeCell ref="A37:A38"/>
    <mergeCell ref="B37:B38"/>
    <mergeCell ref="C37:D37"/>
    <mergeCell ref="E37:I37"/>
    <mergeCell ref="K37:L37"/>
    <mergeCell ref="M37:M38"/>
    <mergeCell ref="N33:N34"/>
    <mergeCell ref="O33:P33"/>
    <mergeCell ref="Q33:U33"/>
    <mergeCell ref="W33:X33"/>
    <mergeCell ref="C34:D34"/>
    <mergeCell ref="E34:I34"/>
    <mergeCell ref="K34:L34"/>
    <mergeCell ref="W35:X35"/>
    <mergeCell ref="C36:D36"/>
    <mergeCell ref="E36:I36"/>
    <mergeCell ref="K36:L36"/>
    <mergeCell ref="O36:P36"/>
    <mergeCell ref="Q36:U36"/>
    <mergeCell ref="W36:X36"/>
    <mergeCell ref="N35:N36"/>
    <mergeCell ref="O35:P35"/>
    <mergeCell ref="Q35:U35"/>
    <mergeCell ref="O34:P34"/>
    <mergeCell ref="Q34:U34"/>
    <mergeCell ref="W34:X34"/>
    <mergeCell ref="A31:A32"/>
    <mergeCell ref="B31:B32"/>
    <mergeCell ref="C31:D31"/>
    <mergeCell ref="E31:I31"/>
    <mergeCell ref="K31:L31"/>
    <mergeCell ref="M31:M32"/>
    <mergeCell ref="A33:A34"/>
    <mergeCell ref="B33:B34"/>
    <mergeCell ref="C33:D33"/>
    <mergeCell ref="E33:I33"/>
    <mergeCell ref="K33:L33"/>
    <mergeCell ref="M33:M34"/>
    <mergeCell ref="W31:X31"/>
    <mergeCell ref="C32:D32"/>
    <mergeCell ref="E32:I32"/>
    <mergeCell ref="K32:L32"/>
    <mergeCell ref="O32:P32"/>
    <mergeCell ref="Q32:U32"/>
    <mergeCell ref="W32:X32"/>
    <mergeCell ref="N31:N32"/>
    <mergeCell ref="O31:P31"/>
    <mergeCell ref="Q31:U31"/>
    <mergeCell ref="N29:N30"/>
    <mergeCell ref="O29:P29"/>
    <mergeCell ref="Q29:U29"/>
    <mergeCell ref="W29:X29"/>
    <mergeCell ref="C30:D30"/>
    <mergeCell ref="E30:I30"/>
    <mergeCell ref="K30:L30"/>
    <mergeCell ref="O30:P30"/>
    <mergeCell ref="Q30:U30"/>
    <mergeCell ref="W30:X30"/>
    <mergeCell ref="A27:A28"/>
    <mergeCell ref="B27:B28"/>
    <mergeCell ref="C27:D27"/>
    <mergeCell ref="E27:I27"/>
    <mergeCell ref="K27:L27"/>
    <mergeCell ref="M27:M28"/>
    <mergeCell ref="A29:A30"/>
    <mergeCell ref="B29:B30"/>
    <mergeCell ref="C29:D29"/>
    <mergeCell ref="E29:I29"/>
    <mergeCell ref="K29:L29"/>
    <mergeCell ref="M29:M30"/>
    <mergeCell ref="W27:X27"/>
    <mergeCell ref="C28:D28"/>
    <mergeCell ref="E28:I28"/>
    <mergeCell ref="K28:L28"/>
    <mergeCell ref="O28:P28"/>
    <mergeCell ref="Q28:U28"/>
    <mergeCell ref="W28:X28"/>
    <mergeCell ref="N27:N28"/>
    <mergeCell ref="O27:P27"/>
    <mergeCell ref="Q27:U27"/>
    <mergeCell ref="A25:A26"/>
    <mergeCell ref="B25:B26"/>
    <mergeCell ref="C25:D25"/>
    <mergeCell ref="E25:I25"/>
    <mergeCell ref="K25:L25"/>
    <mergeCell ref="M25:M26"/>
    <mergeCell ref="C26:D26"/>
    <mergeCell ref="E26:I26"/>
    <mergeCell ref="K26:L26"/>
    <mergeCell ref="Q24:U24"/>
    <mergeCell ref="W24:X24"/>
    <mergeCell ref="N23:N24"/>
    <mergeCell ref="O23:P23"/>
    <mergeCell ref="Q23:U23"/>
    <mergeCell ref="A23:A24"/>
    <mergeCell ref="B23:B24"/>
    <mergeCell ref="C23:D23"/>
    <mergeCell ref="E23:I23"/>
    <mergeCell ref="K23:L23"/>
    <mergeCell ref="M23:M24"/>
    <mergeCell ref="N25:N26"/>
    <mergeCell ref="O25:P25"/>
    <mergeCell ref="Q25:U25"/>
    <mergeCell ref="W25:X25"/>
    <mergeCell ref="O26:P26"/>
    <mergeCell ref="Q26:U26"/>
    <mergeCell ref="W26:X26"/>
    <mergeCell ref="A21:A22"/>
    <mergeCell ref="B21:B22"/>
    <mergeCell ref="C21:D21"/>
    <mergeCell ref="E21:I21"/>
    <mergeCell ref="K21:L21"/>
    <mergeCell ref="M21:M22"/>
    <mergeCell ref="C22:D22"/>
    <mergeCell ref="E22:I22"/>
    <mergeCell ref="K22:L22"/>
    <mergeCell ref="O22:P22"/>
    <mergeCell ref="Q22:U22"/>
    <mergeCell ref="W22:X22"/>
    <mergeCell ref="W23:X23"/>
    <mergeCell ref="C24:D24"/>
    <mergeCell ref="E24:I24"/>
    <mergeCell ref="K24:L24"/>
    <mergeCell ref="O24:P24"/>
    <mergeCell ref="N21:N22"/>
    <mergeCell ref="O21:P21"/>
    <mergeCell ref="Q21:U21"/>
    <mergeCell ref="W19:X19"/>
    <mergeCell ref="C20:D20"/>
    <mergeCell ref="E20:I20"/>
    <mergeCell ref="K20:L20"/>
    <mergeCell ref="O20:P20"/>
    <mergeCell ref="Q20:U20"/>
    <mergeCell ref="W20:X20"/>
    <mergeCell ref="W21:X21"/>
    <mergeCell ref="A19:A20"/>
    <mergeCell ref="B19:B20"/>
    <mergeCell ref="C19:D19"/>
    <mergeCell ref="E19:I19"/>
    <mergeCell ref="K19:L19"/>
    <mergeCell ref="M19:M20"/>
    <mergeCell ref="N17:N18"/>
    <mergeCell ref="Q17:U17"/>
    <mergeCell ref="W17:X17"/>
    <mergeCell ref="C18:D18"/>
    <mergeCell ref="E18:I18"/>
    <mergeCell ref="K18:L18"/>
    <mergeCell ref="Q18:U18"/>
    <mergeCell ref="W18:X18"/>
    <mergeCell ref="N19:N20"/>
    <mergeCell ref="O19:P19"/>
    <mergeCell ref="Q19:U19"/>
    <mergeCell ref="O17:P17"/>
    <mergeCell ref="O18:P18"/>
    <mergeCell ref="A15:A16"/>
    <mergeCell ref="B15:B16"/>
    <mergeCell ref="C15:D15"/>
    <mergeCell ref="E15:I15"/>
    <mergeCell ref="K15:L15"/>
    <mergeCell ref="M15:M16"/>
    <mergeCell ref="A17:A18"/>
    <mergeCell ref="B17:B18"/>
    <mergeCell ref="C17:D17"/>
    <mergeCell ref="E17:I17"/>
    <mergeCell ref="K17:L17"/>
    <mergeCell ref="M17:M18"/>
    <mergeCell ref="W13:X13"/>
    <mergeCell ref="C14:D14"/>
    <mergeCell ref="E14:I14"/>
    <mergeCell ref="K14:L14"/>
    <mergeCell ref="O14:P14"/>
    <mergeCell ref="Q14:U14"/>
    <mergeCell ref="W14:X14"/>
    <mergeCell ref="W15:X15"/>
    <mergeCell ref="C16:D16"/>
    <mergeCell ref="E16:I16"/>
    <mergeCell ref="K16:L16"/>
    <mergeCell ref="O16:P16"/>
    <mergeCell ref="Q16:U16"/>
    <mergeCell ref="W16:X16"/>
    <mergeCell ref="N15:N16"/>
    <mergeCell ref="O15:P15"/>
    <mergeCell ref="Q15:U15"/>
    <mergeCell ref="A13:A14"/>
    <mergeCell ref="B13:B14"/>
    <mergeCell ref="C13:D13"/>
    <mergeCell ref="E13:I13"/>
    <mergeCell ref="K13:L13"/>
    <mergeCell ref="M13:M14"/>
    <mergeCell ref="N11:N12"/>
    <mergeCell ref="O11:P11"/>
    <mergeCell ref="Q11:U11"/>
    <mergeCell ref="N13:N14"/>
    <mergeCell ref="O13:P13"/>
    <mergeCell ref="Q13:U13"/>
    <mergeCell ref="W11:X11"/>
    <mergeCell ref="C12:D12"/>
    <mergeCell ref="E12:I12"/>
    <mergeCell ref="K12:L12"/>
    <mergeCell ref="O12:P12"/>
    <mergeCell ref="Q12:U12"/>
    <mergeCell ref="W12:X12"/>
    <mergeCell ref="A11:A12"/>
    <mergeCell ref="B11:B12"/>
    <mergeCell ref="C11:D11"/>
    <mergeCell ref="E11:I11"/>
    <mergeCell ref="K11:L11"/>
    <mergeCell ref="M11:M12"/>
    <mergeCell ref="A9:A10"/>
    <mergeCell ref="B9:B10"/>
    <mergeCell ref="C9:D9"/>
    <mergeCell ref="E9:I9"/>
    <mergeCell ref="K9:L9"/>
    <mergeCell ref="M9:M10"/>
    <mergeCell ref="W7:X7"/>
    <mergeCell ref="C8:D8"/>
    <mergeCell ref="E8:I8"/>
    <mergeCell ref="K8:L8"/>
    <mergeCell ref="O8:P8"/>
    <mergeCell ref="Q8:U8"/>
    <mergeCell ref="W8:X8"/>
    <mergeCell ref="N9:N10"/>
    <mergeCell ref="O9:P9"/>
    <mergeCell ref="Q9:U9"/>
    <mergeCell ref="W9:X9"/>
    <mergeCell ref="C10:D10"/>
    <mergeCell ref="E10:I10"/>
    <mergeCell ref="K10:L10"/>
    <mergeCell ref="O10:P10"/>
    <mergeCell ref="Q10:U10"/>
    <mergeCell ref="W10:X10"/>
    <mergeCell ref="A4:F4"/>
    <mergeCell ref="C6:D6"/>
    <mergeCell ref="E6:I6"/>
    <mergeCell ref="K6:L6"/>
    <mergeCell ref="O6:P6"/>
    <mergeCell ref="Q6:U6"/>
    <mergeCell ref="W6:X6"/>
    <mergeCell ref="A7:A8"/>
    <mergeCell ref="B7:B8"/>
    <mergeCell ref="C7:D7"/>
    <mergeCell ref="E7:I7"/>
    <mergeCell ref="K7:L7"/>
    <mergeCell ref="M7:M8"/>
    <mergeCell ref="N7:N8"/>
    <mergeCell ref="O7:P7"/>
    <mergeCell ref="Q7:U7"/>
    <mergeCell ref="E66:I66"/>
    <mergeCell ref="K66:L66"/>
    <mergeCell ref="E67:I67"/>
    <mergeCell ref="K67:L67"/>
    <mergeCell ref="E58:I58"/>
    <mergeCell ref="K58:L58"/>
    <mergeCell ref="E59:I59"/>
    <mergeCell ref="K59:L59"/>
    <mergeCell ref="E60:I60"/>
    <mergeCell ref="K60:L60"/>
    <mergeCell ref="E64:I64"/>
    <mergeCell ref="K64:L64"/>
    <mergeCell ref="E65:I65"/>
    <mergeCell ref="K65:L65"/>
    <mergeCell ref="E61:I61"/>
    <mergeCell ref="K61:L61"/>
    <mergeCell ref="E62:I62"/>
    <mergeCell ref="K62:L62"/>
    <mergeCell ref="E63:I63"/>
    <mergeCell ref="K63:L63"/>
    <mergeCell ref="E68:I68"/>
    <mergeCell ref="K68:L68"/>
    <mergeCell ref="E69:I69"/>
    <mergeCell ref="K69:L69"/>
    <mergeCell ref="E70:I70"/>
    <mergeCell ref="K70:L70"/>
    <mergeCell ref="E71:I71"/>
    <mergeCell ref="K71:L71"/>
    <mergeCell ref="E72:I72"/>
    <mergeCell ref="K72:L72"/>
    <mergeCell ref="E78:I78"/>
    <mergeCell ref="K78:L78"/>
    <mergeCell ref="E79:I79"/>
    <mergeCell ref="K79:L79"/>
    <mergeCell ref="E80:I80"/>
    <mergeCell ref="K80:L80"/>
    <mergeCell ref="E73:I73"/>
    <mergeCell ref="K73:L73"/>
    <mergeCell ref="E74:I74"/>
    <mergeCell ref="K74:L74"/>
    <mergeCell ref="E75:I75"/>
    <mergeCell ref="K75:L75"/>
    <mergeCell ref="E76:I76"/>
    <mergeCell ref="K76:L76"/>
    <mergeCell ref="E77:I77"/>
    <mergeCell ref="K77:L77"/>
  </mergeCells>
  <phoneticPr fontId="8"/>
  <dataValidations count="1">
    <dataValidation allowBlank="1" showDropDown="1" showInputMessage="1" showErrorMessage="1" sqref="B7:B8" xr:uid="{00000000-0002-0000-0300-000000000000}"/>
  </dataValidations>
  <pageMargins left="0.78740157480314965" right="0.78740157480314965" top="0.98425196850393704" bottom="0.98425196850393704" header="0.51181102362204722" footer="0.51181102362204722"/>
  <pageSetup paperSize="9" scale="44" orientation="landscape" cellComments="asDisplayed" r:id="rId1"/>
  <headerFooter alignWithMargins="0"/>
  <rowBreaks count="1" manualBreakCount="1">
    <brk id="14" max="16383" man="1"/>
  </rowBreaks>
  <colBreaks count="1" manualBreakCount="1">
    <brk id="4" max="1048575" man="1"/>
  </colBreaks>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pageSetUpPr fitToPage="1"/>
  </sheetPr>
  <dimension ref="A1:X70"/>
  <sheetViews>
    <sheetView view="pageBreakPreview" topLeftCell="A16" zoomScaleNormal="90" zoomScaleSheetLayoutView="100" workbookViewId="0">
      <selection activeCell="Q19" sqref="Q19:V19"/>
    </sheetView>
  </sheetViews>
  <sheetFormatPr defaultColWidth="9" defaultRowHeight="13.2"/>
  <cols>
    <col min="1" max="12" width="9" style="18"/>
    <col min="13" max="13" width="9.44140625" style="18" bestFit="1" customWidth="1"/>
    <col min="14" max="25" width="9" style="18"/>
    <col min="26" max="26" width="17.21875" style="18" customWidth="1"/>
    <col min="27" max="16384" width="9" style="18"/>
  </cols>
  <sheetData>
    <row r="1" spans="1:24" ht="24" thickBot="1">
      <c r="A1" s="1" t="s">
        <v>19</v>
      </c>
      <c r="B1" s="2"/>
      <c r="C1" s="67"/>
      <c r="D1" s="67"/>
      <c r="E1" s="67"/>
      <c r="F1" s="67"/>
      <c r="G1" s="67"/>
      <c r="H1" s="67"/>
      <c r="I1" s="3"/>
      <c r="J1" s="273"/>
      <c r="K1" s="67"/>
      <c r="L1" s="67"/>
      <c r="M1" s="67"/>
      <c r="N1" s="67"/>
      <c r="O1" s="67"/>
      <c r="P1" s="67"/>
      <c r="Q1" s="67"/>
      <c r="R1" s="67"/>
      <c r="S1" s="67"/>
      <c r="T1" s="67"/>
      <c r="U1" s="67"/>
      <c r="V1" s="67"/>
      <c r="W1" s="67"/>
      <c r="X1" s="67"/>
    </row>
    <row r="2" spans="1:24" ht="17.25" customHeight="1" thickTop="1">
      <c r="A2" s="4"/>
      <c r="B2" s="5"/>
      <c r="I2" s="6"/>
    </row>
    <row r="3" spans="1:24" ht="17.25" customHeight="1">
      <c r="A3" s="4"/>
      <c r="B3" s="5"/>
      <c r="I3" s="6"/>
      <c r="O3"/>
    </row>
    <row r="4" spans="1:24" s="7" customFormat="1" ht="18" customHeight="1">
      <c r="A4" s="899" t="s">
        <v>120</v>
      </c>
      <c r="B4" s="900"/>
      <c r="C4" s="900"/>
      <c r="D4" s="900"/>
      <c r="E4" s="900"/>
      <c r="F4" s="901"/>
    </row>
    <row r="5" spans="1:24" s="7" customFormat="1" ht="14.1" customHeight="1"/>
    <row r="6" spans="1:24" s="10" customFormat="1" ht="14.1" customHeight="1">
      <c r="A6" s="8" t="s">
        <v>5</v>
      </c>
      <c r="B6" s="8" t="s">
        <v>6</v>
      </c>
      <c r="C6" s="902" t="s">
        <v>7</v>
      </c>
      <c r="D6" s="903"/>
      <c r="E6" s="902" t="s">
        <v>8</v>
      </c>
      <c r="F6" s="904"/>
      <c r="G6" s="904"/>
      <c r="H6" s="904"/>
      <c r="I6" s="904"/>
      <c r="J6" s="903"/>
      <c r="K6" s="902" t="s">
        <v>9</v>
      </c>
      <c r="L6" s="904"/>
      <c r="M6" s="271" t="s">
        <v>5</v>
      </c>
      <c r="N6" s="8" t="s">
        <v>6</v>
      </c>
      <c r="O6" s="902" t="s">
        <v>7</v>
      </c>
      <c r="P6" s="903"/>
      <c r="Q6" s="902" t="s">
        <v>8</v>
      </c>
      <c r="R6" s="904"/>
      <c r="S6" s="904"/>
      <c r="T6" s="904"/>
      <c r="U6" s="904"/>
      <c r="V6" s="903"/>
      <c r="W6" s="902" t="s">
        <v>9</v>
      </c>
      <c r="X6" s="903"/>
    </row>
    <row r="7" spans="1:24" s="7" customFormat="1" ht="13.5" customHeight="1">
      <c r="A7" s="963">
        <v>45047</v>
      </c>
      <c r="B7" s="965" t="s">
        <v>685</v>
      </c>
      <c r="C7" s="889"/>
      <c r="D7" s="890"/>
      <c r="E7" s="960"/>
      <c r="F7" s="887"/>
      <c r="G7" s="887"/>
      <c r="H7" s="887"/>
      <c r="I7" s="887"/>
      <c r="J7" s="888"/>
      <c r="K7" s="966"/>
      <c r="L7" s="967"/>
      <c r="M7" s="968">
        <v>45062</v>
      </c>
      <c r="N7" s="969" t="s">
        <v>686</v>
      </c>
      <c r="O7" s="889"/>
      <c r="P7" s="890"/>
      <c r="Q7" s="970"/>
      <c r="R7" s="912"/>
      <c r="S7" s="912"/>
      <c r="T7" s="912"/>
      <c r="U7" s="912"/>
      <c r="V7" s="913"/>
      <c r="W7" s="955"/>
      <c r="X7" s="956"/>
    </row>
    <row r="8" spans="1:24" s="7" customFormat="1" ht="13.5" customHeight="1">
      <c r="A8" s="964"/>
      <c r="B8" s="908"/>
      <c r="C8" s="889"/>
      <c r="D8" s="890"/>
      <c r="E8" s="957"/>
      <c r="F8" s="958"/>
      <c r="G8" s="958"/>
      <c r="H8" s="958"/>
      <c r="I8" s="958"/>
      <c r="J8" s="959"/>
      <c r="K8" s="889"/>
      <c r="L8" s="896"/>
      <c r="M8" s="916"/>
      <c r="N8" s="908"/>
      <c r="O8" s="889"/>
      <c r="P8" s="890"/>
      <c r="Q8" s="960"/>
      <c r="R8" s="961"/>
      <c r="S8" s="961"/>
      <c r="T8" s="961"/>
      <c r="U8" s="961"/>
      <c r="V8" s="962"/>
      <c r="W8" s="889"/>
      <c r="X8" s="890"/>
    </row>
    <row r="9" spans="1:24" s="7" customFormat="1" ht="13.5" customHeight="1">
      <c r="A9" s="972">
        <v>45048</v>
      </c>
      <c r="B9" s="965" t="s">
        <v>686</v>
      </c>
      <c r="C9" s="889"/>
      <c r="D9" s="890"/>
      <c r="E9" s="960"/>
      <c r="F9" s="887"/>
      <c r="G9" s="887"/>
      <c r="H9" s="887"/>
      <c r="I9" s="887"/>
      <c r="J9" s="888"/>
      <c r="K9" s="966"/>
      <c r="L9" s="967"/>
      <c r="M9" s="974">
        <v>45063</v>
      </c>
      <c r="N9" s="965" t="s">
        <v>687</v>
      </c>
      <c r="O9" s="889"/>
      <c r="P9" s="890"/>
      <c r="Q9" s="960"/>
      <c r="R9" s="887"/>
      <c r="S9" s="887"/>
      <c r="T9" s="887"/>
      <c r="U9" s="887"/>
      <c r="V9" s="888"/>
      <c r="W9" s="966"/>
      <c r="X9" s="971"/>
    </row>
    <row r="10" spans="1:24" s="7" customFormat="1" ht="13.5" customHeight="1">
      <c r="A10" s="973"/>
      <c r="B10" s="908"/>
      <c r="C10" s="889"/>
      <c r="D10" s="890"/>
      <c r="E10" s="957"/>
      <c r="F10" s="958"/>
      <c r="G10" s="958"/>
      <c r="H10" s="958"/>
      <c r="I10" s="958"/>
      <c r="J10" s="959"/>
      <c r="K10" s="889"/>
      <c r="L10" s="896"/>
      <c r="M10" s="975"/>
      <c r="N10" s="908"/>
      <c r="O10" s="889"/>
      <c r="P10" s="890"/>
      <c r="Q10" s="886"/>
      <c r="R10" s="887"/>
      <c r="S10" s="887"/>
      <c r="T10" s="887"/>
      <c r="U10" s="887"/>
      <c r="V10" s="888"/>
      <c r="W10" s="889"/>
      <c r="X10" s="890"/>
    </row>
    <row r="11" spans="1:24" s="7" customFormat="1" ht="13.5" customHeight="1">
      <c r="A11" s="976">
        <v>45049</v>
      </c>
      <c r="B11" s="924" t="s">
        <v>687</v>
      </c>
      <c r="C11" s="889"/>
      <c r="D11" s="890"/>
      <c r="E11" s="960"/>
      <c r="F11" s="887"/>
      <c r="G11" s="887"/>
      <c r="H11" s="887"/>
      <c r="I11" s="887"/>
      <c r="J11" s="888"/>
      <c r="K11" s="966"/>
      <c r="L11" s="967"/>
      <c r="M11" s="974">
        <v>45064</v>
      </c>
      <c r="N11" s="965" t="s">
        <v>688</v>
      </c>
      <c r="O11" s="977"/>
      <c r="P11" s="978"/>
      <c r="Q11" s="979"/>
      <c r="R11" s="980"/>
      <c r="S11" s="980"/>
      <c r="T11" s="980"/>
      <c r="U11" s="980"/>
      <c r="V11" s="981"/>
      <c r="W11" s="982"/>
      <c r="X11" s="983"/>
    </row>
    <row r="12" spans="1:24" s="7" customFormat="1" ht="13.5" customHeight="1">
      <c r="A12" s="973"/>
      <c r="B12" s="908"/>
      <c r="C12" s="889"/>
      <c r="D12" s="890"/>
      <c r="E12" s="957"/>
      <c r="F12" s="958"/>
      <c r="G12" s="958"/>
      <c r="H12" s="958"/>
      <c r="I12" s="958"/>
      <c r="J12" s="959"/>
      <c r="K12" s="889"/>
      <c r="L12" s="896"/>
      <c r="M12" s="975"/>
      <c r="N12" s="908"/>
      <c r="O12" s="977"/>
      <c r="P12" s="978"/>
      <c r="Q12" s="984"/>
      <c r="R12" s="980"/>
      <c r="S12" s="980"/>
      <c r="T12" s="980"/>
      <c r="U12" s="980"/>
      <c r="V12" s="981"/>
      <c r="W12" s="977"/>
      <c r="X12" s="978"/>
    </row>
    <row r="13" spans="1:24" s="7" customFormat="1" ht="13.5" customHeight="1">
      <c r="A13" s="976">
        <v>45050</v>
      </c>
      <c r="B13" s="924" t="s">
        <v>688</v>
      </c>
      <c r="C13" s="889"/>
      <c r="D13" s="890"/>
      <c r="E13" s="960"/>
      <c r="F13" s="887"/>
      <c r="G13" s="887"/>
      <c r="H13" s="887"/>
      <c r="I13" s="887"/>
      <c r="J13" s="888"/>
      <c r="K13" s="966"/>
      <c r="L13" s="967"/>
      <c r="M13" s="974">
        <v>45065</v>
      </c>
      <c r="N13" s="965" t="s">
        <v>689</v>
      </c>
      <c r="O13" s="889"/>
      <c r="P13" s="890"/>
      <c r="Q13" s="960"/>
      <c r="R13" s="887"/>
      <c r="S13" s="887"/>
      <c r="T13" s="887"/>
      <c r="U13" s="887"/>
      <c r="V13" s="888"/>
      <c r="W13" s="966"/>
      <c r="X13" s="971"/>
    </row>
    <row r="14" spans="1:24" s="7" customFormat="1" ht="13.5" customHeight="1">
      <c r="A14" s="973"/>
      <c r="B14" s="908"/>
      <c r="C14" s="985"/>
      <c r="D14" s="986"/>
      <c r="E14" s="886"/>
      <c r="F14" s="887"/>
      <c r="G14" s="887"/>
      <c r="H14" s="887"/>
      <c r="I14" s="887"/>
      <c r="J14" s="888"/>
      <c r="K14" s="889"/>
      <c r="L14" s="896"/>
      <c r="M14" s="975"/>
      <c r="N14" s="908"/>
      <c r="O14" s="889"/>
      <c r="P14" s="890"/>
      <c r="Q14" s="960"/>
      <c r="R14" s="887"/>
      <c r="S14" s="887"/>
      <c r="T14" s="887"/>
      <c r="U14" s="887"/>
      <c r="V14" s="888"/>
      <c r="W14" s="966"/>
      <c r="X14" s="971"/>
    </row>
    <row r="15" spans="1:24" s="7" customFormat="1" ht="13.5" customHeight="1">
      <c r="A15" s="976">
        <v>45051</v>
      </c>
      <c r="B15" s="924" t="s">
        <v>689</v>
      </c>
      <c r="C15" s="889"/>
      <c r="D15" s="890"/>
      <c r="E15" s="886"/>
      <c r="F15" s="887"/>
      <c r="G15" s="887"/>
      <c r="H15" s="887"/>
      <c r="I15" s="887"/>
      <c r="J15" s="888"/>
      <c r="K15" s="966"/>
      <c r="L15" s="967"/>
      <c r="M15" s="987">
        <v>45066</v>
      </c>
      <c r="N15" s="925" t="s">
        <v>690</v>
      </c>
      <c r="O15" s="889"/>
      <c r="P15" s="890"/>
      <c r="Q15" s="960"/>
      <c r="R15" s="887"/>
      <c r="S15" s="887"/>
      <c r="T15" s="887"/>
      <c r="U15" s="887"/>
      <c r="V15" s="888"/>
      <c r="W15" s="966"/>
      <c r="X15" s="971"/>
    </row>
    <row r="16" spans="1:24" s="7" customFormat="1" ht="13.5" customHeight="1">
      <c r="A16" s="973"/>
      <c r="B16" s="908"/>
      <c r="C16" s="889"/>
      <c r="D16" s="890"/>
      <c r="E16" s="886"/>
      <c r="F16" s="887"/>
      <c r="G16" s="887"/>
      <c r="H16" s="887"/>
      <c r="I16" s="887"/>
      <c r="J16" s="888"/>
      <c r="K16" s="889"/>
      <c r="L16" s="896"/>
      <c r="M16" s="975"/>
      <c r="N16" s="908"/>
      <c r="O16" s="889"/>
      <c r="P16" s="890"/>
      <c r="Q16" s="957"/>
      <c r="R16" s="958"/>
      <c r="S16" s="958"/>
      <c r="T16" s="958"/>
      <c r="U16" s="958"/>
      <c r="V16" s="959"/>
      <c r="W16" s="889"/>
      <c r="X16" s="890"/>
    </row>
    <row r="17" spans="1:24" s="7" customFormat="1" ht="13.5" customHeight="1">
      <c r="A17" s="988">
        <v>45052</v>
      </c>
      <c r="B17" s="925" t="s">
        <v>690</v>
      </c>
      <c r="C17" s="889"/>
      <c r="D17" s="890"/>
      <c r="E17" s="960"/>
      <c r="F17" s="887"/>
      <c r="G17" s="887"/>
      <c r="H17" s="887"/>
      <c r="I17" s="887"/>
      <c r="J17" s="888"/>
      <c r="K17" s="966"/>
      <c r="L17" s="967"/>
      <c r="M17" s="989">
        <v>45067</v>
      </c>
      <c r="N17" s="924" t="s">
        <v>10</v>
      </c>
      <c r="O17" s="889"/>
      <c r="P17" s="890"/>
      <c r="Q17" s="957"/>
      <c r="R17" s="958"/>
      <c r="S17" s="958"/>
      <c r="T17" s="958"/>
      <c r="U17" s="958"/>
      <c r="V17" s="959"/>
      <c r="W17" s="889"/>
      <c r="X17" s="890"/>
    </row>
    <row r="18" spans="1:24" s="7" customFormat="1" ht="13.5" customHeight="1">
      <c r="A18" s="973"/>
      <c r="B18" s="908"/>
      <c r="C18" s="889"/>
      <c r="D18" s="890"/>
      <c r="E18" s="957"/>
      <c r="F18" s="958"/>
      <c r="G18" s="958"/>
      <c r="H18" s="958"/>
      <c r="I18" s="958"/>
      <c r="J18" s="959"/>
      <c r="K18" s="889"/>
      <c r="L18" s="896"/>
      <c r="M18" s="975"/>
      <c r="N18" s="990"/>
      <c r="O18" s="889"/>
      <c r="P18" s="890"/>
      <c r="Q18" s="886"/>
      <c r="R18" s="887"/>
      <c r="S18" s="887"/>
      <c r="T18" s="887"/>
      <c r="U18" s="887"/>
      <c r="V18" s="888"/>
      <c r="W18" s="889"/>
      <c r="X18" s="890"/>
    </row>
    <row r="19" spans="1:24" s="7" customFormat="1" ht="13.5" customHeight="1">
      <c r="A19" s="976">
        <v>45053</v>
      </c>
      <c r="B19" s="924" t="s">
        <v>10</v>
      </c>
      <c r="C19" s="889"/>
      <c r="D19" s="890"/>
      <c r="E19" s="960"/>
      <c r="F19" s="887"/>
      <c r="G19" s="887"/>
      <c r="H19" s="887"/>
      <c r="I19" s="887"/>
      <c r="J19" s="888"/>
      <c r="K19" s="889"/>
      <c r="L19" s="896"/>
      <c r="M19" s="974">
        <v>45068</v>
      </c>
      <c r="N19" s="965" t="s">
        <v>685</v>
      </c>
      <c r="O19" s="889" t="s">
        <v>663</v>
      </c>
      <c r="P19" s="890"/>
      <c r="Q19" s="991" t="s">
        <v>664</v>
      </c>
      <c r="R19" s="958"/>
      <c r="S19" s="958"/>
      <c r="T19" s="958"/>
      <c r="U19" s="958"/>
      <c r="V19" s="992"/>
      <c r="W19" s="889" t="s">
        <v>665</v>
      </c>
      <c r="X19" s="890"/>
    </row>
    <row r="20" spans="1:24" s="7" customFormat="1" ht="13.5" customHeight="1">
      <c r="A20" s="973"/>
      <c r="B20" s="908"/>
      <c r="C20" s="889"/>
      <c r="D20" s="890"/>
      <c r="E20" s="957"/>
      <c r="F20" s="958"/>
      <c r="G20" s="958"/>
      <c r="H20" s="958"/>
      <c r="I20" s="958"/>
      <c r="J20" s="959"/>
      <c r="K20" s="966"/>
      <c r="L20" s="967"/>
      <c r="M20" s="975"/>
      <c r="N20" s="990"/>
      <c r="O20" s="889"/>
      <c r="P20" s="890"/>
      <c r="Q20" s="886"/>
      <c r="R20" s="887"/>
      <c r="S20" s="887"/>
      <c r="T20" s="887"/>
      <c r="U20" s="887"/>
      <c r="V20" s="993"/>
      <c r="W20" s="889"/>
      <c r="X20" s="890"/>
    </row>
    <row r="21" spans="1:24" s="7" customFormat="1" ht="13.5" customHeight="1">
      <c r="A21" s="972">
        <v>45054</v>
      </c>
      <c r="B21" s="965" t="s">
        <v>685</v>
      </c>
      <c r="C21" s="889"/>
      <c r="D21" s="890"/>
      <c r="E21" s="960"/>
      <c r="F21" s="887"/>
      <c r="G21" s="887"/>
      <c r="H21" s="887"/>
      <c r="I21" s="887"/>
      <c r="J21" s="888"/>
      <c r="K21" s="966"/>
      <c r="L21" s="967"/>
      <c r="M21" s="974">
        <v>45069</v>
      </c>
      <c r="N21" s="965" t="s">
        <v>686</v>
      </c>
      <c r="O21" s="889"/>
      <c r="P21" s="890"/>
      <c r="Q21" s="886"/>
      <c r="R21" s="887"/>
      <c r="S21" s="887"/>
      <c r="T21" s="887"/>
      <c r="U21" s="887"/>
      <c r="V21" s="888"/>
      <c r="W21" s="966"/>
      <c r="X21" s="971"/>
    </row>
    <row r="22" spans="1:24" s="7" customFormat="1" ht="13.5" customHeight="1">
      <c r="A22" s="973"/>
      <c r="B22" s="908"/>
      <c r="C22" s="889"/>
      <c r="D22" s="890"/>
      <c r="E22" s="886"/>
      <c r="F22" s="887"/>
      <c r="G22" s="887"/>
      <c r="H22" s="887"/>
      <c r="I22" s="887"/>
      <c r="J22" s="888"/>
      <c r="K22" s="889"/>
      <c r="L22" s="896"/>
      <c r="M22" s="975"/>
      <c r="N22" s="908"/>
      <c r="O22" s="889"/>
      <c r="P22" s="890"/>
      <c r="Q22" s="886"/>
      <c r="R22" s="887"/>
      <c r="S22" s="887"/>
      <c r="T22" s="887"/>
      <c r="U22" s="887"/>
      <c r="V22" s="888"/>
      <c r="W22" s="889"/>
      <c r="X22" s="890"/>
    </row>
    <row r="23" spans="1:24" s="7" customFormat="1" ht="13.5" customHeight="1">
      <c r="A23" s="972">
        <v>45055</v>
      </c>
      <c r="B23" s="965" t="s">
        <v>686</v>
      </c>
      <c r="C23" s="889"/>
      <c r="D23" s="890"/>
      <c r="E23" s="960"/>
      <c r="F23" s="887"/>
      <c r="G23" s="887"/>
      <c r="H23" s="887"/>
      <c r="I23" s="887"/>
      <c r="J23" s="888"/>
      <c r="K23" s="966"/>
      <c r="L23" s="967"/>
      <c r="M23" s="974">
        <v>45070</v>
      </c>
      <c r="N23" s="965" t="s">
        <v>687</v>
      </c>
      <c r="O23" s="889"/>
      <c r="P23" s="890"/>
      <c r="Q23" s="960"/>
      <c r="R23" s="961"/>
      <c r="S23" s="961"/>
      <c r="T23" s="961"/>
      <c r="U23" s="961"/>
      <c r="V23" s="962"/>
      <c r="W23" s="889"/>
      <c r="X23" s="890"/>
    </row>
    <row r="24" spans="1:24" s="7" customFormat="1" ht="13.5" customHeight="1">
      <c r="A24" s="973"/>
      <c r="B24" s="908"/>
      <c r="C24" s="889"/>
      <c r="D24" s="890"/>
      <c r="E24" s="960"/>
      <c r="F24" s="887"/>
      <c r="G24" s="887"/>
      <c r="H24" s="887"/>
      <c r="I24" s="887"/>
      <c r="J24" s="888"/>
      <c r="K24" s="889"/>
      <c r="L24" s="896"/>
      <c r="M24" s="975"/>
      <c r="N24" s="908"/>
      <c r="O24" s="889"/>
      <c r="P24" s="890"/>
      <c r="Q24" s="886"/>
      <c r="R24" s="887"/>
      <c r="S24" s="887"/>
      <c r="T24" s="887"/>
      <c r="U24" s="887"/>
      <c r="V24" s="888"/>
      <c r="W24" s="889"/>
      <c r="X24" s="890"/>
    </row>
    <row r="25" spans="1:24" s="7" customFormat="1" ht="13.5" customHeight="1">
      <c r="A25" s="972">
        <v>45056</v>
      </c>
      <c r="B25" s="965" t="s">
        <v>687</v>
      </c>
      <c r="C25" s="889"/>
      <c r="D25" s="890"/>
      <c r="E25" s="960"/>
      <c r="F25" s="887"/>
      <c r="G25" s="887"/>
      <c r="H25" s="887"/>
      <c r="I25" s="887"/>
      <c r="J25" s="888"/>
      <c r="K25" s="966"/>
      <c r="L25" s="967"/>
      <c r="M25" s="974">
        <v>45071</v>
      </c>
      <c r="N25" s="965" t="s">
        <v>688</v>
      </c>
      <c r="O25" s="889"/>
      <c r="P25" s="890"/>
      <c r="Q25" s="886"/>
      <c r="R25" s="887"/>
      <c r="S25" s="887"/>
      <c r="T25" s="887"/>
      <c r="U25" s="887"/>
      <c r="V25" s="993"/>
      <c r="W25" s="889"/>
      <c r="X25" s="890"/>
    </row>
    <row r="26" spans="1:24" s="7" customFormat="1" ht="13.5" customHeight="1">
      <c r="A26" s="973"/>
      <c r="B26" s="908"/>
      <c r="C26" s="889"/>
      <c r="D26" s="890"/>
      <c r="E26" s="886"/>
      <c r="F26" s="887"/>
      <c r="G26" s="887"/>
      <c r="H26" s="887"/>
      <c r="I26" s="887"/>
      <c r="J26" s="888"/>
      <c r="K26" s="889"/>
      <c r="L26" s="896"/>
      <c r="M26" s="975"/>
      <c r="N26" s="908"/>
      <c r="O26" s="889"/>
      <c r="P26" s="890"/>
      <c r="Q26" s="886"/>
      <c r="R26" s="887"/>
      <c r="S26" s="887"/>
      <c r="T26" s="887"/>
      <c r="U26" s="887"/>
      <c r="V26" s="993"/>
      <c r="W26" s="889"/>
      <c r="X26" s="890"/>
    </row>
    <row r="27" spans="1:24" s="7" customFormat="1" ht="13.5" customHeight="1">
      <c r="A27" s="972">
        <v>45057</v>
      </c>
      <c r="B27" s="965" t="s">
        <v>688</v>
      </c>
      <c r="C27" s="994" t="s">
        <v>37</v>
      </c>
      <c r="D27" s="995"/>
      <c r="E27" s="996" t="s">
        <v>708</v>
      </c>
      <c r="F27" s="997"/>
      <c r="G27" s="997"/>
      <c r="H27" s="997"/>
      <c r="I27" s="997"/>
      <c r="J27" s="998"/>
      <c r="K27" s="999" t="s">
        <v>229</v>
      </c>
      <c r="L27" s="1000"/>
      <c r="M27" s="974">
        <v>45072</v>
      </c>
      <c r="N27" s="965" t="s">
        <v>689</v>
      </c>
      <c r="O27" s="889"/>
      <c r="P27" s="890"/>
      <c r="Q27" s="886"/>
      <c r="R27" s="887"/>
      <c r="S27" s="887"/>
      <c r="T27" s="887"/>
      <c r="U27" s="887"/>
      <c r="V27" s="993"/>
      <c r="W27" s="889"/>
      <c r="X27" s="890"/>
    </row>
    <row r="28" spans="1:24" s="7" customFormat="1" ht="13.5" customHeight="1">
      <c r="A28" s="973"/>
      <c r="B28" s="908"/>
      <c r="C28" s="889"/>
      <c r="D28" s="890"/>
      <c r="E28" s="886"/>
      <c r="F28" s="887"/>
      <c r="G28" s="887"/>
      <c r="H28" s="887"/>
      <c r="I28" s="887"/>
      <c r="J28" s="888"/>
      <c r="K28" s="889"/>
      <c r="L28" s="896"/>
      <c r="M28" s="975"/>
      <c r="N28" s="908"/>
      <c r="O28" s="889"/>
      <c r="P28" s="890"/>
      <c r="Q28" s="957"/>
      <c r="R28" s="958"/>
      <c r="S28" s="958"/>
      <c r="T28" s="958"/>
      <c r="U28" s="958"/>
      <c r="V28" s="992"/>
      <c r="W28" s="889"/>
      <c r="X28" s="890"/>
    </row>
    <row r="29" spans="1:24" s="7" customFormat="1" ht="13.5" customHeight="1">
      <c r="A29" s="972">
        <v>45058</v>
      </c>
      <c r="B29" s="965" t="s">
        <v>689</v>
      </c>
      <c r="C29" s="889"/>
      <c r="D29" s="890"/>
      <c r="E29" s="960"/>
      <c r="F29" s="887"/>
      <c r="G29" s="887"/>
      <c r="H29" s="887"/>
      <c r="I29" s="887"/>
      <c r="J29" s="888"/>
      <c r="K29" s="889"/>
      <c r="L29" s="896"/>
      <c r="M29" s="987">
        <v>45073</v>
      </c>
      <c r="N29" s="925" t="s">
        <v>690</v>
      </c>
      <c r="O29" s="889"/>
      <c r="P29" s="890"/>
      <c r="Q29" s="960"/>
      <c r="R29" s="887"/>
      <c r="S29" s="887"/>
      <c r="T29" s="887"/>
      <c r="U29" s="887"/>
      <c r="V29" s="888"/>
      <c r="W29" s="966"/>
      <c r="X29" s="971"/>
    </row>
    <row r="30" spans="1:24" s="7" customFormat="1" ht="13.5" customHeight="1">
      <c r="A30" s="973"/>
      <c r="B30" s="908"/>
      <c r="C30" s="889"/>
      <c r="D30" s="890"/>
      <c r="E30" s="960"/>
      <c r="F30" s="887"/>
      <c r="G30" s="887"/>
      <c r="H30" s="887"/>
      <c r="I30" s="887"/>
      <c r="J30" s="888"/>
      <c r="K30" s="966"/>
      <c r="L30" s="967"/>
      <c r="M30" s="975"/>
      <c r="N30" s="908"/>
      <c r="O30" s="889"/>
      <c r="P30" s="890"/>
      <c r="Q30" s="886"/>
      <c r="R30" s="887"/>
      <c r="S30" s="887"/>
      <c r="T30" s="887"/>
      <c r="U30" s="887"/>
      <c r="V30" s="993"/>
      <c r="W30" s="889"/>
      <c r="X30" s="890"/>
    </row>
    <row r="31" spans="1:24" s="7" customFormat="1" ht="13.5" customHeight="1">
      <c r="A31" s="988">
        <v>45059</v>
      </c>
      <c r="B31" s="925" t="s">
        <v>690</v>
      </c>
      <c r="C31" s="889"/>
      <c r="D31" s="890"/>
      <c r="E31" s="886"/>
      <c r="F31" s="887"/>
      <c r="G31" s="887"/>
      <c r="H31" s="887"/>
      <c r="I31" s="887"/>
      <c r="J31" s="888"/>
      <c r="K31" s="889"/>
      <c r="L31" s="896"/>
      <c r="M31" s="989">
        <v>45074</v>
      </c>
      <c r="N31" s="924" t="s">
        <v>10</v>
      </c>
      <c r="O31" s="889"/>
      <c r="P31" s="890"/>
      <c r="Q31" s="886"/>
      <c r="R31" s="887"/>
      <c r="S31" s="887"/>
      <c r="T31" s="887"/>
      <c r="U31" s="887"/>
      <c r="V31" s="993"/>
      <c r="W31" s="939"/>
      <c r="X31" s="890"/>
    </row>
    <row r="32" spans="1:24" s="7" customFormat="1" ht="13.5" customHeight="1">
      <c r="A32" s="973"/>
      <c r="B32" s="908"/>
      <c r="C32" s="889"/>
      <c r="D32" s="890"/>
      <c r="E32" s="886"/>
      <c r="F32" s="887"/>
      <c r="G32" s="887"/>
      <c r="H32" s="887"/>
      <c r="I32" s="887"/>
      <c r="J32" s="888"/>
      <c r="K32" s="889"/>
      <c r="L32" s="896"/>
      <c r="M32" s="975"/>
      <c r="N32" s="990"/>
      <c r="O32" s="889"/>
      <c r="P32" s="890"/>
      <c r="Q32" s="886"/>
      <c r="R32" s="887"/>
      <c r="S32" s="887"/>
      <c r="T32" s="887"/>
      <c r="U32" s="887"/>
      <c r="V32" s="888"/>
      <c r="W32" s="889"/>
      <c r="X32" s="890"/>
    </row>
    <row r="33" spans="1:24" s="7" customFormat="1" ht="13.5" customHeight="1">
      <c r="A33" s="976">
        <v>45060</v>
      </c>
      <c r="B33" s="924" t="s">
        <v>10</v>
      </c>
      <c r="C33" s="889"/>
      <c r="D33" s="890"/>
      <c r="E33" s="960"/>
      <c r="F33" s="887"/>
      <c r="G33" s="887"/>
      <c r="H33" s="887"/>
      <c r="I33" s="887"/>
      <c r="J33" s="888"/>
      <c r="K33" s="889"/>
      <c r="L33" s="896"/>
      <c r="M33" s="974">
        <v>45075</v>
      </c>
      <c r="N33" s="965" t="s">
        <v>685</v>
      </c>
      <c r="O33" s="889"/>
      <c r="P33" s="890"/>
      <c r="Q33" s="960"/>
      <c r="R33" s="887"/>
      <c r="S33" s="887"/>
      <c r="T33" s="887"/>
      <c r="U33" s="887"/>
      <c r="V33" s="888"/>
      <c r="W33" s="889"/>
      <c r="X33" s="890"/>
    </row>
    <row r="34" spans="1:24" s="7" customFormat="1" ht="13.5" customHeight="1">
      <c r="A34" s="973"/>
      <c r="B34" s="908"/>
      <c r="C34" s="889"/>
      <c r="D34" s="890"/>
      <c r="E34" s="886"/>
      <c r="F34" s="887"/>
      <c r="G34" s="887"/>
      <c r="H34" s="887"/>
      <c r="I34" s="887"/>
      <c r="J34" s="888"/>
      <c r="K34" s="889"/>
      <c r="L34" s="896"/>
      <c r="M34" s="975"/>
      <c r="N34" s="990"/>
      <c r="O34" s="889"/>
      <c r="P34" s="890"/>
      <c r="Q34" s="886"/>
      <c r="R34" s="887"/>
      <c r="S34" s="887"/>
      <c r="T34" s="887"/>
      <c r="U34" s="887"/>
      <c r="V34" s="888"/>
      <c r="W34" s="889"/>
      <c r="X34" s="890"/>
    </row>
    <row r="35" spans="1:24" s="7" customFormat="1" ht="13.5" customHeight="1">
      <c r="A35" s="972">
        <v>45061</v>
      </c>
      <c r="B35" s="965" t="s">
        <v>685</v>
      </c>
      <c r="C35" s="889"/>
      <c r="D35" s="890"/>
      <c r="E35" s="886"/>
      <c r="F35" s="887"/>
      <c r="G35" s="887"/>
      <c r="H35" s="887"/>
      <c r="I35" s="887"/>
      <c r="J35" s="888"/>
      <c r="K35" s="889"/>
      <c r="L35" s="890"/>
      <c r="M35" s="974">
        <v>45076</v>
      </c>
      <c r="N35" s="965" t="s">
        <v>686</v>
      </c>
      <c r="O35" s="889"/>
      <c r="P35" s="890"/>
      <c r="Q35" s="960"/>
      <c r="R35" s="887"/>
      <c r="S35" s="887"/>
      <c r="T35" s="887"/>
      <c r="U35" s="887"/>
      <c r="V35" s="888"/>
      <c r="W35" s="889"/>
      <c r="X35" s="890"/>
    </row>
    <row r="36" spans="1:24" s="7" customFormat="1" ht="13.5" customHeight="1">
      <c r="A36" s="973"/>
      <c r="B36" s="908"/>
      <c r="C36" s="889"/>
      <c r="D36" s="890"/>
      <c r="E36" s="886"/>
      <c r="F36" s="887"/>
      <c r="G36" s="887"/>
      <c r="H36" s="887"/>
      <c r="I36" s="887"/>
      <c r="J36" s="888"/>
      <c r="K36" s="889"/>
      <c r="L36" s="896"/>
      <c r="M36" s="975"/>
      <c r="N36" s="908"/>
      <c r="O36" s="889"/>
      <c r="P36" s="890"/>
      <c r="Q36" s="886"/>
      <c r="R36" s="887"/>
      <c r="S36" s="887"/>
      <c r="T36" s="887"/>
      <c r="U36" s="887"/>
      <c r="V36" s="888"/>
      <c r="W36" s="889"/>
      <c r="X36" s="890"/>
    </row>
    <row r="37" spans="1:24" s="7" customFormat="1" ht="13.5" customHeight="1">
      <c r="A37" s="972"/>
      <c r="B37" s="1002"/>
      <c r="C37" s="889"/>
      <c r="D37" s="890"/>
      <c r="E37" s="886"/>
      <c r="F37" s="887"/>
      <c r="G37" s="887"/>
      <c r="H37" s="887"/>
      <c r="I37" s="887"/>
      <c r="J37" s="888"/>
      <c r="K37" s="889"/>
      <c r="L37" s="896"/>
      <c r="M37" s="974">
        <v>45077</v>
      </c>
      <c r="N37" s="965" t="s">
        <v>687</v>
      </c>
      <c r="O37" s="889"/>
      <c r="P37" s="890"/>
      <c r="Q37" s="960"/>
      <c r="R37" s="887"/>
      <c r="S37" s="887"/>
      <c r="T37" s="887"/>
      <c r="U37" s="887"/>
      <c r="V37" s="888"/>
      <c r="W37" s="889"/>
      <c r="X37" s="890"/>
    </row>
    <row r="38" spans="1:24" s="7" customFormat="1" ht="13.5" customHeight="1">
      <c r="A38" s="973"/>
      <c r="B38" s="938"/>
      <c r="C38" s="889"/>
      <c r="D38" s="890"/>
      <c r="E38" s="886"/>
      <c r="F38" s="887"/>
      <c r="G38" s="887"/>
      <c r="H38" s="887"/>
      <c r="I38" s="887"/>
      <c r="J38" s="888"/>
      <c r="K38" s="889"/>
      <c r="L38" s="896"/>
      <c r="M38" s="975"/>
      <c r="N38" s="1001"/>
      <c r="O38" s="889"/>
      <c r="P38" s="890"/>
      <c r="Q38" s="886"/>
      <c r="R38" s="887"/>
      <c r="S38" s="887"/>
      <c r="T38" s="887"/>
      <c r="U38" s="887"/>
      <c r="V38" s="888"/>
      <c r="W38" s="889"/>
      <c r="X38" s="890"/>
    </row>
    <row r="39" spans="1:24" s="7" customFormat="1" ht="14.1" customHeight="1">
      <c r="A39" s="972"/>
      <c r="B39" s="1004"/>
      <c r="C39" s="1005"/>
      <c r="D39" s="1006"/>
      <c r="E39" s="1007"/>
      <c r="F39" s="1008"/>
      <c r="G39" s="1008"/>
      <c r="H39" s="1008"/>
      <c r="I39" s="1008"/>
      <c r="J39" s="1009"/>
      <c r="K39" s="1010"/>
      <c r="L39" s="1011"/>
      <c r="M39" s="974"/>
      <c r="N39" s="1013"/>
      <c r="O39" s="889"/>
      <c r="P39" s="890"/>
      <c r="Q39" s="886"/>
      <c r="R39" s="887"/>
      <c r="S39" s="887"/>
      <c r="T39" s="887"/>
      <c r="U39" s="887"/>
      <c r="V39" s="888"/>
      <c r="W39" s="889"/>
      <c r="X39" s="890"/>
    </row>
    <row r="40" spans="1:24" s="7" customFormat="1" ht="14.1" customHeight="1">
      <c r="A40" s="1003"/>
      <c r="B40" s="945"/>
      <c r="C40" s="946"/>
      <c r="D40" s="947"/>
      <c r="E40" s="948"/>
      <c r="F40" s="949"/>
      <c r="G40" s="949"/>
      <c r="H40" s="949"/>
      <c r="I40" s="949"/>
      <c r="J40" s="950"/>
      <c r="K40" s="946"/>
      <c r="L40" s="1015"/>
      <c r="M40" s="1012"/>
      <c r="N40" s="1014"/>
      <c r="O40" s="946"/>
      <c r="P40" s="947"/>
      <c r="Q40" s="948"/>
      <c r="R40" s="949"/>
      <c r="S40" s="949"/>
      <c r="T40" s="949"/>
      <c r="U40" s="949"/>
      <c r="V40" s="950"/>
      <c r="W40" s="946"/>
      <c r="X40" s="947"/>
    </row>
    <row r="41" spans="1:24" s="7" customFormat="1" ht="14.1" customHeight="1"/>
    <row r="42" spans="1:24" s="7" customFormat="1" ht="14.1" customHeight="1"/>
    <row r="43" spans="1:24" s="7" customFormat="1" ht="14.1" customHeight="1"/>
    <row r="44" spans="1:24" s="7" customFormat="1" ht="14.1" customHeight="1">
      <c r="C44" s="1016" t="s">
        <v>572</v>
      </c>
      <c r="D44" s="1016"/>
      <c r="E44" s="1016" t="s">
        <v>573</v>
      </c>
      <c r="F44" s="1016"/>
      <c r="G44" s="1016"/>
      <c r="H44" s="1016"/>
      <c r="I44" s="1016"/>
      <c r="J44" s="1016"/>
    </row>
    <row r="45" spans="1:24" s="7" customFormat="1" ht="14.1" customHeight="1">
      <c r="C45" s="1016" t="s">
        <v>574</v>
      </c>
      <c r="D45" s="1016"/>
      <c r="E45" s="1016" t="s">
        <v>575</v>
      </c>
      <c r="F45" s="1016"/>
      <c r="G45" s="1016"/>
      <c r="H45" s="1016"/>
      <c r="I45" s="1016"/>
      <c r="J45" s="1016"/>
    </row>
    <row r="46" spans="1:24" s="7" customFormat="1" ht="14.1" customHeight="1">
      <c r="C46" s="1016" t="s">
        <v>576</v>
      </c>
      <c r="D46" s="1016"/>
      <c r="E46" s="1016" t="s">
        <v>577</v>
      </c>
      <c r="F46" s="1016"/>
      <c r="G46" s="1016"/>
      <c r="H46" s="1016"/>
      <c r="I46" s="1016"/>
      <c r="J46" s="1016"/>
    </row>
    <row r="47" spans="1:24" s="7" customFormat="1" ht="14.1" customHeight="1">
      <c r="C47" s="1016" t="s">
        <v>576</v>
      </c>
      <c r="D47" s="1016"/>
      <c r="E47" s="1016" t="s">
        <v>578</v>
      </c>
      <c r="F47" s="1016"/>
      <c r="G47" s="1016"/>
      <c r="H47" s="1016"/>
      <c r="I47" s="1016"/>
      <c r="J47" s="1016"/>
    </row>
    <row r="48" spans="1:24" s="7" customFormat="1" ht="14.1" customHeight="1">
      <c r="C48" s="1016" t="s">
        <v>576</v>
      </c>
      <c r="D48" s="1016"/>
      <c r="E48" s="1016" t="s">
        <v>579</v>
      </c>
      <c r="F48" s="1016"/>
      <c r="G48" s="1016"/>
      <c r="H48" s="1016"/>
      <c r="I48" s="1016"/>
      <c r="J48" s="1016"/>
    </row>
    <row r="49" spans="1:24" s="7" customFormat="1" ht="14.1" customHeight="1">
      <c r="C49" s="1016"/>
      <c r="D49" s="1016"/>
      <c r="E49" s="1016"/>
      <c r="F49" s="1016"/>
      <c r="G49" s="1016"/>
      <c r="H49" s="1016"/>
      <c r="I49" s="1016"/>
      <c r="J49" s="1016"/>
    </row>
    <row r="50" spans="1:24" s="7" customFormat="1" ht="14.1" customHeight="1">
      <c r="C50" s="1016"/>
      <c r="D50" s="1016"/>
      <c r="E50" s="1016"/>
      <c r="F50" s="1016"/>
      <c r="G50" s="1016"/>
      <c r="H50" s="1016"/>
      <c r="I50" s="1016"/>
      <c r="J50" s="1016"/>
    </row>
    <row r="51" spans="1:24" s="7" customFormat="1" ht="14.1" customHeight="1">
      <c r="C51" s="1016"/>
      <c r="D51" s="1016"/>
      <c r="E51" s="1016"/>
      <c r="F51" s="1016"/>
      <c r="G51" s="1016"/>
      <c r="H51" s="1016"/>
      <c r="I51" s="1016"/>
      <c r="J51" s="1016"/>
    </row>
    <row r="52" spans="1:24" s="7" customFormat="1" ht="14.1" customHeight="1">
      <c r="C52" s="1016"/>
      <c r="D52" s="1016"/>
      <c r="E52" s="1016"/>
      <c r="F52" s="1016"/>
      <c r="G52" s="1016"/>
      <c r="H52" s="1016"/>
      <c r="I52" s="1016"/>
      <c r="J52" s="1016"/>
    </row>
    <row r="53" spans="1:24" s="7" customFormat="1" ht="14.1" customHeight="1">
      <c r="C53" s="1016"/>
      <c r="D53" s="1016"/>
      <c r="E53" s="1016"/>
      <c r="F53" s="1016"/>
      <c r="G53" s="1016"/>
      <c r="H53" s="1016"/>
      <c r="I53" s="1016"/>
      <c r="J53" s="1016"/>
    </row>
    <row r="54" spans="1:24" s="7" customFormat="1" ht="14.1" customHeight="1">
      <c r="C54" s="1016"/>
      <c r="D54" s="1016"/>
      <c r="E54" s="1016"/>
      <c r="F54" s="1016"/>
      <c r="G54" s="1016"/>
      <c r="H54" s="1016"/>
      <c r="I54" s="1016"/>
      <c r="J54" s="1016"/>
    </row>
    <row r="55" spans="1:24" s="7" customFormat="1" ht="14.1" customHeight="1">
      <c r="C55" s="1016"/>
      <c r="D55" s="1016"/>
      <c r="E55" s="1016"/>
      <c r="F55" s="1016"/>
      <c r="G55" s="1016"/>
      <c r="H55" s="1016"/>
      <c r="I55" s="1016"/>
      <c r="J55" s="1016"/>
    </row>
    <row r="56" spans="1:24" s="7" customFormat="1" ht="14.1" customHeight="1">
      <c r="C56" s="1016"/>
      <c r="D56" s="1016"/>
      <c r="E56" s="1016"/>
      <c r="F56" s="1016"/>
      <c r="G56" s="1016"/>
      <c r="H56" s="1016"/>
      <c r="I56" s="1016"/>
      <c r="J56" s="1016"/>
    </row>
    <row r="57" spans="1:24" s="7" customFormat="1" ht="14.1" customHeight="1">
      <c r="C57" s="1016"/>
      <c r="D57" s="1016"/>
      <c r="E57" s="1016"/>
      <c r="F57" s="1016"/>
      <c r="G57" s="1016"/>
      <c r="H57" s="1016"/>
      <c r="I57" s="1016"/>
      <c r="J57" s="1016"/>
    </row>
    <row r="58" spans="1:24" s="7" customFormat="1" ht="14.1" customHeight="1">
      <c r="C58" s="1016"/>
      <c r="D58" s="1016"/>
      <c r="E58" s="1016"/>
      <c r="F58" s="1016"/>
      <c r="G58" s="1016"/>
      <c r="H58" s="1016"/>
      <c r="I58" s="1016"/>
      <c r="J58" s="1016"/>
    </row>
    <row r="59" spans="1:24" s="7" customFormat="1" ht="14.1" customHeight="1">
      <c r="C59" s="1016"/>
      <c r="D59" s="1016"/>
      <c r="E59" s="1016"/>
      <c r="F59" s="1016"/>
      <c r="G59" s="1016"/>
      <c r="H59" s="1016"/>
      <c r="I59" s="1016"/>
      <c r="J59" s="1016"/>
    </row>
    <row r="60" spans="1:24" s="7" customFormat="1" ht="14.1" customHeight="1">
      <c r="C60" s="1016"/>
      <c r="D60" s="1016"/>
      <c r="E60" s="1016"/>
      <c r="F60" s="1016"/>
      <c r="G60" s="1016"/>
      <c r="H60" s="1016"/>
      <c r="I60" s="1016"/>
      <c r="J60" s="1016"/>
    </row>
    <row r="61" spans="1:24">
      <c r="A61" s="7"/>
      <c r="B61" s="7"/>
      <c r="C61" s="1016"/>
      <c r="D61" s="1016"/>
      <c r="E61" s="1016"/>
      <c r="F61" s="1016"/>
      <c r="G61" s="1016"/>
      <c r="H61" s="1016"/>
      <c r="I61" s="1016"/>
      <c r="J61" s="1016"/>
      <c r="K61" s="7"/>
      <c r="L61" s="7"/>
      <c r="M61" s="7"/>
      <c r="N61" s="7"/>
      <c r="O61" s="7"/>
      <c r="P61" s="7"/>
      <c r="Q61" s="7"/>
      <c r="R61" s="7"/>
      <c r="S61" s="7"/>
      <c r="T61" s="7"/>
      <c r="U61" s="7"/>
      <c r="V61" s="7"/>
      <c r="W61" s="7"/>
      <c r="X61" s="7"/>
    </row>
    <row r="62" spans="1:24">
      <c r="A62" s="7"/>
      <c r="B62" s="7"/>
      <c r="C62" s="1016"/>
      <c r="D62" s="1016"/>
      <c r="E62" s="1016"/>
      <c r="F62" s="1016"/>
      <c r="G62" s="1016"/>
      <c r="H62" s="1016"/>
      <c r="I62" s="1016"/>
      <c r="J62" s="1016"/>
      <c r="K62" s="7"/>
      <c r="L62" s="7"/>
    </row>
    <row r="63" spans="1:24">
      <c r="A63" s="7"/>
      <c r="B63" s="7"/>
      <c r="C63" s="1016"/>
      <c r="D63" s="1016"/>
      <c r="E63" s="1016"/>
      <c r="F63" s="1016"/>
      <c r="G63" s="1016"/>
      <c r="H63" s="1016"/>
      <c r="I63" s="1016"/>
      <c r="J63" s="1016"/>
      <c r="K63" s="7"/>
      <c r="L63" s="7"/>
    </row>
    <row r="64" spans="1:24">
      <c r="A64" s="7"/>
      <c r="B64" s="7"/>
      <c r="C64" s="7"/>
      <c r="D64" s="7"/>
      <c r="E64" s="7"/>
      <c r="F64" s="7"/>
      <c r="G64" s="7"/>
      <c r="H64" s="7"/>
      <c r="I64" s="7"/>
      <c r="J64" s="7"/>
      <c r="K64" s="7"/>
      <c r="L64" s="7"/>
    </row>
    <row r="65" spans="1:12">
      <c r="A65" s="7"/>
      <c r="B65" s="7"/>
      <c r="C65" s="7"/>
      <c r="D65" s="7"/>
      <c r="E65" s="7"/>
      <c r="F65" s="7"/>
      <c r="G65" s="7"/>
      <c r="H65" s="7"/>
      <c r="I65" s="7"/>
      <c r="J65" s="7"/>
      <c r="K65" s="7"/>
      <c r="L65" s="7"/>
    </row>
    <row r="66" spans="1:12">
      <c r="A66" s="7"/>
      <c r="B66" s="7"/>
      <c r="C66" s="7"/>
      <c r="D66" s="7"/>
      <c r="E66" s="7"/>
      <c r="F66" s="7"/>
      <c r="G66" s="7"/>
      <c r="H66" s="7"/>
      <c r="I66" s="7"/>
      <c r="J66" s="7"/>
      <c r="K66" s="7"/>
      <c r="L66" s="7"/>
    </row>
    <row r="67" spans="1:12">
      <c r="A67" s="7"/>
      <c r="B67" s="7"/>
      <c r="C67" s="7"/>
      <c r="D67" s="7"/>
      <c r="E67" s="7"/>
      <c r="F67" s="7"/>
      <c r="G67" s="7"/>
      <c r="H67" s="7"/>
      <c r="I67" s="7"/>
      <c r="J67" s="7"/>
      <c r="K67" s="7"/>
      <c r="L67" s="7"/>
    </row>
    <row r="68" spans="1:12">
      <c r="A68" s="7"/>
      <c r="B68" s="7"/>
      <c r="C68" s="7"/>
      <c r="D68" s="7"/>
      <c r="E68" s="7"/>
      <c r="F68" s="7"/>
      <c r="G68" s="7"/>
      <c r="H68" s="7"/>
      <c r="I68" s="7"/>
      <c r="J68" s="7"/>
      <c r="K68" s="7"/>
      <c r="L68" s="7"/>
    </row>
    <row r="69" spans="1:12">
      <c r="A69" s="7"/>
      <c r="B69" s="7"/>
      <c r="C69" s="7"/>
      <c r="D69" s="7"/>
      <c r="E69" s="7"/>
      <c r="F69" s="7"/>
      <c r="G69" s="7"/>
      <c r="H69" s="7"/>
      <c r="I69" s="7"/>
      <c r="J69" s="7"/>
      <c r="K69" s="7"/>
      <c r="L69" s="7"/>
    </row>
    <row r="70" spans="1:12">
      <c r="A70" s="7"/>
      <c r="B70" s="7"/>
      <c r="C70" s="7"/>
      <c r="D70" s="7"/>
      <c r="E70" s="7"/>
      <c r="F70" s="7"/>
      <c r="G70" s="7"/>
      <c r="H70" s="7"/>
      <c r="I70" s="7"/>
      <c r="J70" s="7"/>
      <c r="K70" s="7"/>
      <c r="L70" s="7"/>
    </row>
  </sheetData>
  <mergeCells count="319">
    <mergeCell ref="C61:D61"/>
    <mergeCell ref="C62:D62"/>
    <mergeCell ref="C63:D63"/>
    <mergeCell ref="E61:J61"/>
    <mergeCell ref="E62:J62"/>
    <mergeCell ref="E63:J63"/>
    <mergeCell ref="C23:D23"/>
    <mergeCell ref="C24:D24"/>
    <mergeCell ref="C54:D54"/>
    <mergeCell ref="C55:D55"/>
    <mergeCell ref="C56:D56"/>
    <mergeCell ref="C57:D57"/>
    <mergeCell ref="C58:D58"/>
    <mergeCell ref="C59:D59"/>
    <mergeCell ref="C60:D60"/>
    <mergeCell ref="E52:J52"/>
    <mergeCell ref="E53:J53"/>
    <mergeCell ref="E54:J54"/>
    <mergeCell ref="E55:J55"/>
    <mergeCell ref="E56:J56"/>
    <mergeCell ref="E57:J57"/>
    <mergeCell ref="E58:J58"/>
    <mergeCell ref="E59:J59"/>
    <mergeCell ref="E60:J60"/>
    <mergeCell ref="E51:J51"/>
    <mergeCell ref="C46:D46"/>
    <mergeCell ref="C47:D47"/>
    <mergeCell ref="C48:D48"/>
    <mergeCell ref="C49:D49"/>
    <mergeCell ref="C50:D50"/>
    <mergeCell ref="C51:D51"/>
    <mergeCell ref="C52:D52"/>
    <mergeCell ref="C53:D53"/>
    <mergeCell ref="C44:D44"/>
    <mergeCell ref="E44:J44"/>
    <mergeCell ref="C45:D45"/>
    <mergeCell ref="E45:J45"/>
    <mergeCell ref="E46:J46"/>
    <mergeCell ref="E47:J47"/>
    <mergeCell ref="E48:J48"/>
    <mergeCell ref="E49:J49"/>
    <mergeCell ref="E50:J50"/>
    <mergeCell ref="N39:N40"/>
    <mergeCell ref="O39:P39"/>
    <mergeCell ref="Q39:V39"/>
    <mergeCell ref="W39:X39"/>
    <mergeCell ref="C40:D40"/>
    <mergeCell ref="E40:J40"/>
    <mergeCell ref="K40:L40"/>
    <mergeCell ref="O40:P40"/>
    <mergeCell ref="Q40:V40"/>
    <mergeCell ref="W40:X40"/>
    <mergeCell ref="A37:A38"/>
    <mergeCell ref="B37:B38"/>
    <mergeCell ref="C37:D37"/>
    <mergeCell ref="E37:J37"/>
    <mergeCell ref="K37:L37"/>
    <mergeCell ref="M37:M38"/>
    <mergeCell ref="A39:A40"/>
    <mergeCell ref="B39:B40"/>
    <mergeCell ref="C39:D39"/>
    <mergeCell ref="E39:J39"/>
    <mergeCell ref="K39:L39"/>
    <mergeCell ref="M39:M40"/>
    <mergeCell ref="W35:X35"/>
    <mergeCell ref="C36:D36"/>
    <mergeCell ref="E36:J36"/>
    <mergeCell ref="K36:L36"/>
    <mergeCell ref="O36:P36"/>
    <mergeCell ref="Q36:V36"/>
    <mergeCell ref="W36:X36"/>
    <mergeCell ref="W37:X37"/>
    <mergeCell ref="C38:D38"/>
    <mergeCell ref="E38:J38"/>
    <mergeCell ref="K38:L38"/>
    <mergeCell ref="O38:P38"/>
    <mergeCell ref="Q38:V38"/>
    <mergeCell ref="W38:X38"/>
    <mergeCell ref="N37:N38"/>
    <mergeCell ref="O37:P37"/>
    <mergeCell ref="Q37:V37"/>
    <mergeCell ref="A35:A36"/>
    <mergeCell ref="B35:B36"/>
    <mergeCell ref="C35:D35"/>
    <mergeCell ref="E35:J35"/>
    <mergeCell ref="K35:L35"/>
    <mergeCell ref="M35:M36"/>
    <mergeCell ref="N33:N34"/>
    <mergeCell ref="O33:P33"/>
    <mergeCell ref="Q33:V33"/>
    <mergeCell ref="N35:N36"/>
    <mergeCell ref="O35:P35"/>
    <mergeCell ref="Q35:V35"/>
    <mergeCell ref="W33:X33"/>
    <mergeCell ref="C34:D34"/>
    <mergeCell ref="E34:J34"/>
    <mergeCell ref="K34:L34"/>
    <mergeCell ref="O34:P34"/>
    <mergeCell ref="Q34:V34"/>
    <mergeCell ref="W34:X34"/>
    <mergeCell ref="A33:A34"/>
    <mergeCell ref="B33:B34"/>
    <mergeCell ref="C33:D33"/>
    <mergeCell ref="E33:J33"/>
    <mergeCell ref="K33:L33"/>
    <mergeCell ref="M33:M34"/>
    <mergeCell ref="N31:N32"/>
    <mergeCell ref="O31:P31"/>
    <mergeCell ref="Q31:V31"/>
    <mergeCell ref="W31:X31"/>
    <mergeCell ref="C32:D32"/>
    <mergeCell ref="E32:J32"/>
    <mergeCell ref="K32:L32"/>
    <mergeCell ref="O32:P32"/>
    <mergeCell ref="Q32:V32"/>
    <mergeCell ref="W32:X32"/>
    <mergeCell ref="A29:A30"/>
    <mergeCell ref="B29:B30"/>
    <mergeCell ref="C29:D29"/>
    <mergeCell ref="E29:J29"/>
    <mergeCell ref="K29:L29"/>
    <mergeCell ref="M29:M30"/>
    <mergeCell ref="A31:A32"/>
    <mergeCell ref="B31:B32"/>
    <mergeCell ref="C31:D31"/>
    <mergeCell ref="E31:J31"/>
    <mergeCell ref="K31:L31"/>
    <mergeCell ref="M31:M32"/>
    <mergeCell ref="W27:X27"/>
    <mergeCell ref="C28:D28"/>
    <mergeCell ref="E28:J28"/>
    <mergeCell ref="K28:L28"/>
    <mergeCell ref="O28:P28"/>
    <mergeCell ref="Q28:V28"/>
    <mergeCell ref="W28:X28"/>
    <mergeCell ref="W29:X29"/>
    <mergeCell ref="C30:D30"/>
    <mergeCell ref="E30:J30"/>
    <mergeCell ref="K30:L30"/>
    <mergeCell ref="O30:P30"/>
    <mergeCell ref="Q30:V30"/>
    <mergeCell ref="W30:X30"/>
    <mergeCell ref="N29:N30"/>
    <mergeCell ref="O29:P29"/>
    <mergeCell ref="Q29:V29"/>
    <mergeCell ref="A27:A28"/>
    <mergeCell ref="B27:B28"/>
    <mergeCell ref="C27:D27"/>
    <mergeCell ref="E27:J27"/>
    <mergeCell ref="K27:L27"/>
    <mergeCell ref="M27:M28"/>
    <mergeCell ref="N25:N26"/>
    <mergeCell ref="O25:P25"/>
    <mergeCell ref="Q25:V25"/>
    <mergeCell ref="N27:N28"/>
    <mergeCell ref="O27:P27"/>
    <mergeCell ref="Q27:V27"/>
    <mergeCell ref="C26:D26"/>
    <mergeCell ref="E26:J26"/>
    <mergeCell ref="K26:L26"/>
    <mergeCell ref="O26:P26"/>
    <mergeCell ref="Q26:V26"/>
    <mergeCell ref="W26:X26"/>
    <mergeCell ref="A25:A26"/>
    <mergeCell ref="B25:B26"/>
    <mergeCell ref="C25:D25"/>
    <mergeCell ref="E25:J25"/>
    <mergeCell ref="K25:L25"/>
    <mergeCell ref="M25:M26"/>
    <mergeCell ref="N23:N24"/>
    <mergeCell ref="O23:P23"/>
    <mergeCell ref="Q23:V23"/>
    <mergeCell ref="W23:X23"/>
    <mergeCell ref="E24:J24"/>
    <mergeCell ref="O24:P24"/>
    <mergeCell ref="Q24:V24"/>
    <mergeCell ref="W24:X24"/>
    <mergeCell ref="W25:X25"/>
    <mergeCell ref="A21:A22"/>
    <mergeCell ref="B21:B22"/>
    <mergeCell ref="C21:D21"/>
    <mergeCell ref="E21:J21"/>
    <mergeCell ref="K21:L21"/>
    <mergeCell ref="M21:M22"/>
    <mergeCell ref="A23:A24"/>
    <mergeCell ref="B23:B24"/>
    <mergeCell ref="E23:J23"/>
    <mergeCell ref="M23:M24"/>
    <mergeCell ref="K23:L23"/>
    <mergeCell ref="K24:L24"/>
    <mergeCell ref="W19:X19"/>
    <mergeCell ref="C20:D20"/>
    <mergeCell ref="E20:J20"/>
    <mergeCell ref="K20:L20"/>
    <mergeCell ref="O20:P20"/>
    <mergeCell ref="Q20:V20"/>
    <mergeCell ref="W20:X20"/>
    <mergeCell ref="W21:X21"/>
    <mergeCell ref="C22:D22"/>
    <mergeCell ref="E22:J22"/>
    <mergeCell ref="K22:L22"/>
    <mergeCell ref="O22:P22"/>
    <mergeCell ref="Q22:V22"/>
    <mergeCell ref="W22:X22"/>
    <mergeCell ref="N21:N22"/>
    <mergeCell ref="O21:P21"/>
    <mergeCell ref="Q21:V21"/>
    <mergeCell ref="A19:A20"/>
    <mergeCell ref="B19:B20"/>
    <mergeCell ref="C19:D19"/>
    <mergeCell ref="E19:J19"/>
    <mergeCell ref="K19:L19"/>
    <mergeCell ref="M19:M20"/>
    <mergeCell ref="N17:N18"/>
    <mergeCell ref="O17:P17"/>
    <mergeCell ref="Q17:V17"/>
    <mergeCell ref="N19:N20"/>
    <mergeCell ref="O19:P19"/>
    <mergeCell ref="Q19:V19"/>
    <mergeCell ref="W17:X17"/>
    <mergeCell ref="C18:D18"/>
    <mergeCell ref="E18:J18"/>
    <mergeCell ref="K18:L18"/>
    <mergeCell ref="O18:P18"/>
    <mergeCell ref="Q18:V18"/>
    <mergeCell ref="W18:X18"/>
    <mergeCell ref="A17:A18"/>
    <mergeCell ref="B17:B18"/>
    <mergeCell ref="C17:D17"/>
    <mergeCell ref="E17:J17"/>
    <mergeCell ref="K17:L17"/>
    <mergeCell ref="M17:M18"/>
    <mergeCell ref="N15:N16"/>
    <mergeCell ref="O15:P15"/>
    <mergeCell ref="Q15:V15"/>
    <mergeCell ref="W15:X15"/>
    <mergeCell ref="C16:D16"/>
    <mergeCell ref="E16:J16"/>
    <mergeCell ref="K16:L16"/>
    <mergeCell ref="O16:P16"/>
    <mergeCell ref="Q16:V16"/>
    <mergeCell ref="W16:X16"/>
    <mergeCell ref="A13:A14"/>
    <mergeCell ref="B13:B14"/>
    <mergeCell ref="C13:D13"/>
    <mergeCell ref="E13:J13"/>
    <mergeCell ref="K13:L13"/>
    <mergeCell ref="M13:M14"/>
    <mergeCell ref="A15:A16"/>
    <mergeCell ref="B15:B16"/>
    <mergeCell ref="C15:D15"/>
    <mergeCell ref="E15:J15"/>
    <mergeCell ref="K15:L15"/>
    <mergeCell ref="M15:M16"/>
    <mergeCell ref="W11:X11"/>
    <mergeCell ref="C12:D12"/>
    <mergeCell ref="E12:J12"/>
    <mergeCell ref="K12:L12"/>
    <mergeCell ref="O12:P12"/>
    <mergeCell ref="Q12:V12"/>
    <mergeCell ref="W12:X12"/>
    <mergeCell ref="W13:X13"/>
    <mergeCell ref="C14:D14"/>
    <mergeCell ref="E14:J14"/>
    <mergeCell ref="K14:L14"/>
    <mergeCell ref="O14:P14"/>
    <mergeCell ref="Q14:V14"/>
    <mergeCell ref="W14:X14"/>
    <mergeCell ref="N13:N14"/>
    <mergeCell ref="O13:P13"/>
    <mergeCell ref="Q13:V13"/>
    <mergeCell ref="A11:A12"/>
    <mergeCell ref="B11:B12"/>
    <mergeCell ref="C11:D11"/>
    <mergeCell ref="E11:J11"/>
    <mergeCell ref="K11:L11"/>
    <mergeCell ref="M11:M12"/>
    <mergeCell ref="N9:N10"/>
    <mergeCell ref="O9:P9"/>
    <mergeCell ref="Q9:V9"/>
    <mergeCell ref="N11:N12"/>
    <mergeCell ref="O11:P11"/>
    <mergeCell ref="Q11:V11"/>
    <mergeCell ref="W9:X9"/>
    <mergeCell ref="C10:D10"/>
    <mergeCell ref="E10:J10"/>
    <mergeCell ref="K10:L10"/>
    <mergeCell ref="O10:P10"/>
    <mergeCell ref="Q10:V10"/>
    <mergeCell ref="W10:X10"/>
    <mergeCell ref="A9:A10"/>
    <mergeCell ref="B9:B10"/>
    <mergeCell ref="C9:D9"/>
    <mergeCell ref="E9:J9"/>
    <mergeCell ref="K9:L9"/>
    <mergeCell ref="M9:M10"/>
    <mergeCell ref="A4:F4"/>
    <mergeCell ref="C6:D6"/>
    <mergeCell ref="E6:J6"/>
    <mergeCell ref="K6:L6"/>
    <mergeCell ref="O6:P6"/>
    <mergeCell ref="Q6:V6"/>
    <mergeCell ref="W7:X7"/>
    <mergeCell ref="C8:D8"/>
    <mergeCell ref="E8:J8"/>
    <mergeCell ref="K8:L8"/>
    <mergeCell ref="O8:P8"/>
    <mergeCell ref="Q8:V8"/>
    <mergeCell ref="W8:X8"/>
    <mergeCell ref="W6:X6"/>
    <mergeCell ref="A7:A8"/>
    <mergeCell ref="B7:B8"/>
    <mergeCell ref="C7:D7"/>
    <mergeCell ref="E7:J7"/>
    <mergeCell ref="K7:L7"/>
    <mergeCell ref="M7:M8"/>
    <mergeCell ref="N7:N8"/>
    <mergeCell ref="O7:P7"/>
    <mergeCell ref="Q7:V7"/>
  </mergeCells>
  <phoneticPr fontId="8"/>
  <dataValidations disablePrompts="1" count="1">
    <dataValidation type="list" allowBlank="1" showInputMessage="1" showErrorMessage="1" sqref="B25 B27 B29 B35 B9 B31 B33 B7 B17 B19 B21 B23 B11 B13 B15" xr:uid="{00000000-0002-0000-0400-000000000000}">
      <formula1>"日,月,火,水,木,金,土"</formula1>
    </dataValidation>
  </dataValidations>
  <pageMargins left="0.78740157480314965" right="0.78740157480314965" top="0.98425196850393704" bottom="0.98425196850393704" header="0.51181102362204722" footer="0.51181102362204722"/>
  <pageSetup paperSize="9" scale="55" orientation="landscape" cellComments="asDisplayed"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tabColor rgb="FFFF0000"/>
    <pageSetUpPr fitToPage="1"/>
  </sheetPr>
  <dimension ref="A1:X62"/>
  <sheetViews>
    <sheetView view="pageBreakPreview" zoomScale="85" zoomScaleNormal="100" zoomScaleSheetLayoutView="85" workbookViewId="0">
      <selection activeCell="N28" sqref="N28:U28"/>
    </sheetView>
  </sheetViews>
  <sheetFormatPr defaultColWidth="9" defaultRowHeight="13.2"/>
  <cols>
    <col min="1" max="23" width="9" style="18"/>
    <col min="24" max="24" width="12.6640625" style="18" customWidth="1"/>
    <col min="25" max="16384" width="9" style="18"/>
  </cols>
  <sheetData>
    <row r="1" spans="1:24" ht="24" thickBot="1">
      <c r="A1" s="1" t="s">
        <v>19</v>
      </c>
      <c r="B1" s="2"/>
      <c r="C1" s="67"/>
      <c r="D1" s="67"/>
      <c r="E1" s="67"/>
      <c r="F1" s="67"/>
      <c r="G1" s="67"/>
      <c r="H1" s="67"/>
      <c r="I1" s="67"/>
      <c r="J1" s="67"/>
      <c r="K1" s="67"/>
      <c r="L1" s="67"/>
      <c r="M1" s="67"/>
      <c r="N1" s="67"/>
      <c r="O1" s="67"/>
      <c r="P1" s="67"/>
      <c r="Q1" s="67"/>
      <c r="R1" s="67"/>
      <c r="S1" s="67"/>
      <c r="T1" s="67"/>
      <c r="U1" s="67"/>
      <c r="V1" s="67"/>
    </row>
    <row r="2" spans="1:24" ht="17.25" customHeight="1" thickTop="1">
      <c r="A2" s="4"/>
      <c r="B2" s="5"/>
    </row>
    <row r="3" spans="1:24" ht="17.25" customHeight="1">
      <c r="A3" s="4"/>
      <c r="B3" s="5"/>
      <c r="X3" s="20"/>
    </row>
    <row r="4" spans="1:24" s="7" customFormat="1" ht="18" customHeight="1">
      <c r="A4" s="899" t="s">
        <v>117</v>
      </c>
      <c r="B4" s="900"/>
      <c r="C4" s="900"/>
      <c r="D4" s="900"/>
      <c r="E4" s="900"/>
      <c r="F4" s="901"/>
      <c r="X4" s="792"/>
    </row>
    <row r="5" spans="1:24" s="7" customFormat="1" ht="14.1" customHeight="1">
      <c r="X5" s="13"/>
    </row>
    <row r="6" spans="1:24" s="7" customFormat="1" ht="14.1" customHeight="1">
      <c r="A6" s="8" t="s">
        <v>10</v>
      </c>
      <c r="B6" s="8" t="s">
        <v>14</v>
      </c>
      <c r="C6" s="902" t="s">
        <v>15</v>
      </c>
      <c r="D6" s="1017"/>
      <c r="E6" s="1017"/>
      <c r="F6" s="1017"/>
      <c r="G6" s="1017"/>
      <c r="H6" s="1017"/>
      <c r="I6" s="1017"/>
      <c r="J6" s="867"/>
      <c r="K6" s="266" t="s">
        <v>16</v>
      </c>
      <c r="L6" s="271" t="s">
        <v>10</v>
      </c>
      <c r="M6" s="8" t="s">
        <v>14</v>
      </c>
      <c r="N6" s="902" t="s">
        <v>15</v>
      </c>
      <c r="O6" s="1017"/>
      <c r="P6" s="1017"/>
      <c r="Q6" s="1017"/>
      <c r="R6" s="1017"/>
      <c r="S6" s="1017"/>
      <c r="T6" s="1017"/>
      <c r="U6" s="867"/>
      <c r="V6" s="11" t="s">
        <v>16</v>
      </c>
      <c r="X6" s="790"/>
    </row>
    <row r="7" spans="1:24" ht="13.5" customHeight="1">
      <c r="A7" s="1018">
        <v>45047</v>
      </c>
      <c r="B7" s="965" t="s">
        <v>685</v>
      </c>
      <c r="C7" s="1020"/>
      <c r="D7" s="1021"/>
      <c r="E7" s="1021"/>
      <c r="F7" s="1021"/>
      <c r="G7" s="1021"/>
      <c r="H7" s="1021"/>
      <c r="I7" s="1021"/>
      <c r="J7" s="1022"/>
      <c r="K7" s="274"/>
      <c r="L7" s="968">
        <v>45062</v>
      </c>
      <c r="M7" s="969" t="s">
        <v>686</v>
      </c>
      <c r="N7" s="1020"/>
      <c r="O7" s="1021"/>
      <c r="P7" s="1021"/>
      <c r="Q7" s="1021"/>
      <c r="R7" s="1021"/>
      <c r="S7" s="1021"/>
      <c r="T7" s="1021"/>
      <c r="U7" s="1022"/>
      <c r="V7" s="243"/>
      <c r="X7" s="790"/>
    </row>
    <row r="8" spans="1:24" ht="13.5" customHeight="1">
      <c r="A8" s="1019"/>
      <c r="B8" s="908"/>
      <c r="C8" s="886"/>
      <c r="D8" s="887"/>
      <c r="E8" s="887"/>
      <c r="F8" s="887"/>
      <c r="G8" s="887"/>
      <c r="H8" s="887"/>
      <c r="I8" s="887"/>
      <c r="J8" s="888"/>
      <c r="K8" s="838"/>
      <c r="L8" s="916"/>
      <c r="M8" s="908"/>
      <c r="N8" s="886"/>
      <c r="O8" s="887"/>
      <c r="P8" s="887"/>
      <c r="Q8" s="887"/>
      <c r="R8" s="887"/>
      <c r="S8" s="887"/>
      <c r="T8" s="887"/>
      <c r="U8" s="888"/>
      <c r="V8" s="268"/>
      <c r="W8" s="20"/>
      <c r="X8" s="791"/>
    </row>
    <row r="9" spans="1:24" ht="13.5" customHeight="1">
      <c r="A9" s="1026">
        <v>45048</v>
      </c>
      <c r="B9" s="965" t="s">
        <v>686</v>
      </c>
      <c r="C9" s="886"/>
      <c r="D9" s="887"/>
      <c r="E9" s="887"/>
      <c r="F9" s="887"/>
      <c r="G9" s="887"/>
      <c r="H9" s="887"/>
      <c r="I9" s="887"/>
      <c r="J9" s="888"/>
      <c r="K9" s="838"/>
      <c r="L9" s="974">
        <v>45063</v>
      </c>
      <c r="M9" s="965" t="s">
        <v>687</v>
      </c>
      <c r="N9" s="1023"/>
      <c r="O9" s="1024"/>
      <c r="P9" s="1024"/>
      <c r="Q9" s="1024"/>
      <c r="R9" s="1024"/>
      <c r="S9" s="1024"/>
      <c r="T9" s="1024"/>
      <c r="U9" s="1025"/>
      <c r="V9" s="268"/>
      <c r="W9" s="20"/>
      <c r="X9" s="791"/>
    </row>
    <row r="10" spans="1:24" ht="13.5" customHeight="1">
      <c r="A10" s="918"/>
      <c r="B10" s="908"/>
      <c r="C10" s="886"/>
      <c r="D10" s="887"/>
      <c r="E10" s="887"/>
      <c r="F10" s="887"/>
      <c r="G10" s="887"/>
      <c r="H10" s="887"/>
      <c r="I10" s="887"/>
      <c r="J10" s="888"/>
      <c r="K10" s="838"/>
      <c r="L10" s="975"/>
      <c r="M10" s="908"/>
      <c r="N10" s="886"/>
      <c r="O10" s="887"/>
      <c r="P10" s="887"/>
      <c r="Q10" s="887"/>
      <c r="R10" s="887"/>
      <c r="S10" s="887"/>
      <c r="T10" s="887"/>
      <c r="U10" s="888"/>
      <c r="V10" s="268"/>
      <c r="W10" s="20"/>
      <c r="X10" s="791"/>
    </row>
    <row r="11" spans="1:24" ht="13.5" customHeight="1">
      <c r="A11" s="923">
        <v>45049</v>
      </c>
      <c r="B11" s="924" t="s">
        <v>687</v>
      </c>
      <c r="C11" s="1023"/>
      <c r="D11" s="1024"/>
      <c r="E11" s="1024"/>
      <c r="F11" s="1024"/>
      <c r="G11" s="1024"/>
      <c r="H11" s="1024"/>
      <c r="I11" s="1024"/>
      <c r="J11" s="1025"/>
      <c r="K11" s="838"/>
      <c r="L11" s="974">
        <v>45064</v>
      </c>
      <c r="M11" s="965" t="s">
        <v>688</v>
      </c>
      <c r="N11" s="1023" t="s">
        <v>705</v>
      </c>
      <c r="O11" s="1024"/>
      <c r="P11" s="1024"/>
      <c r="Q11" s="1024"/>
      <c r="R11" s="1024"/>
      <c r="S11" s="1024"/>
      <c r="T11" s="1024"/>
      <c r="U11" s="1025"/>
      <c r="V11" s="268" t="s">
        <v>691</v>
      </c>
      <c r="W11" s="20"/>
      <c r="X11" s="791"/>
    </row>
    <row r="12" spans="1:24" ht="13.5" customHeight="1">
      <c r="A12" s="918"/>
      <c r="B12" s="908"/>
      <c r="C12" s="886"/>
      <c r="D12" s="887"/>
      <c r="E12" s="887"/>
      <c r="F12" s="887"/>
      <c r="G12" s="887"/>
      <c r="H12" s="887"/>
      <c r="I12" s="887"/>
      <c r="J12" s="888"/>
      <c r="K12" s="838"/>
      <c r="L12" s="975"/>
      <c r="M12" s="908"/>
      <c r="N12" s="1023"/>
      <c r="O12" s="1024"/>
      <c r="P12" s="1024"/>
      <c r="Q12" s="1024"/>
      <c r="R12" s="1024"/>
      <c r="S12" s="1024"/>
      <c r="T12" s="1024"/>
      <c r="U12" s="1025"/>
      <c r="V12" s="268"/>
      <c r="W12" s="20"/>
      <c r="X12" s="791"/>
    </row>
    <row r="13" spans="1:24" ht="13.5" customHeight="1">
      <c r="A13" s="923">
        <v>45050</v>
      </c>
      <c r="B13" s="924" t="s">
        <v>688</v>
      </c>
      <c r="C13" s="1023"/>
      <c r="D13" s="1024"/>
      <c r="E13" s="1024"/>
      <c r="F13" s="1024"/>
      <c r="G13" s="1024"/>
      <c r="H13" s="1024"/>
      <c r="I13" s="1024"/>
      <c r="J13" s="1025"/>
      <c r="K13" s="838"/>
      <c r="L13" s="974">
        <v>45065</v>
      </c>
      <c r="M13" s="965" t="s">
        <v>689</v>
      </c>
      <c r="N13" s="1023"/>
      <c r="O13" s="1024"/>
      <c r="P13" s="1024"/>
      <c r="Q13" s="1024"/>
      <c r="R13" s="1024"/>
      <c r="S13" s="1024"/>
      <c r="T13" s="1024"/>
      <c r="U13" s="1025"/>
      <c r="V13" s="268"/>
      <c r="W13" s="20"/>
      <c r="X13" s="791"/>
    </row>
    <row r="14" spans="1:24" ht="13.5" customHeight="1">
      <c r="A14" s="918"/>
      <c r="B14" s="908"/>
      <c r="C14" s="886"/>
      <c r="D14" s="887"/>
      <c r="E14" s="887"/>
      <c r="F14" s="887"/>
      <c r="G14" s="887"/>
      <c r="H14" s="887"/>
      <c r="I14" s="887"/>
      <c r="J14" s="888"/>
      <c r="K14" s="838"/>
      <c r="L14" s="975"/>
      <c r="M14" s="908"/>
      <c r="N14" s="1023"/>
      <c r="O14" s="1024"/>
      <c r="P14" s="1024"/>
      <c r="Q14" s="1024"/>
      <c r="R14" s="1024"/>
      <c r="S14" s="1024"/>
      <c r="T14" s="1024"/>
      <c r="U14" s="1025"/>
      <c r="V14" s="268"/>
      <c r="W14" s="20"/>
      <c r="X14" s="791"/>
    </row>
    <row r="15" spans="1:24" ht="13.5" customHeight="1">
      <c r="A15" s="923">
        <v>45051</v>
      </c>
      <c r="B15" s="924" t="s">
        <v>689</v>
      </c>
      <c r="C15" s="1023"/>
      <c r="D15" s="1024"/>
      <c r="E15" s="1024"/>
      <c r="F15" s="1024"/>
      <c r="G15" s="1024"/>
      <c r="H15" s="1024"/>
      <c r="I15" s="1024"/>
      <c r="J15" s="1025"/>
      <c r="K15" s="838"/>
      <c r="L15" s="987">
        <v>45066</v>
      </c>
      <c r="M15" s="925" t="s">
        <v>690</v>
      </c>
      <c r="N15" s="1023"/>
      <c r="O15" s="1024"/>
      <c r="P15" s="1024"/>
      <c r="Q15" s="1024"/>
      <c r="R15" s="1024"/>
      <c r="S15" s="1024"/>
      <c r="T15" s="1024"/>
      <c r="U15" s="1025"/>
      <c r="V15" s="268"/>
      <c r="W15" s="20"/>
      <c r="X15" s="791"/>
    </row>
    <row r="16" spans="1:24" ht="13.5" customHeight="1">
      <c r="A16" s="918"/>
      <c r="B16" s="990"/>
      <c r="C16" s="886"/>
      <c r="D16" s="887"/>
      <c r="E16" s="887"/>
      <c r="F16" s="887"/>
      <c r="G16" s="887"/>
      <c r="H16" s="887"/>
      <c r="I16" s="887"/>
      <c r="J16" s="888"/>
      <c r="K16" s="838"/>
      <c r="L16" s="975"/>
      <c r="M16" s="908"/>
      <c r="N16" s="1023"/>
      <c r="O16" s="1024"/>
      <c r="P16" s="1024"/>
      <c r="Q16" s="1024"/>
      <c r="R16" s="1024"/>
      <c r="S16" s="1024"/>
      <c r="T16" s="1024"/>
      <c r="U16" s="1025"/>
      <c r="V16" s="268"/>
      <c r="W16" s="20"/>
      <c r="X16" s="791"/>
    </row>
    <row r="17" spans="1:24" ht="13.5" customHeight="1">
      <c r="A17" s="927">
        <v>45052</v>
      </c>
      <c r="B17" s="925" t="s">
        <v>690</v>
      </c>
      <c r="C17" s="1023"/>
      <c r="D17" s="1024"/>
      <c r="E17" s="1024"/>
      <c r="F17" s="1024"/>
      <c r="G17" s="1024"/>
      <c r="H17" s="1024"/>
      <c r="I17" s="1024"/>
      <c r="J17" s="1025"/>
      <c r="K17" s="838"/>
      <c r="L17" s="989">
        <v>45067</v>
      </c>
      <c r="M17" s="924" t="s">
        <v>10</v>
      </c>
      <c r="N17" s="1023"/>
      <c r="O17" s="1024"/>
      <c r="P17" s="1024"/>
      <c r="Q17" s="1024"/>
      <c r="R17" s="1024"/>
      <c r="S17" s="1024"/>
      <c r="T17" s="1024"/>
      <c r="U17" s="1025"/>
      <c r="V17" s="268"/>
      <c r="W17" s="20"/>
      <c r="X17" s="791"/>
    </row>
    <row r="18" spans="1:24" ht="13.5" customHeight="1">
      <c r="A18" s="918"/>
      <c r="B18" s="908"/>
      <c r="C18" s="886"/>
      <c r="D18" s="887"/>
      <c r="E18" s="887"/>
      <c r="F18" s="887"/>
      <c r="G18" s="887"/>
      <c r="H18" s="887"/>
      <c r="I18" s="887"/>
      <c r="J18" s="888"/>
      <c r="K18" s="838"/>
      <c r="L18" s="975"/>
      <c r="M18" s="908"/>
      <c r="N18" s="886"/>
      <c r="O18" s="887"/>
      <c r="P18" s="887"/>
      <c r="Q18" s="887"/>
      <c r="R18" s="887"/>
      <c r="S18" s="887"/>
      <c r="T18" s="887"/>
      <c r="U18" s="888"/>
      <c r="V18" s="268"/>
      <c r="W18" s="20"/>
      <c r="X18" s="791"/>
    </row>
    <row r="19" spans="1:24" ht="13.5" customHeight="1">
      <c r="A19" s="923">
        <v>45053</v>
      </c>
      <c r="B19" s="924" t="s">
        <v>10</v>
      </c>
      <c r="C19" s="886"/>
      <c r="D19" s="887"/>
      <c r="E19" s="887"/>
      <c r="F19" s="887"/>
      <c r="G19" s="887"/>
      <c r="H19" s="887"/>
      <c r="I19" s="887"/>
      <c r="J19" s="888"/>
      <c r="K19" s="838"/>
      <c r="L19" s="974">
        <v>45068</v>
      </c>
      <c r="M19" s="965" t="s">
        <v>685</v>
      </c>
      <c r="N19" s="1023"/>
      <c r="O19" s="1024"/>
      <c r="P19" s="1024"/>
      <c r="Q19" s="1024"/>
      <c r="R19" s="1024"/>
      <c r="S19" s="1024"/>
      <c r="T19" s="1024"/>
      <c r="U19" s="1025"/>
      <c r="V19" s="268"/>
      <c r="W19" s="20"/>
      <c r="X19" s="791"/>
    </row>
    <row r="20" spans="1:24" ht="13.5" customHeight="1">
      <c r="A20" s="918"/>
      <c r="B20" s="908"/>
      <c r="C20" s="886"/>
      <c r="D20" s="887"/>
      <c r="E20" s="887"/>
      <c r="F20" s="887"/>
      <c r="G20" s="887"/>
      <c r="H20" s="887"/>
      <c r="I20" s="887"/>
      <c r="J20" s="888"/>
      <c r="K20" s="838"/>
      <c r="L20" s="975"/>
      <c r="M20" s="908"/>
      <c r="N20" s="886"/>
      <c r="O20" s="887"/>
      <c r="P20" s="887"/>
      <c r="Q20" s="887"/>
      <c r="R20" s="887"/>
      <c r="S20" s="887"/>
      <c r="T20" s="887"/>
      <c r="U20" s="888"/>
      <c r="V20" s="268"/>
      <c r="W20" s="20"/>
      <c r="X20" s="791"/>
    </row>
    <row r="21" spans="1:24" ht="13.5" customHeight="1">
      <c r="A21" s="1026">
        <v>45054</v>
      </c>
      <c r="B21" s="965" t="s">
        <v>685</v>
      </c>
      <c r="C21" s="1023"/>
      <c r="D21" s="1024"/>
      <c r="E21" s="1024"/>
      <c r="F21" s="1024"/>
      <c r="G21" s="1024"/>
      <c r="H21" s="1024"/>
      <c r="I21" s="1024"/>
      <c r="J21" s="1025"/>
      <c r="K21" s="838"/>
      <c r="L21" s="974">
        <v>45069</v>
      </c>
      <c r="M21" s="965" t="s">
        <v>686</v>
      </c>
      <c r="N21" s="1027"/>
      <c r="O21" s="1028"/>
      <c r="P21" s="1028"/>
      <c r="Q21" s="1028"/>
      <c r="R21" s="1028"/>
      <c r="S21" s="1028"/>
      <c r="T21" s="1028"/>
      <c r="U21" s="1029"/>
      <c r="V21" s="268"/>
      <c r="W21" s="20"/>
      <c r="X21" s="791"/>
    </row>
    <row r="22" spans="1:24" ht="13.5" customHeight="1">
      <c r="A22" s="918"/>
      <c r="B22" s="908"/>
      <c r="C22" s="1023"/>
      <c r="D22" s="1024"/>
      <c r="E22" s="1024"/>
      <c r="F22" s="1024"/>
      <c r="G22" s="1024"/>
      <c r="H22" s="1024"/>
      <c r="I22" s="1024"/>
      <c r="J22" s="1025"/>
      <c r="K22" s="838"/>
      <c r="L22" s="975"/>
      <c r="M22" s="908"/>
      <c r="N22" s="1023"/>
      <c r="O22" s="1024"/>
      <c r="P22" s="1024"/>
      <c r="Q22" s="1024"/>
      <c r="R22" s="1024"/>
      <c r="S22" s="1024"/>
      <c r="T22" s="1024"/>
      <c r="U22" s="1025"/>
      <c r="V22" s="268"/>
      <c r="W22" s="20"/>
      <c r="X22" s="791"/>
    </row>
    <row r="23" spans="1:24" ht="13.5" customHeight="1">
      <c r="A23" s="1026">
        <v>45055</v>
      </c>
      <c r="B23" s="965" t="s">
        <v>686</v>
      </c>
      <c r="C23" s="1023"/>
      <c r="D23" s="1024"/>
      <c r="E23" s="1024"/>
      <c r="F23" s="1024"/>
      <c r="G23" s="1024"/>
      <c r="H23" s="1024"/>
      <c r="I23" s="1024"/>
      <c r="J23" s="1025"/>
      <c r="K23" s="838"/>
      <c r="L23" s="974">
        <v>45070</v>
      </c>
      <c r="M23" s="965" t="s">
        <v>687</v>
      </c>
      <c r="N23" s="1027"/>
      <c r="O23" s="1028"/>
      <c r="P23" s="1028"/>
      <c r="Q23" s="1028"/>
      <c r="R23" s="1028"/>
      <c r="S23" s="1028"/>
      <c r="T23" s="1028"/>
      <c r="U23" s="1029"/>
      <c r="V23" s="268"/>
      <c r="W23" s="20"/>
      <c r="X23" s="791"/>
    </row>
    <row r="24" spans="1:24" ht="13.5" customHeight="1">
      <c r="A24" s="918"/>
      <c r="B24" s="908"/>
      <c r="C24" s="1023"/>
      <c r="D24" s="1024"/>
      <c r="E24" s="1024"/>
      <c r="F24" s="1024"/>
      <c r="G24" s="1024"/>
      <c r="H24" s="1024"/>
      <c r="I24" s="1024"/>
      <c r="J24" s="1025"/>
      <c r="K24" s="838"/>
      <c r="L24" s="975"/>
      <c r="M24" s="908"/>
      <c r="N24" s="886"/>
      <c r="O24" s="887"/>
      <c r="P24" s="887"/>
      <c r="Q24" s="887"/>
      <c r="R24" s="887"/>
      <c r="S24" s="887"/>
      <c r="T24" s="887"/>
      <c r="U24" s="888"/>
      <c r="V24" s="268"/>
      <c r="W24" s="20"/>
      <c r="X24" s="791"/>
    </row>
    <row r="25" spans="1:24" ht="13.5" customHeight="1">
      <c r="A25" s="1026">
        <v>45056</v>
      </c>
      <c r="B25" s="965" t="s">
        <v>687</v>
      </c>
      <c r="C25" s="1023"/>
      <c r="D25" s="1024"/>
      <c r="E25" s="1024"/>
      <c r="F25" s="1024"/>
      <c r="G25" s="1024"/>
      <c r="H25" s="1024"/>
      <c r="I25" s="1024"/>
      <c r="J25" s="1025"/>
      <c r="K25" s="838"/>
      <c r="L25" s="974">
        <v>45071</v>
      </c>
      <c r="M25" s="965" t="s">
        <v>688</v>
      </c>
      <c r="N25" s="1023"/>
      <c r="O25" s="1024"/>
      <c r="P25" s="1024"/>
      <c r="Q25" s="1024"/>
      <c r="R25" s="1024"/>
      <c r="S25" s="1024"/>
      <c r="T25" s="1024"/>
      <c r="U25" s="1025"/>
      <c r="V25" s="268"/>
      <c r="W25" s="20"/>
      <c r="X25" s="791"/>
    </row>
    <row r="26" spans="1:24" ht="13.5" customHeight="1">
      <c r="A26" s="918"/>
      <c r="B26" s="908"/>
      <c r="C26" s="886"/>
      <c r="D26" s="887"/>
      <c r="E26" s="887"/>
      <c r="F26" s="887"/>
      <c r="G26" s="887"/>
      <c r="H26" s="887"/>
      <c r="I26" s="887"/>
      <c r="J26" s="888"/>
      <c r="K26" s="838"/>
      <c r="L26" s="975"/>
      <c r="M26" s="908"/>
      <c r="N26" s="886"/>
      <c r="O26" s="887"/>
      <c r="P26" s="887"/>
      <c r="Q26" s="887"/>
      <c r="R26" s="887"/>
      <c r="S26" s="887"/>
      <c r="T26" s="887"/>
      <c r="U26" s="888"/>
      <c r="V26" s="268"/>
      <c r="W26" s="20"/>
      <c r="X26" s="791"/>
    </row>
    <row r="27" spans="1:24" ht="13.5" customHeight="1">
      <c r="A27" s="1026">
        <v>45057</v>
      </c>
      <c r="B27" s="965" t="s">
        <v>688</v>
      </c>
      <c r="C27" s="1023"/>
      <c r="D27" s="1024"/>
      <c r="E27" s="1024"/>
      <c r="F27" s="1024"/>
      <c r="G27" s="1024"/>
      <c r="H27" s="1024"/>
      <c r="I27" s="1024"/>
      <c r="J27" s="1025"/>
      <c r="K27" s="838"/>
      <c r="L27" s="974">
        <v>45072</v>
      </c>
      <c r="M27" s="965" t="s">
        <v>689</v>
      </c>
      <c r="N27" s="1023"/>
      <c r="O27" s="1024"/>
      <c r="P27" s="1024"/>
      <c r="Q27" s="1024"/>
      <c r="R27" s="1024"/>
      <c r="S27" s="1024"/>
      <c r="T27" s="1024"/>
      <c r="U27" s="1025"/>
      <c r="V27" s="268"/>
      <c r="W27" s="20"/>
      <c r="X27" s="791"/>
    </row>
    <row r="28" spans="1:24" ht="13.5" customHeight="1">
      <c r="A28" s="918"/>
      <c r="B28" s="908"/>
      <c r="C28" s="1023"/>
      <c r="D28" s="1024"/>
      <c r="E28" s="1024"/>
      <c r="F28" s="1024"/>
      <c r="G28" s="1024"/>
      <c r="H28" s="1024"/>
      <c r="I28" s="1024"/>
      <c r="J28" s="1025"/>
      <c r="K28" s="838"/>
      <c r="L28" s="975"/>
      <c r="M28" s="908"/>
      <c r="N28" s="886"/>
      <c r="O28" s="887"/>
      <c r="P28" s="887"/>
      <c r="Q28" s="887"/>
      <c r="R28" s="887"/>
      <c r="S28" s="887"/>
      <c r="T28" s="887"/>
      <c r="U28" s="888"/>
      <c r="V28" s="268"/>
      <c r="W28" s="20"/>
      <c r="X28" s="791"/>
    </row>
    <row r="29" spans="1:24" ht="13.5" customHeight="1">
      <c r="A29" s="1026">
        <v>45058</v>
      </c>
      <c r="B29" s="965" t="s">
        <v>689</v>
      </c>
      <c r="C29" s="1023"/>
      <c r="D29" s="1024"/>
      <c r="E29" s="1024"/>
      <c r="F29" s="1024"/>
      <c r="G29" s="1024"/>
      <c r="H29" s="1024"/>
      <c r="I29" s="1024"/>
      <c r="J29" s="1025"/>
      <c r="K29" s="268"/>
      <c r="L29" s="987">
        <v>45073</v>
      </c>
      <c r="M29" s="925" t="s">
        <v>690</v>
      </c>
      <c r="N29" s="1023"/>
      <c r="O29" s="1024"/>
      <c r="P29" s="1024"/>
      <c r="Q29" s="1024"/>
      <c r="R29" s="1024"/>
      <c r="S29" s="1024"/>
      <c r="T29" s="1024"/>
      <c r="U29" s="1025"/>
      <c r="V29" s="268"/>
      <c r="X29" s="791"/>
    </row>
    <row r="30" spans="1:24" ht="13.5" customHeight="1">
      <c r="A30" s="918"/>
      <c r="B30" s="908"/>
      <c r="C30" s="1023"/>
      <c r="D30" s="1024"/>
      <c r="E30" s="1024"/>
      <c r="F30" s="1024"/>
      <c r="G30" s="1024"/>
      <c r="H30" s="1024"/>
      <c r="I30" s="1024"/>
      <c r="J30" s="1025"/>
      <c r="K30" s="838"/>
      <c r="L30" s="975"/>
      <c r="M30" s="908"/>
      <c r="N30" s="1023"/>
      <c r="O30" s="1024"/>
      <c r="P30" s="1024"/>
      <c r="Q30" s="1024"/>
      <c r="R30" s="1024"/>
      <c r="S30" s="1024"/>
      <c r="T30" s="1024"/>
      <c r="U30" s="1025"/>
      <c r="V30" s="268"/>
      <c r="X30" s="791"/>
    </row>
    <row r="31" spans="1:24" ht="13.5" customHeight="1">
      <c r="A31" s="927">
        <v>45059</v>
      </c>
      <c r="B31" s="925" t="s">
        <v>690</v>
      </c>
      <c r="C31" s="886" t="s">
        <v>704</v>
      </c>
      <c r="D31" s="887"/>
      <c r="E31" s="887"/>
      <c r="F31" s="887"/>
      <c r="G31" s="887"/>
      <c r="H31" s="887"/>
      <c r="I31" s="887"/>
      <c r="J31" s="888"/>
      <c r="K31" s="838" t="s">
        <v>691</v>
      </c>
      <c r="L31" s="989">
        <v>45074</v>
      </c>
      <c r="M31" s="924" t="s">
        <v>10</v>
      </c>
      <c r="N31" s="1023"/>
      <c r="O31" s="1024"/>
      <c r="P31" s="1024"/>
      <c r="Q31" s="1024"/>
      <c r="R31" s="1024"/>
      <c r="S31" s="1024"/>
      <c r="T31" s="1024"/>
      <c r="U31" s="1025"/>
      <c r="V31" s="268"/>
      <c r="X31" s="791"/>
    </row>
    <row r="32" spans="1:24" ht="13.5" customHeight="1">
      <c r="A32" s="918"/>
      <c r="B32" s="908"/>
      <c r="C32" s="1023"/>
      <c r="D32" s="1024"/>
      <c r="E32" s="1024"/>
      <c r="F32" s="1024"/>
      <c r="G32" s="1024"/>
      <c r="H32" s="1024"/>
      <c r="I32" s="1024"/>
      <c r="J32" s="1025"/>
      <c r="K32" s="838"/>
      <c r="L32" s="975"/>
      <c r="M32" s="908"/>
      <c r="N32" s="1023"/>
      <c r="O32" s="1024"/>
      <c r="P32" s="1024"/>
      <c r="Q32" s="1024"/>
      <c r="R32" s="1024"/>
      <c r="S32" s="1024"/>
      <c r="T32" s="1024"/>
      <c r="U32" s="1025"/>
      <c r="V32" s="268"/>
      <c r="X32" s="791"/>
    </row>
    <row r="33" spans="1:24" ht="13.5" customHeight="1">
      <c r="A33" s="923">
        <v>45060</v>
      </c>
      <c r="B33" s="924" t="s">
        <v>10</v>
      </c>
      <c r="C33" s="1023"/>
      <c r="D33" s="1024"/>
      <c r="E33" s="1024"/>
      <c r="F33" s="1024"/>
      <c r="G33" s="1024"/>
      <c r="H33" s="1024"/>
      <c r="I33" s="1024"/>
      <c r="J33" s="1025"/>
      <c r="K33" s="838"/>
      <c r="L33" s="974">
        <v>45075</v>
      </c>
      <c r="M33" s="965" t="s">
        <v>685</v>
      </c>
      <c r="N33" s="1023"/>
      <c r="O33" s="1024"/>
      <c r="P33" s="1024"/>
      <c r="Q33" s="1024"/>
      <c r="R33" s="1024"/>
      <c r="S33" s="1024"/>
      <c r="T33" s="1024"/>
      <c r="U33" s="1025"/>
      <c r="V33" s="268"/>
      <c r="X33" s="791"/>
    </row>
    <row r="34" spans="1:24" ht="13.5" customHeight="1">
      <c r="A34" s="918"/>
      <c r="B34" s="908"/>
      <c r="C34" s="1023"/>
      <c r="D34" s="1024"/>
      <c r="E34" s="1024"/>
      <c r="F34" s="1024"/>
      <c r="G34" s="1024"/>
      <c r="H34" s="1024"/>
      <c r="I34" s="1024"/>
      <c r="J34" s="1025"/>
      <c r="K34" s="838"/>
      <c r="L34" s="975"/>
      <c r="M34" s="908"/>
      <c r="N34" s="886"/>
      <c r="O34" s="887"/>
      <c r="P34" s="887"/>
      <c r="Q34" s="887"/>
      <c r="R34" s="887"/>
      <c r="S34" s="887"/>
      <c r="T34" s="887"/>
      <c r="U34" s="888"/>
      <c r="V34" s="268"/>
      <c r="X34" s="791"/>
    </row>
    <row r="35" spans="1:24" ht="13.5" customHeight="1">
      <c r="A35" s="1026">
        <v>45061</v>
      </c>
      <c r="B35" s="965" t="s">
        <v>685</v>
      </c>
      <c r="C35" s="1023"/>
      <c r="D35" s="1024"/>
      <c r="E35" s="1024"/>
      <c r="F35" s="1024"/>
      <c r="G35" s="1024"/>
      <c r="H35" s="1024"/>
      <c r="I35" s="1024"/>
      <c r="J35" s="1025"/>
      <c r="K35" s="838"/>
      <c r="L35" s="974">
        <v>45076</v>
      </c>
      <c r="M35" s="965" t="s">
        <v>686</v>
      </c>
      <c r="N35" s="1023"/>
      <c r="O35" s="1024"/>
      <c r="P35" s="1024"/>
      <c r="Q35" s="1024"/>
      <c r="R35" s="1024"/>
      <c r="S35" s="1024"/>
      <c r="T35" s="1024"/>
      <c r="U35" s="1025"/>
      <c r="V35" s="268"/>
      <c r="X35" s="791"/>
    </row>
    <row r="36" spans="1:24" ht="13.5" customHeight="1">
      <c r="A36" s="918"/>
      <c r="B36" s="908"/>
      <c r="C36" s="1023"/>
      <c r="D36" s="1024"/>
      <c r="E36" s="1024"/>
      <c r="F36" s="1024"/>
      <c r="G36" s="1024"/>
      <c r="H36" s="1024"/>
      <c r="I36" s="1024"/>
      <c r="J36" s="1025"/>
      <c r="K36" s="838"/>
      <c r="L36" s="975"/>
      <c r="M36" s="908"/>
      <c r="N36" s="886"/>
      <c r="O36" s="887"/>
      <c r="P36" s="887"/>
      <c r="Q36" s="887"/>
      <c r="R36" s="887"/>
      <c r="S36" s="887"/>
      <c r="T36" s="887"/>
      <c r="U36" s="888"/>
      <c r="V36" s="268"/>
      <c r="X36" s="791"/>
    </row>
    <row r="37" spans="1:24">
      <c r="A37" s="1026"/>
      <c r="B37" s="1002"/>
      <c r="C37" s="886"/>
      <c r="D37" s="887"/>
      <c r="E37" s="887"/>
      <c r="F37" s="887"/>
      <c r="G37" s="887"/>
      <c r="H37" s="887"/>
      <c r="I37" s="887"/>
      <c r="J37" s="888"/>
      <c r="K37" s="838"/>
      <c r="L37" s="974">
        <v>45077</v>
      </c>
      <c r="M37" s="965" t="s">
        <v>687</v>
      </c>
      <c r="N37" s="1027"/>
      <c r="O37" s="1028"/>
      <c r="P37" s="1028"/>
      <c r="Q37" s="1028"/>
      <c r="R37" s="1028"/>
      <c r="S37" s="1028"/>
      <c r="T37" s="1028"/>
      <c r="U37" s="1029"/>
      <c r="V37" s="268"/>
      <c r="X37" s="791"/>
    </row>
    <row r="38" spans="1:24">
      <c r="A38" s="918"/>
      <c r="B38" s="938"/>
      <c r="C38" s="948"/>
      <c r="D38" s="949"/>
      <c r="E38" s="949"/>
      <c r="F38" s="949"/>
      <c r="G38" s="949"/>
      <c r="H38" s="949"/>
      <c r="I38" s="949"/>
      <c r="J38" s="950"/>
      <c r="K38" s="838"/>
      <c r="L38" s="921"/>
      <c r="M38" s="1001"/>
      <c r="N38" s="948"/>
      <c r="O38" s="949"/>
      <c r="P38" s="949"/>
      <c r="Q38" s="949"/>
      <c r="R38" s="949"/>
      <c r="S38" s="949"/>
      <c r="T38" s="949"/>
      <c r="U38" s="950"/>
      <c r="V38" s="268"/>
      <c r="X38" s="791"/>
    </row>
    <row r="39" spans="1:24">
      <c r="A39" s="1030"/>
      <c r="B39" s="1031"/>
      <c r="C39" s="1031"/>
      <c r="D39" s="1031"/>
      <c r="E39" s="1031"/>
      <c r="F39" s="1031"/>
      <c r="G39" s="1031"/>
      <c r="H39" s="1031"/>
      <c r="I39" s="1031"/>
      <c r="J39" s="1031"/>
      <c r="K39" s="1031"/>
      <c r="L39" s="1031"/>
      <c r="M39" s="1031"/>
      <c r="N39" s="1031"/>
      <c r="O39" s="1031"/>
      <c r="P39" s="1031"/>
      <c r="Q39" s="1031"/>
      <c r="R39" s="1031"/>
      <c r="S39" s="1031"/>
      <c r="T39" s="1031"/>
      <c r="U39" s="1031"/>
      <c r="V39" s="1032"/>
      <c r="X39" s="791"/>
    </row>
    <row r="40" spans="1:24">
      <c r="A40" s="1033"/>
      <c r="B40" s="1034"/>
      <c r="C40" s="1034"/>
      <c r="D40" s="1034"/>
      <c r="E40" s="1034"/>
      <c r="F40" s="1034"/>
      <c r="G40" s="1034"/>
      <c r="H40" s="1034"/>
      <c r="I40" s="1034"/>
      <c r="J40" s="1034"/>
      <c r="K40" s="1034"/>
      <c r="L40" s="1034"/>
      <c r="M40" s="1034"/>
      <c r="N40" s="1034"/>
      <c r="O40" s="1034"/>
      <c r="P40" s="1034"/>
      <c r="Q40" s="1034"/>
      <c r="R40" s="1034"/>
      <c r="S40" s="1034"/>
      <c r="T40" s="1034"/>
      <c r="U40" s="1034"/>
      <c r="V40" s="1035"/>
      <c r="X40" s="791"/>
    </row>
    <row r="41" spans="1:24">
      <c r="A41" s="1033"/>
      <c r="B41" s="1034"/>
      <c r="C41" s="1034"/>
      <c r="D41" s="1034"/>
      <c r="E41" s="1034"/>
      <c r="F41" s="1034"/>
      <c r="G41" s="1034"/>
      <c r="H41" s="1034"/>
      <c r="I41" s="1034"/>
      <c r="J41" s="1034"/>
      <c r="K41" s="1034"/>
      <c r="L41" s="1034"/>
      <c r="M41" s="1034"/>
      <c r="N41" s="1034"/>
      <c r="O41" s="1034"/>
      <c r="P41" s="1034"/>
      <c r="Q41" s="1034"/>
      <c r="R41" s="1034"/>
      <c r="S41" s="1034"/>
      <c r="T41" s="1034"/>
      <c r="U41" s="1034"/>
      <c r="V41" s="1035"/>
      <c r="X41" s="791"/>
    </row>
    <row r="42" spans="1:24">
      <c r="A42" s="1033"/>
      <c r="B42" s="1034"/>
      <c r="C42" s="1034"/>
      <c r="D42" s="1034"/>
      <c r="E42" s="1034"/>
      <c r="F42" s="1034"/>
      <c r="G42" s="1034"/>
      <c r="H42" s="1034"/>
      <c r="I42" s="1034"/>
      <c r="J42" s="1034"/>
      <c r="K42" s="1034"/>
      <c r="L42" s="1034"/>
      <c r="M42" s="1034"/>
      <c r="N42" s="1034"/>
      <c r="O42" s="1034"/>
      <c r="P42" s="1034"/>
      <c r="Q42" s="1034"/>
      <c r="R42" s="1034"/>
      <c r="S42" s="1034"/>
      <c r="T42" s="1034"/>
      <c r="U42" s="1034"/>
      <c r="V42" s="1035"/>
      <c r="X42" s="791"/>
    </row>
    <row r="43" spans="1:24">
      <c r="A43" s="1033"/>
      <c r="B43" s="1034"/>
      <c r="C43" s="1034"/>
      <c r="D43" s="1034"/>
      <c r="E43" s="1034"/>
      <c r="F43" s="1034"/>
      <c r="G43" s="1034"/>
      <c r="H43" s="1034"/>
      <c r="I43" s="1034"/>
      <c r="J43" s="1034"/>
      <c r="K43" s="1034"/>
      <c r="L43" s="1034"/>
      <c r="M43" s="1034"/>
      <c r="N43" s="1034"/>
      <c r="O43" s="1034"/>
      <c r="P43" s="1034"/>
      <c r="Q43" s="1034"/>
      <c r="R43" s="1034"/>
      <c r="S43" s="1034"/>
      <c r="T43" s="1034"/>
      <c r="U43" s="1034"/>
      <c r="V43" s="1035"/>
      <c r="X43" s="791"/>
    </row>
    <row r="44" spans="1:24">
      <c r="A44" s="1033"/>
      <c r="B44" s="1034"/>
      <c r="C44" s="1034"/>
      <c r="D44" s="1034"/>
      <c r="E44" s="1034"/>
      <c r="F44" s="1034"/>
      <c r="G44" s="1034"/>
      <c r="H44" s="1034"/>
      <c r="I44" s="1034"/>
      <c r="J44" s="1034"/>
      <c r="K44" s="1034"/>
      <c r="L44" s="1034"/>
      <c r="M44" s="1034"/>
      <c r="N44" s="1034"/>
      <c r="O44" s="1034"/>
      <c r="P44" s="1034"/>
      <c r="Q44" s="1034"/>
      <c r="R44" s="1034"/>
      <c r="S44" s="1034"/>
      <c r="T44" s="1034"/>
      <c r="U44" s="1034"/>
      <c r="V44" s="1035"/>
      <c r="X44" s="791"/>
    </row>
    <row r="45" spans="1:24">
      <c r="A45" s="1033"/>
      <c r="B45" s="1034"/>
      <c r="C45" s="1034"/>
      <c r="D45" s="1034"/>
      <c r="E45" s="1034"/>
      <c r="F45" s="1034"/>
      <c r="G45" s="1034"/>
      <c r="H45" s="1034"/>
      <c r="I45" s="1034"/>
      <c r="J45" s="1034"/>
      <c r="K45" s="1034"/>
      <c r="L45" s="1034"/>
      <c r="M45" s="1034"/>
      <c r="N45" s="1034"/>
      <c r="O45" s="1034"/>
      <c r="P45" s="1034"/>
      <c r="Q45" s="1034"/>
      <c r="R45" s="1034"/>
      <c r="S45" s="1034"/>
      <c r="T45" s="1034"/>
      <c r="U45" s="1034"/>
      <c r="V45" s="1035"/>
      <c r="X45" s="791"/>
    </row>
    <row r="46" spans="1:24">
      <c r="A46" s="1036"/>
      <c r="B46" s="1037"/>
      <c r="C46" s="1037"/>
      <c r="D46" s="1037"/>
      <c r="E46" s="1037"/>
      <c r="F46" s="1037"/>
      <c r="G46" s="1037"/>
      <c r="H46" s="1037"/>
      <c r="I46" s="1037"/>
      <c r="J46" s="1037"/>
      <c r="K46" s="1037"/>
      <c r="L46" s="1037"/>
      <c r="M46" s="1037"/>
      <c r="N46" s="1037"/>
      <c r="O46" s="1037"/>
      <c r="P46" s="1037"/>
      <c r="Q46" s="1037"/>
      <c r="R46" s="1037"/>
      <c r="S46" s="1037"/>
      <c r="T46" s="1037"/>
      <c r="U46" s="1037"/>
      <c r="V46" s="1038"/>
    </row>
    <row r="48" spans="1:24">
      <c r="C48" s="82"/>
      <c r="V48" s="260"/>
    </row>
    <row r="49" spans="1:22">
      <c r="A49" s="20"/>
      <c r="B49" s="82"/>
      <c r="C49" s="82"/>
      <c r="K49" s="810"/>
      <c r="N49"/>
      <c r="V49" s="260"/>
    </row>
    <row r="50" spans="1:22">
      <c r="A50" s="20"/>
      <c r="B50" s="82"/>
      <c r="D50"/>
      <c r="K50" s="810"/>
      <c r="N50"/>
      <c r="V50" s="260"/>
    </row>
    <row r="51" spans="1:22">
      <c r="C51" s="269"/>
      <c r="D51" s="811"/>
      <c r="K51" s="810"/>
      <c r="N51"/>
      <c r="V51" s="260"/>
    </row>
    <row r="52" spans="1:22">
      <c r="C52" s="269"/>
      <c r="D52" s="811"/>
      <c r="K52" s="810"/>
      <c r="N52"/>
      <c r="V52" s="260"/>
    </row>
    <row r="53" spans="1:22">
      <c r="D53"/>
      <c r="K53" s="810"/>
      <c r="N53"/>
      <c r="V53" s="260"/>
    </row>
    <row r="54" spans="1:22">
      <c r="D54"/>
      <c r="K54" s="810"/>
      <c r="N54"/>
      <c r="V54" s="260"/>
    </row>
    <row r="55" spans="1:22">
      <c r="D55"/>
      <c r="K55" s="810"/>
      <c r="N55"/>
      <c r="V55" s="260"/>
    </row>
    <row r="56" spans="1:22">
      <c r="D56"/>
      <c r="K56" s="810"/>
      <c r="N56"/>
      <c r="V56" s="260"/>
    </row>
    <row r="57" spans="1:22">
      <c r="D57"/>
      <c r="K57" s="810"/>
      <c r="N57"/>
      <c r="V57" s="260"/>
    </row>
    <row r="58" spans="1:22">
      <c r="D58"/>
      <c r="K58" s="810"/>
      <c r="N58"/>
      <c r="V58" s="260"/>
    </row>
    <row r="59" spans="1:22">
      <c r="D59"/>
      <c r="K59" s="810"/>
      <c r="N59"/>
      <c r="V59" s="260"/>
    </row>
    <row r="60" spans="1:22">
      <c r="N60"/>
      <c r="V60" s="260"/>
    </row>
    <row r="61" spans="1:22">
      <c r="N61"/>
      <c r="V61" s="260"/>
    </row>
    <row r="62" spans="1:22">
      <c r="N62"/>
    </row>
  </sheetData>
  <mergeCells count="132">
    <mergeCell ref="A39:V46"/>
    <mergeCell ref="A37:A38"/>
    <mergeCell ref="B37:B38"/>
    <mergeCell ref="C37:J37"/>
    <mergeCell ref="L37:L38"/>
    <mergeCell ref="M37:M38"/>
    <mergeCell ref="N37:U37"/>
    <mergeCell ref="C38:J38"/>
    <mergeCell ref="N38:U38"/>
    <mergeCell ref="A35:A36"/>
    <mergeCell ref="B35:B36"/>
    <mergeCell ref="C35:J35"/>
    <mergeCell ref="L35:L36"/>
    <mergeCell ref="M35:M36"/>
    <mergeCell ref="N35:U35"/>
    <mergeCell ref="C36:J36"/>
    <mergeCell ref="N36:U36"/>
    <mergeCell ref="A33:A34"/>
    <mergeCell ref="B33:B34"/>
    <mergeCell ref="C33:J33"/>
    <mergeCell ref="L33:L34"/>
    <mergeCell ref="M33:M34"/>
    <mergeCell ref="N33:U33"/>
    <mergeCell ref="C34:J34"/>
    <mergeCell ref="N34:U34"/>
    <mergeCell ref="A31:A32"/>
    <mergeCell ref="B31:B32"/>
    <mergeCell ref="C31:J31"/>
    <mergeCell ref="L31:L32"/>
    <mergeCell ref="M31:M32"/>
    <mergeCell ref="N31:U31"/>
    <mergeCell ref="C32:J32"/>
    <mergeCell ref="N32:U32"/>
    <mergeCell ref="A29:A30"/>
    <mergeCell ref="B29:B30"/>
    <mergeCell ref="C29:J29"/>
    <mergeCell ref="L29:L30"/>
    <mergeCell ref="M29:M30"/>
    <mergeCell ref="N29:U29"/>
    <mergeCell ref="C30:J30"/>
    <mergeCell ref="N30:U30"/>
    <mergeCell ref="A27:A28"/>
    <mergeCell ref="B27:B28"/>
    <mergeCell ref="C27:J27"/>
    <mergeCell ref="L27:L28"/>
    <mergeCell ref="M27:M28"/>
    <mergeCell ref="N27:U27"/>
    <mergeCell ref="C28:J28"/>
    <mergeCell ref="N28:U28"/>
    <mergeCell ref="A25:A26"/>
    <mergeCell ref="B25:B26"/>
    <mergeCell ref="C25:J25"/>
    <mergeCell ref="L25:L26"/>
    <mergeCell ref="M25:M26"/>
    <mergeCell ref="N25:U25"/>
    <mergeCell ref="C26:J26"/>
    <mergeCell ref="N26:U26"/>
    <mergeCell ref="A23:A24"/>
    <mergeCell ref="B23:B24"/>
    <mergeCell ref="C23:J23"/>
    <mergeCell ref="L23:L24"/>
    <mergeCell ref="M23:M24"/>
    <mergeCell ref="N23:U23"/>
    <mergeCell ref="C24:J24"/>
    <mergeCell ref="N24:U24"/>
    <mergeCell ref="A21:A22"/>
    <mergeCell ref="B21:B22"/>
    <mergeCell ref="C21:J21"/>
    <mergeCell ref="L21:L22"/>
    <mergeCell ref="M21:M22"/>
    <mergeCell ref="N21:U21"/>
    <mergeCell ref="C22:J22"/>
    <mergeCell ref="N22:U22"/>
    <mergeCell ref="A19:A20"/>
    <mergeCell ref="B19:B20"/>
    <mergeCell ref="C19:J19"/>
    <mergeCell ref="L19:L20"/>
    <mergeCell ref="M19:M20"/>
    <mergeCell ref="N19:U19"/>
    <mergeCell ref="C20:J20"/>
    <mergeCell ref="N20:U20"/>
    <mergeCell ref="A17:A18"/>
    <mergeCell ref="B17:B18"/>
    <mergeCell ref="C17:J17"/>
    <mergeCell ref="L17:L18"/>
    <mergeCell ref="M17:M18"/>
    <mergeCell ref="N17:U17"/>
    <mergeCell ref="C18:J18"/>
    <mergeCell ref="N18:U18"/>
    <mergeCell ref="A15:A16"/>
    <mergeCell ref="B15:B16"/>
    <mergeCell ref="C15:J15"/>
    <mergeCell ref="L15:L16"/>
    <mergeCell ref="M15:M16"/>
    <mergeCell ref="N15:U15"/>
    <mergeCell ref="C16:J16"/>
    <mergeCell ref="N16:U16"/>
    <mergeCell ref="A13:A14"/>
    <mergeCell ref="B13:B14"/>
    <mergeCell ref="C13:J13"/>
    <mergeCell ref="L13:L14"/>
    <mergeCell ref="M13:M14"/>
    <mergeCell ref="N13:U13"/>
    <mergeCell ref="C14:J14"/>
    <mergeCell ref="N14:U14"/>
    <mergeCell ref="A11:A12"/>
    <mergeCell ref="B11:B12"/>
    <mergeCell ref="C11:J11"/>
    <mergeCell ref="L11:L12"/>
    <mergeCell ref="M11:M12"/>
    <mergeCell ref="N11:U11"/>
    <mergeCell ref="C12:J12"/>
    <mergeCell ref="N12:U12"/>
    <mergeCell ref="N8:U8"/>
    <mergeCell ref="A9:A10"/>
    <mergeCell ref="B9:B10"/>
    <mergeCell ref="C9:J9"/>
    <mergeCell ref="L9:L10"/>
    <mergeCell ref="M9:M10"/>
    <mergeCell ref="N9:U9"/>
    <mergeCell ref="C10:J10"/>
    <mergeCell ref="N10:U10"/>
    <mergeCell ref="A4:F4"/>
    <mergeCell ref="C6:J6"/>
    <mergeCell ref="N6:U6"/>
    <mergeCell ref="A7:A8"/>
    <mergeCell ref="B7:B8"/>
    <mergeCell ref="C7:J7"/>
    <mergeCell ref="L7:L8"/>
    <mergeCell ref="M7:M8"/>
    <mergeCell ref="N7:U7"/>
    <mergeCell ref="C8:J8"/>
  </mergeCells>
  <phoneticPr fontId="8"/>
  <dataValidations count="1">
    <dataValidation type="list" allowBlank="1" showInputMessage="1" showErrorMessage="1" sqref="B31 B33 B35 B7 B9 B11 B13 B15 B17 B19 B21 B23 B25 B27 B29" xr:uid="{00000000-0002-0000-0500-000000000000}">
      <formula1>"日,月,火,水,木,金,土"</formula1>
    </dataValidation>
  </dataValidations>
  <pageMargins left="0.78740157480314965" right="0.78740157480314965" top="0.98425196850393704" bottom="0.6692913385826772" header="0.51181102362204722" footer="0.51181102362204722"/>
  <pageSetup paperSize="9" scale="66" orientation="landscape"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tabColor rgb="FFFF0000"/>
    <pageSetUpPr fitToPage="1"/>
  </sheetPr>
  <dimension ref="A1:V50"/>
  <sheetViews>
    <sheetView view="pageBreakPreview" zoomScaleNormal="100" zoomScaleSheetLayoutView="100" workbookViewId="0">
      <selection activeCell="N36" sqref="N36:U36"/>
    </sheetView>
  </sheetViews>
  <sheetFormatPr defaultColWidth="9" defaultRowHeight="13.2"/>
  <cols>
    <col min="1" max="16384" width="9" style="18"/>
  </cols>
  <sheetData>
    <row r="1" spans="1:22" ht="24" thickBot="1">
      <c r="A1" s="1" t="s">
        <v>19</v>
      </c>
      <c r="B1" s="2"/>
      <c r="C1" s="852"/>
      <c r="D1" s="852"/>
      <c r="E1" s="67"/>
      <c r="F1" s="67"/>
      <c r="G1" s="67"/>
      <c r="H1" s="67"/>
      <c r="I1" s="67"/>
      <c r="J1" s="67"/>
      <c r="K1" s="67"/>
      <c r="L1" s="67"/>
      <c r="M1" s="67"/>
      <c r="N1" s="67"/>
      <c r="O1" s="67"/>
      <c r="P1" s="67"/>
      <c r="Q1" s="67"/>
      <c r="R1" s="67"/>
      <c r="S1" s="67"/>
      <c r="T1" s="67"/>
      <c r="U1" s="67"/>
      <c r="V1" s="67"/>
    </row>
    <row r="2" spans="1:22" ht="17.25" customHeight="1" thickTop="1">
      <c r="A2" s="4"/>
      <c r="B2" s="5"/>
    </row>
    <row r="3" spans="1:22" ht="17.25" customHeight="1">
      <c r="A3" s="4"/>
      <c r="B3" s="5"/>
    </row>
    <row r="4" spans="1:22" s="7" customFormat="1" ht="18" customHeight="1">
      <c r="A4" s="1070" t="s">
        <v>106</v>
      </c>
      <c r="B4" s="1071"/>
      <c r="C4" s="1071"/>
      <c r="D4" s="1071"/>
      <c r="E4" s="1071"/>
      <c r="F4" s="1072"/>
    </row>
    <row r="5" spans="1:22" s="7" customFormat="1" ht="14.1" customHeight="1"/>
    <row r="6" spans="1:22" s="7" customFormat="1" ht="14.1" customHeight="1">
      <c r="A6" s="851" t="s">
        <v>10</v>
      </c>
      <c r="B6" s="851" t="s">
        <v>14</v>
      </c>
      <c r="C6" s="1073" t="s">
        <v>15</v>
      </c>
      <c r="D6" s="1074"/>
      <c r="E6" s="1074"/>
      <c r="F6" s="1074"/>
      <c r="G6" s="1074"/>
      <c r="H6" s="1074"/>
      <c r="I6" s="1074"/>
      <c r="J6" s="1075"/>
      <c r="K6" s="267" t="s">
        <v>16</v>
      </c>
      <c r="L6" s="850" t="s">
        <v>10</v>
      </c>
      <c r="M6" s="8" t="s">
        <v>14</v>
      </c>
      <c r="N6" s="1073" t="s">
        <v>15</v>
      </c>
      <c r="O6" s="1074"/>
      <c r="P6" s="1074"/>
      <c r="Q6" s="1074"/>
      <c r="R6" s="1074"/>
      <c r="S6" s="1074"/>
      <c r="T6" s="1074"/>
      <c r="U6" s="1075"/>
      <c r="V6" s="846" t="s">
        <v>16</v>
      </c>
    </row>
    <row r="7" spans="1:22" ht="13.5" customHeight="1">
      <c r="A7" s="1076">
        <v>45047</v>
      </c>
      <c r="B7" s="1078">
        <f>A7</f>
        <v>45047</v>
      </c>
      <c r="C7" s="1079" t="s">
        <v>346</v>
      </c>
      <c r="D7" s="1080"/>
      <c r="E7" s="1080"/>
      <c r="F7" s="1080"/>
      <c r="G7" s="1080"/>
      <c r="H7" s="1080"/>
      <c r="I7" s="1080"/>
      <c r="J7" s="1081"/>
      <c r="K7" s="1058" t="s">
        <v>691</v>
      </c>
      <c r="L7" s="1082">
        <f>A35+1</f>
        <v>45062</v>
      </c>
      <c r="M7" s="1078">
        <f>L7</f>
        <v>45062</v>
      </c>
      <c r="N7" s="1079" t="s">
        <v>346</v>
      </c>
      <c r="O7" s="1080"/>
      <c r="P7" s="1080"/>
      <c r="Q7" s="1080"/>
      <c r="R7" s="1080"/>
      <c r="S7" s="1080"/>
      <c r="T7" s="1080"/>
      <c r="U7" s="1081"/>
      <c r="V7" s="1068" t="s">
        <v>691</v>
      </c>
    </row>
    <row r="8" spans="1:22" ht="13.5" customHeight="1">
      <c r="A8" s="1077"/>
      <c r="B8" s="1051"/>
      <c r="C8" s="1045" t="s">
        <v>604</v>
      </c>
      <c r="D8" s="1046"/>
      <c r="E8" s="1046"/>
      <c r="F8" s="1046"/>
      <c r="G8" s="1046"/>
      <c r="H8" s="1046"/>
      <c r="I8" s="1046"/>
      <c r="J8" s="1047"/>
      <c r="K8" s="1058"/>
      <c r="L8" s="1054"/>
      <c r="M8" s="1051"/>
      <c r="N8" s="1045" t="s">
        <v>604</v>
      </c>
      <c r="O8" s="1046"/>
      <c r="P8" s="1046"/>
      <c r="Q8" s="1046"/>
      <c r="R8" s="1046"/>
      <c r="S8" s="1046"/>
      <c r="T8" s="1046"/>
      <c r="U8" s="1047"/>
      <c r="V8" s="1069"/>
    </row>
    <row r="9" spans="1:22" ht="13.5" customHeight="1">
      <c r="A9" s="1048">
        <f>A7+1</f>
        <v>45048</v>
      </c>
      <c r="B9" s="1050">
        <f>A9</f>
        <v>45048</v>
      </c>
      <c r="C9" s="1045" t="s">
        <v>346</v>
      </c>
      <c r="D9" s="1046"/>
      <c r="E9" s="1046"/>
      <c r="F9" s="1046"/>
      <c r="G9" s="1046"/>
      <c r="H9" s="1046"/>
      <c r="I9" s="1046"/>
      <c r="J9" s="1047"/>
      <c r="K9" s="1052" t="s">
        <v>691</v>
      </c>
      <c r="L9" s="1053">
        <f>L7+1</f>
        <v>45063</v>
      </c>
      <c r="M9" s="1050">
        <f>L9</f>
        <v>45063</v>
      </c>
      <c r="N9" s="1045" t="s">
        <v>346</v>
      </c>
      <c r="O9" s="1046"/>
      <c r="P9" s="1046"/>
      <c r="Q9" s="1046"/>
      <c r="R9" s="1046"/>
      <c r="S9" s="1046"/>
      <c r="T9" s="1046"/>
      <c r="U9" s="1047"/>
      <c r="V9" s="1044" t="s">
        <v>691</v>
      </c>
    </row>
    <row r="10" spans="1:22" ht="13.5" customHeight="1">
      <c r="A10" s="1049"/>
      <c r="B10" s="1051"/>
      <c r="C10" s="1045" t="s">
        <v>604</v>
      </c>
      <c r="D10" s="1046"/>
      <c r="E10" s="1046"/>
      <c r="F10" s="1046"/>
      <c r="G10" s="1046"/>
      <c r="H10" s="1046"/>
      <c r="I10" s="1046"/>
      <c r="J10" s="1047"/>
      <c r="K10" s="1052"/>
      <c r="L10" s="1054"/>
      <c r="M10" s="1051"/>
      <c r="N10" s="1045" t="s">
        <v>604</v>
      </c>
      <c r="O10" s="1046"/>
      <c r="P10" s="1046"/>
      <c r="Q10" s="1046"/>
      <c r="R10" s="1046"/>
      <c r="S10" s="1046"/>
      <c r="T10" s="1046"/>
      <c r="U10" s="1047"/>
      <c r="V10" s="1044"/>
    </row>
    <row r="11" spans="1:22" ht="13.5" customHeight="1">
      <c r="A11" s="1048">
        <f>A9+1</f>
        <v>45049</v>
      </c>
      <c r="B11" s="1062">
        <f>A11</f>
        <v>45049</v>
      </c>
      <c r="C11" s="1045"/>
      <c r="D11" s="1046"/>
      <c r="E11" s="1046"/>
      <c r="F11" s="1046"/>
      <c r="G11" s="1046"/>
      <c r="H11" s="1046"/>
      <c r="I11" s="1046"/>
      <c r="J11" s="1047"/>
      <c r="K11" s="1052"/>
      <c r="L11" s="1053">
        <f>L9+1</f>
        <v>45064</v>
      </c>
      <c r="M11" s="1050">
        <f>L11</f>
        <v>45064</v>
      </c>
      <c r="N11" s="1045" t="s">
        <v>346</v>
      </c>
      <c r="O11" s="1046"/>
      <c r="P11" s="1046"/>
      <c r="Q11" s="1046"/>
      <c r="R11" s="1046"/>
      <c r="S11" s="1046"/>
      <c r="T11" s="1046"/>
      <c r="U11" s="1047"/>
      <c r="V11" s="1044" t="s">
        <v>691</v>
      </c>
    </row>
    <row r="12" spans="1:22" ht="13.5" customHeight="1">
      <c r="A12" s="1049"/>
      <c r="B12" s="1063"/>
      <c r="C12" s="1045"/>
      <c r="D12" s="1046"/>
      <c r="E12" s="1046"/>
      <c r="F12" s="1046"/>
      <c r="G12" s="1046"/>
      <c r="H12" s="1046"/>
      <c r="I12" s="1046"/>
      <c r="J12" s="1047"/>
      <c r="K12" s="1052"/>
      <c r="L12" s="1054"/>
      <c r="M12" s="1051"/>
      <c r="N12" s="1045" t="s">
        <v>604</v>
      </c>
      <c r="O12" s="1046"/>
      <c r="P12" s="1046"/>
      <c r="Q12" s="1046"/>
      <c r="R12" s="1046"/>
      <c r="S12" s="1046"/>
      <c r="T12" s="1046"/>
      <c r="U12" s="1047"/>
      <c r="V12" s="1044"/>
    </row>
    <row r="13" spans="1:22" ht="13.5" customHeight="1">
      <c r="A13" s="1048">
        <f>A11+1</f>
        <v>45050</v>
      </c>
      <c r="B13" s="1062">
        <f>A13</f>
        <v>45050</v>
      </c>
      <c r="C13" s="1045"/>
      <c r="D13" s="1046"/>
      <c r="E13" s="1046"/>
      <c r="F13" s="1046"/>
      <c r="G13" s="1046"/>
      <c r="H13" s="1046"/>
      <c r="I13" s="1046"/>
      <c r="J13" s="1047"/>
      <c r="K13" s="1052"/>
      <c r="L13" s="1053">
        <f>L11+1</f>
        <v>45065</v>
      </c>
      <c r="M13" s="1050">
        <f>L13</f>
        <v>45065</v>
      </c>
      <c r="N13" s="1045" t="s">
        <v>346</v>
      </c>
      <c r="O13" s="1046"/>
      <c r="P13" s="1046"/>
      <c r="Q13" s="1046"/>
      <c r="R13" s="1046"/>
      <c r="S13" s="1046"/>
      <c r="T13" s="1046"/>
      <c r="U13" s="1047"/>
      <c r="V13" s="1044" t="s">
        <v>691</v>
      </c>
    </row>
    <row r="14" spans="1:22" ht="13.5" customHeight="1">
      <c r="A14" s="1049"/>
      <c r="B14" s="1063"/>
      <c r="C14" s="1045"/>
      <c r="D14" s="1046"/>
      <c r="E14" s="1046"/>
      <c r="F14" s="1046"/>
      <c r="G14" s="1046"/>
      <c r="H14" s="1046"/>
      <c r="I14" s="1046"/>
      <c r="J14" s="1047"/>
      <c r="K14" s="1052"/>
      <c r="L14" s="1054"/>
      <c r="M14" s="1051"/>
      <c r="N14" s="1045" t="s">
        <v>604</v>
      </c>
      <c r="O14" s="1046"/>
      <c r="P14" s="1046"/>
      <c r="Q14" s="1046"/>
      <c r="R14" s="1046"/>
      <c r="S14" s="1046"/>
      <c r="T14" s="1046"/>
      <c r="U14" s="1047"/>
      <c r="V14" s="1044"/>
    </row>
    <row r="15" spans="1:22" ht="13.5" customHeight="1">
      <c r="A15" s="1048">
        <f>A13+1</f>
        <v>45051</v>
      </c>
      <c r="B15" s="1062">
        <f>A15</f>
        <v>45051</v>
      </c>
      <c r="C15" s="1045"/>
      <c r="D15" s="1046"/>
      <c r="E15" s="1046"/>
      <c r="F15" s="1046"/>
      <c r="G15" s="1046"/>
      <c r="H15" s="1046"/>
      <c r="I15" s="1046"/>
      <c r="J15" s="1047"/>
      <c r="K15" s="1052"/>
      <c r="L15" s="1053">
        <f>L13+1</f>
        <v>45066</v>
      </c>
      <c r="M15" s="1064">
        <f>L15</f>
        <v>45066</v>
      </c>
      <c r="N15" s="1045"/>
      <c r="O15" s="1046"/>
      <c r="P15" s="1046"/>
      <c r="Q15" s="1046"/>
      <c r="R15" s="1046"/>
      <c r="S15" s="1046"/>
      <c r="T15" s="1046"/>
      <c r="U15" s="1047"/>
      <c r="V15" s="1044"/>
    </row>
    <row r="16" spans="1:22" ht="13.5" customHeight="1">
      <c r="A16" s="1049"/>
      <c r="B16" s="1063"/>
      <c r="C16" s="1045"/>
      <c r="D16" s="1046"/>
      <c r="E16" s="1046"/>
      <c r="F16" s="1046"/>
      <c r="G16" s="1046"/>
      <c r="H16" s="1046"/>
      <c r="I16" s="1046"/>
      <c r="J16" s="1047"/>
      <c r="K16" s="1052"/>
      <c r="L16" s="1054"/>
      <c r="M16" s="1065"/>
      <c r="N16" s="1045"/>
      <c r="O16" s="1046"/>
      <c r="P16" s="1046"/>
      <c r="Q16" s="1046"/>
      <c r="R16" s="1046"/>
      <c r="S16" s="1046"/>
      <c r="T16" s="1046"/>
      <c r="U16" s="1047"/>
      <c r="V16" s="1044"/>
    </row>
    <row r="17" spans="1:22" ht="13.5" customHeight="1">
      <c r="A17" s="1048">
        <f>A15+1</f>
        <v>45052</v>
      </c>
      <c r="B17" s="1064">
        <f>A17</f>
        <v>45052</v>
      </c>
      <c r="C17" s="1045"/>
      <c r="D17" s="1046"/>
      <c r="E17" s="1046"/>
      <c r="F17" s="1046"/>
      <c r="G17" s="1046"/>
      <c r="H17" s="1046"/>
      <c r="I17" s="1046"/>
      <c r="J17" s="1047"/>
      <c r="K17" s="1052"/>
      <c r="L17" s="1053">
        <f>L15+1</f>
        <v>45067</v>
      </c>
      <c r="M17" s="1062">
        <f>L17</f>
        <v>45067</v>
      </c>
      <c r="N17" s="1045"/>
      <c r="O17" s="1046"/>
      <c r="P17" s="1046"/>
      <c r="Q17" s="1046"/>
      <c r="R17" s="1046"/>
      <c r="S17" s="1046"/>
      <c r="T17" s="1046"/>
      <c r="U17" s="1047"/>
      <c r="V17" s="1044"/>
    </row>
    <row r="18" spans="1:22" ht="13.5" customHeight="1">
      <c r="A18" s="1049"/>
      <c r="B18" s="1065"/>
      <c r="C18" s="1045"/>
      <c r="D18" s="1046"/>
      <c r="E18" s="1046"/>
      <c r="F18" s="1046"/>
      <c r="G18" s="1046"/>
      <c r="H18" s="1046"/>
      <c r="I18" s="1046"/>
      <c r="J18" s="1047"/>
      <c r="K18" s="1052"/>
      <c r="L18" s="1054"/>
      <c r="M18" s="1063"/>
      <c r="N18" s="1045"/>
      <c r="O18" s="1046"/>
      <c r="P18" s="1046"/>
      <c r="Q18" s="1046"/>
      <c r="R18" s="1046"/>
      <c r="S18" s="1046"/>
      <c r="T18" s="1046"/>
      <c r="U18" s="1047"/>
      <c r="V18" s="1044"/>
    </row>
    <row r="19" spans="1:22" ht="13.5" customHeight="1">
      <c r="A19" s="1048">
        <f>A17+1</f>
        <v>45053</v>
      </c>
      <c r="B19" s="1062">
        <f>A19</f>
        <v>45053</v>
      </c>
      <c r="C19" s="1045"/>
      <c r="D19" s="1046"/>
      <c r="E19" s="1046"/>
      <c r="F19" s="1046"/>
      <c r="G19" s="1046"/>
      <c r="H19" s="1046"/>
      <c r="I19" s="1046"/>
      <c r="J19" s="1047"/>
      <c r="K19" s="1052"/>
      <c r="L19" s="1053">
        <f>L17+1</f>
        <v>45068</v>
      </c>
      <c r="M19" s="1050">
        <f>L19</f>
        <v>45068</v>
      </c>
      <c r="N19" s="1045" t="s">
        <v>346</v>
      </c>
      <c r="O19" s="1046"/>
      <c r="P19" s="1046"/>
      <c r="Q19" s="1046"/>
      <c r="R19" s="1046"/>
      <c r="S19" s="1046"/>
      <c r="T19" s="1046"/>
      <c r="U19" s="1047"/>
      <c r="V19" s="1044" t="s">
        <v>691</v>
      </c>
    </row>
    <row r="20" spans="1:22" ht="13.5" customHeight="1">
      <c r="A20" s="1049"/>
      <c r="B20" s="1063"/>
      <c r="C20" s="1045"/>
      <c r="D20" s="1046"/>
      <c r="E20" s="1046"/>
      <c r="F20" s="1046"/>
      <c r="G20" s="1046"/>
      <c r="H20" s="1046"/>
      <c r="I20" s="1046"/>
      <c r="J20" s="1047"/>
      <c r="K20" s="1052"/>
      <c r="L20" s="1054"/>
      <c r="M20" s="1051"/>
      <c r="N20" s="1045" t="s">
        <v>604</v>
      </c>
      <c r="O20" s="1046"/>
      <c r="P20" s="1046"/>
      <c r="Q20" s="1046"/>
      <c r="R20" s="1046"/>
      <c r="S20" s="1046"/>
      <c r="T20" s="1046"/>
      <c r="U20" s="1047"/>
      <c r="V20" s="1044"/>
    </row>
    <row r="21" spans="1:22" ht="13.5" customHeight="1">
      <c r="A21" s="1048">
        <f>A19+1</f>
        <v>45054</v>
      </c>
      <c r="B21" s="1050">
        <f>A21</f>
        <v>45054</v>
      </c>
      <c r="C21" s="1045" t="s">
        <v>346</v>
      </c>
      <c r="D21" s="1046"/>
      <c r="E21" s="1046"/>
      <c r="F21" s="1046"/>
      <c r="G21" s="1046"/>
      <c r="H21" s="1046"/>
      <c r="I21" s="1046"/>
      <c r="J21" s="1047"/>
      <c r="K21" s="1052" t="s">
        <v>691</v>
      </c>
      <c r="L21" s="1053">
        <f>L19+1</f>
        <v>45069</v>
      </c>
      <c r="M21" s="1050">
        <f>L21</f>
        <v>45069</v>
      </c>
      <c r="N21" s="1045" t="s">
        <v>346</v>
      </c>
      <c r="O21" s="1046"/>
      <c r="P21" s="1046"/>
      <c r="Q21" s="1046"/>
      <c r="R21" s="1046"/>
      <c r="S21" s="1046"/>
      <c r="T21" s="1046"/>
      <c r="U21" s="1047"/>
      <c r="V21" s="1044" t="s">
        <v>691</v>
      </c>
    </row>
    <row r="22" spans="1:22" ht="13.5" customHeight="1">
      <c r="A22" s="1049"/>
      <c r="B22" s="1051"/>
      <c r="C22" s="1045" t="s">
        <v>604</v>
      </c>
      <c r="D22" s="1046"/>
      <c r="E22" s="1046"/>
      <c r="F22" s="1046"/>
      <c r="G22" s="1046"/>
      <c r="H22" s="1046"/>
      <c r="I22" s="1046"/>
      <c r="J22" s="1047"/>
      <c r="K22" s="1052"/>
      <c r="L22" s="1054"/>
      <c r="M22" s="1051"/>
      <c r="N22" s="1045" t="s">
        <v>604</v>
      </c>
      <c r="O22" s="1046"/>
      <c r="P22" s="1046"/>
      <c r="Q22" s="1046"/>
      <c r="R22" s="1046"/>
      <c r="S22" s="1046"/>
      <c r="T22" s="1046"/>
      <c r="U22" s="1047"/>
      <c r="V22" s="1044"/>
    </row>
    <row r="23" spans="1:22" ht="13.5" customHeight="1">
      <c r="A23" s="1048">
        <f>A21+1</f>
        <v>45055</v>
      </c>
      <c r="B23" s="1050">
        <f>A23</f>
        <v>45055</v>
      </c>
      <c r="C23" s="1045" t="s">
        <v>346</v>
      </c>
      <c r="D23" s="1046"/>
      <c r="E23" s="1046"/>
      <c r="F23" s="1046"/>
      <c r="G23" s="1046"/>
      <c r="H23" s="1046"/>
      <c r="I23" s="1046"/>
      <c r="J23" s="1047"/>
      <c r="K23" s="1052" t="s">
        <v>691</v>
      </c>
      <c r="L23" s="1053">
        <f>L21+1</f>
        <v>45070</v>
      </c>
      <c r="M23" s="1050">
        <f>L23</f>
        <v>45070</v>
      </c>
      <c r="N23" s="1045" t="s">
        <v>346</v>
      </c>
      <c r="O23" s="1046"/>
      <c r="P23" s="1046"/>
      <c r="Q23" s="1046"/>
      <c r="R23" s="1046"/>
      <c r="S23" s="1046"/>
      <c r="T23" s="1046"/>
      <c r="U23" s="1047"/>
      <c r="V23" s="1044" t="s">
        <v>691</v>
      </c>
    </row>
    <row r="24" spans="1:22" ht="13.5" customHeight="1">
      <c r="A24" s="1049"/>
      <c r="B24" s="1051"/>
      <c r="C24" s="1045" t="s">
        <v>604</v>
      </c>
      <c r="D24" s="1046"/>
      <c r="E24" s="1046"/>
      <c r="F24" s="1046"/>
      <c r="G24" s="1046"/>
      <c r="H24" s="1046"/>
      <c r="I24" s="1046"/>
      <c r="J24" s="1047"/>
      <c r="K24" s="1052"/>
      <c r="L24" s="1054"/>
      <c r="M24" s="1051"/>
      <c r="N24" s="1055" t="s">
        <v>604</v>
      </c>
      <c r="O24" s="1056"/>
      <c r="P24" s="1056"/>
      <c r="Q24" s="1056"/>
      <c r="R24" s="1056"/>
      <c r="S24" s="1056"/>
      <c r="T24" s="1056"/>
      <c r="U24" s="1057"/>
      <c r="V24" s="1044"/>
    </row>
    <row r="25" spans="1:22" ht="13.5" customHeight="1">
      <c r="A25" s="1048">
        <f>A23+1</f>
        <v>45056</v>
      </c>
      <c r="B25" s="1050">
        <f>A25</f>
        <v>45056</v>
      </c>
      <c r="C25" s="1045" t="s">
        <v>346</v>
      </c>
      <c r="D25" s="1046"/>
      <c r="E25" s="1046"/>
      <c r="F25" s="1046"/>
      <c r="G25" s="1046"/>
      <c r="H25" s="1046"/>
      <c r="I25" s="1046"/>
      <c r="J25" s="1047"/>
      <c r="K25" s="1052" t="s">
        <v>691</v>
      </c>
      <c r="L25" s="1053">
        <f>L23+1</f>
        <v>45071</v>
      </c>
      <c r="M25" s="1050">
        <f>L25</f>
        <v>45071</v>
      </c>
      <c r="N25" s="1045" t="s">
        <v>346</v>
      </c>
      <c r="O25" s="1046"/>
      <c r="P25" s="1046"/>
      <c r="Q25" s="1046"/>
      <c r="R25" s="1046"/>
      <c r="S25" s="1046"/>
      <c r="T25" s="1046"/>
      <c r="U25" s="1047"/>
      <c r="V25" s="1044" t="s">
        <v>691</v>
      </c>
    </row>
    <row r="26" spans="1:22" ht="13.5" customHeight="1">
      <c r="A26" s="1049"/>
      <c r="B26" s="1051"/>
      <c r="C26" s="1045" t="s">
        <v>604</v>
      </c>
      <c r="D26" s="1046"/>
      <c r="E26" s="1046"/>
      <c r="F26" s="1046"/>
      <c r="G26" s="1046"/>
      <c r="H26" s="1046"/>
      <c r="I26" s="1046"/>
      <c r="J26" s="1047"/>
      <c r="K26" s="1052"/>
      <c r="L26" s="1054"/>
      <c r="M26" s="1051"/>
      <c r="N26" s="1045" t="s">
        <v>604</v>
      </c>
      <c r="O26" s="1046"/>
      <c r="P26" s="1046"/>
      <c r="Q26" s="1046"/>
      <c r="R26" s="1046"/>
      <c r="S26" s="1046"/>
      <c r="T26" s="1046"/>
      <c r="U26" s="1047"/>
      <c r="V26" s="1044"/>
    </row>
    <row r="27" spans="1:22" ht="13.5" customHeight="1">
      <c r="A27" s="1048">
        <f>A25+1</f>
        <v>45057</v>
      </c>
      <c r="B27" s="1050">
        <f>A27</f>
        <v>45057</v>
      </c>
      <c r="C27" s="1055" t="s">
        <v>346</v>
      </c>
      <c r="D27" s="1056"/>
      <c r="E27" s="1056"/>
      <c r="F27" s="1056"/>
      <c r="G27" s="1056"/>
      <c r="H27" s="1056"/>
      <c r="I27" s="1056"/>
      <c r="J27" s="1057"/>
      <c r="K27" s="1052" t="s">
        <v>691</v>
      </c>
      <c r="L27" s="1053">
        <f>L25+1</f>
        <v>45072</v>
      </c>
      <c r="M27" s="1050">
        <f>L27</f>
        <v>45072</v>
      </c>
      <c r="N27" s="1045" t="s">
        <v>346</v>
      </c>
      <c r="O27" s="1046"/>
      <c r="P27" s="1046"/>
      <c r="Q27" s="1046"/>
      <c r="R27" s="1046"/>
      <c r="S27" s="1046"/>
      <c r="T27" s="1046"/>
      <c r="U27" s="1047"/>
      <c r="V27" s="1044" t="s">
        <v>691</v>
      </c>
    </row>
    <row r="28" spans="1:22" ht="13.5" customHeight="1">
      <c r="A28" s="1049"/>
      <c r="B28" s="1051"/>
      <c r="C28" s="1055" t="s">
        <v>604</v>
      </c>
      <c r="D28" s="1056"/>
      <c r="E28" s="1056"/>
      <c r="F28" s="1056"/>
      <c r="G28" s="1056"/>
      <c r="H28" s="1056"/>
      <c r="I28" s="1056"/>
      <c r="J28" s="1057"/>
      <c r="K28" s="1052"/>
      <c r="L28" s="1054"/>
      <c r="M28" s="1051"/>
      <c r="N28" s="1045" t="s">
        <v>604</v>
      </c>
      <c r="O28" s="1046"/>
      <c r="P28" s="1046"/>
      <c r="Q28" s="1046"/>
      <c r="R28" s="1046"/>
      <c r="S28" s="1046"/>
      <c r="T28" s="1046"/>
      <c r="U28" s="1047"/>
      <c r="V28" s="1044"/>
    </row>
    <row r="29" spans="1:22" ht="13.5" customHeight="1">
      <c r="A29" s="1048">
        <f>A27+1</f>
        <v>45058</v>
      </c>
      <c r="B29" s="1050">
        <f>A29</f>
        <v>45058</v>
      </c>
      <c r="C29" s="1045" t="s">
        <v>346</v>
      </c>
      <c r="D29" s="1046"/>
      <c r="E29" s="1046"/>
      <c r="F29" s="1046"/>
      <c r="G29" s="1046"/>
      <c r="H29" s="1046"/>
      <c r="I29" s="1046"/>
      <c r="J29" s="1047"/>
      <c r="K29" s="1052" t="s">
        <v>691</v>
      </c>
      <c r="L29" s="1053">
        <f>L27+1</f>
        <v>45073</v>
      </c>
      <c r="M29" s="1064">
        <f>L29</f>
        <v>45073</v>
      </c>
      <c r="N29" s="1045"/>
      <c r="O29" s="1046"/>
      <c r="P29" s="1046"/>
      <c r="Q29" s="1046"/>
      <c r="R29" s="1046"/>
      <c r="S29" s="1046"/>
      <c r="T29" s="1046"/>
      <c r="U29" s="1047"/>
      <c r="V29" s="1044"/>
    </row>
    <row r="30" spans="1:22" ht="13.5" customHeight="1">
      <c r="A30" s="1049"/>
      <c r="B30" s="1051"/>
      <c r="C30" s="1045" t="s">
        <v>604</v>
      </c>
      <c r="D30" s="1046"/>
      <c r="E30" s="1046"/>
      <c r="F30" s="1046"/>
      <c r="G30" s="1046"/>
      <c r="H30" s="1046"/>
      <c r="I30" s="1046"/>
      <c r="J30" s="1047"/>
      <c r="K30" s="1052"/>
      <c r="L30" s="1054"/>
      <c r="M30" s="1065"/>
      <c r="N30" s="1045"/>
      <c r="O30" s="1046"/>
      <c r="P30" s="1046"/>
      <c r="Q30" s="1046"/>
      <c r="R30" s="1046"/>
      <c r="S30" s="1046"/>
      <c r="T30" s="1046"/>
      <c r="U30" s="1047"/>
      <c r="V30" s="1044"/>
    </row>
    <row r="31" spans="1:22" ht="13.5" customHeight="1">
      <c r="A31" s="1048">
        <f>A29+1</f>
        <v>45059</v>
      </c>
      <c r="B31" s="1064">
        <f>A31</f>
        <v>45059</v>
      </c>
      <c r="C31" s="1045"/>
      <c r="D31" s="1046"/>
      <c r="E31" s="1046"/>
      <c r="F31" s="1046"/>
      <c r="G31" s="1046"/>
      <c r="H31" s="1046"/>
      <c r="I31" s="1046"/>
      <c r="J31" s="1047"/>
      <c r="K31" s="1052"/>
      <c r="L31" s="1053">
        <f>L29+1</f>
        <v>45074</v>
      </c>
      <c r="M31" s="1062">
        <f>L31</f>
        <v>45074</v>
      </c>
      <c r="N31" s="1055" t="s">
        <v>692</v>
      </c>
      <c r="O31" s="1066"/>
      <c r="P31" s="1066"/>
      <c r="Q31" s="1066"/>
      <c r="R31" s="1066"/>
      <c r="S31" s="1066"/>
      <c r="T31" s="1066"/>
      <c r="U31" s="1067"/>
      <c r="V31" s="1044" t="s">
        <v>691</v>
      </c>
    </row>
    <row r="32" spans="1:22" ht="13.5" customHeight="1">
      <c r="A32" s="1049"/>
      <c r="B32" s="1065"/>
      <c r="C32" s="1045"/>
      <c r="D32" s="1046"/>
      <c r="E32" s="1046"/>
      <c r="F32" s="1046"/>
      <c r="G32" s="1046"/>
      <c r="H32" s="1046"/>
      <c r="I32" s="1046"/>
      <c r="J32" s="1047"/>
      <c r="K32" s="1052"/>
      <c r="L32" s="1054"/>
      <c r="M32" s="1063"/>
      <c r="N32" s="1045"/>
      <c r="O32" s="1046"/>
      <c r="P32" s="1046"/>
      <c r="Q32" s="1046"/>
      <c r="R32" s="1046"/>
      <c r="S32" s="1046"/>
      <c r="T32" s="1046"/>
      <c r="U32" s="1047"/>
      <c r="V32" s="1044"/>
    </row>
    <row r="33" spans="1:22" ht="13.5" customHeight="1">
      <c r="A33" s="1048">
        <f>A31+1</f>
        <v>45060</v>
      </c>
      <c r="B33" s="1062">
        <f>A33</f>
        <v>45060</v>
      </c>
      <c r="C33" s="1045"/>
      <c r="D33" s="1046"/>
      <c r="E33" s="1046"/>
      <c r="F33" s="1046"/>
      <c r="G33" s="1046"/>
      <c r="H33" s="1046"/>
      <c r="I33" s="1046"/>
      <c r="J33" s="1047"/>
      <c r="K33" s="1052"/>
      <c r="L33" s="1053">
        <f>L31+1</f>
        <v>45075</v>
      </c>
      <c r="M33" s="1050">
        <f>L33</f>
        <v>45075</v>
      </c>
      <c r="N33" s="1045" t="s">
        <v>346</v>
      </c>
      <c r="O33" s="1046"/>
      <c r="P33" s="1046"/>
      <c r="Q33" s="1046"/>
      <c r="R33" s="1046"/>
      <c r="S33" s="1046"/>
      <c r="T33" s="1046"/>
      <c r="U33" s="1047"/>
      <c r="V33" s="1044" t="s">
        <v>691</v>
      </c>
    </row>
    <row r="34" spans="1:22" ht="13.5" customHeight="1">
      <c r="A34" s="1049"/>
      <c r="B34" s="1063"/>
      <c r="C34" s="1045"/>
      <c r="D34" s="1046"/>
      <c r="E34" s="1046"/>
      <c r="F34" s="1046"/>
      <c r="G34" s="1046"/>
      <c r="H34" s="1046"/>
      <c r="I34" s="1046"/>
      <c r="J34" s="1047"/>
      <c r="K34" s="1052"/>
      <c r="L34" s="1054"/>
      <c r="M34" s="1051"/>
      <c r="N34" s="1045" t="s">
        <v>604</v>
      </c>
      <c r="O34" s="1046"/>
      <c r="P34" s="1046"/>
      <c r="Q34" s="1046"/>
      <c r="R34" s="1046"/>
      <c r="S34" s="1046"/>
      <c r="T34" s="1046"/>
      <c r="U34" s="1047"/>
      <c r="V34" s="1044"/>
    </row>
    <row r="35" spans="1:22" ht="13.5" customHeight="1">
      <c r="A35" s="1048">
        <f>A33+1</f>
        <v>45061</v>
      </c>
      <c r="B35" s="1050">
        <f>A35</f>
        <v>45061</v>
      </c>
      <c r="C35" s="1045" t="s">
        <v>346</v>
      </c>
      <c r="D35" s="1046"/>
      <c r="E35" s="1046"/>
      <c r="F35" s="1046"/>
      <c r="G35" s="1046"/>
      <c r="H35" s="1046"/>
      <c r="I35" s="1046"/>
      <c r="J35" s="1047"/>
      <c r="K35" s="1052" t="s">
        <v>691</v>
      </c>
      <c r="L35" s="1053">
        <f>L33+1</f>
        <v>45076</v>
      </c>
      <c r="M35" s="1050">
        <f>L35</f>
        <v>45076</v>
      </c>
      <c r="N35" s="1045" t="s">
        <v>346</v>
      </c>
      <c r="O35" s="1046"/>
      <c r="P35" s="1046"/>
      <c r="Q35" s="1046"/>
      <c r="R35" s="1046"/>
      <c r="S35" s="1046"/>
      <c r="T35" s="1046"/>
      <c r="U35" s="1047"/>
      <c r="V35" s="1044" t="s">
        <v>691</v>
      </c>
    </row>
    <row r="36" spans="1:22" ht="13.5" customHeight="1">
      <c r="A36" s="1049"/>
      <c r="B36" s="1051"/>
      <c r="C36" s="1045" t="s">
        <v>604</v>
      </c>
      <c r="D36" s="1046"/>
      <c r="E36" s="1046"/>
      <c r="F36" s="1046"/>
      <c r="G36" s="1046"/>
      <c r="H36" s="1046"/>
      <c r="I36" s="1046"/>
      <c r="J36" s="1047"/>
      <c r="K36" s="1052"/>
      <c r="L36" s="1054"/>
      <c r="M36" s="1051"/>
      <c r="N36" s="1045" t="s">
        <v>604</v>
      </c>
      <c r="O36" s="1046"/>
      <c r="P36" s="1046"/>
      <c r="Q36" s="1046"/>
      <c r="R36" s="1046"/>
      <c r="S36" s="1046"/>
      <c r="T36" s="1046"/>
      <c r="U36" s="1047"/>
      <c r="V36" s="1044"/>
    </row>
    <row r="37" spans="1:22">
      <c r="A37" s="944"/>
      <c r="B37" s="944"/>
      <c r="C37" s="1055"/>
      <c r="D37" s="1056"/>
      <c r="E37" s="1056"/>
      <c r="F37" s="1056"/>
      <c r="G37" s="1056"/>
      <c r="H37" s="1056"/>
      <c r="I37" s="1056"/>
      <c r="J37" s="1057"/>
      <c r="K37" s="1058"/>
      <c r="L37" s="1053"/>
      <c r="M37" s="1050"/>
      <c r="N37" s="1045"/>
      <c r="O37" s="1046"/>
      <c r="P37" s="1046"/>
      <c r="Q37" s="1046"/>
      <c r="R37" s="1046"/>
      <c r="S37" s="1046"/>
      <c r="T37" s="1046"/>
      <c r="U37" s="1047"/>
      <c r="V37" s="1039"/>
    </row>
    <row r="38" spans="1:22">
      <c r="A38" s="945"/>
      <c r="B38" s="945"/>
      <c r="C38" s="1041"/>
      <c r="D38" s="1042"/>
      <c r="E38" s="1042"/>
      <c r="F38" s="1042"/>
      <c r="G38" s="1042"/>
      <c r="H38" s="1042"/>
      <c r="I38" s="1042"/>
      <c r="J38" s="1043"/>
      <c r="K38" s="1059"/>
      <c r="L38" s="1060"/>
      <c r="M38" s="1061"/>
      <c r="N38" s="1041"/>
      <c r="O38" s="1042"/>
      <c r="P38" s="1042"/>
      <c r="Q38" s="1042"/>
      <c r="R38" s="1042"/>
      <c r="S38" s="1042"/>
      <c r="T38" s="1042"/>
      <c r="U38" s="1043"/>
      <c r="V38" s="1040"/>
    </row>
    <row r="39" spans="1:22">
      <c r="A39"/>
      <c r="B39"/>
      <c r="C39" s="849"/>
      <c r="D39" s="849"/>
      <c r="E39" s="849"/>
      <c r="F39" s="849"/>
      <c r="G39" s="849"/>
      <c r="H39" s="849"/>
      <c r="I39" s="849"/>
      <c r="J39" s="849"/>
      <c r="K39"/>
      <c r="L39"/>
      <c r="M39"/>
      <c r="N39"/>
      <c r="O39"/>
      <c r="P39"/>
      <c r="Q39"/>
      <c r="R39"/>
      <c r="S39"/>
      <c r="T39"/>
      <c r="U39"/>
    </row>
    <row r="49" spans="1:3">
      <c r="A49" s="20"/>
      <c r="B49" s="82"/>
      <c r="C49" s="82"/>
    </row>
    <row r="50" spans="1:3">
      <c r="A50" s="20"/>
      <c r="B50" s="82"/>
      <c r="C50" s="82"/>
    </row>
  </sheetData>
  <mergeCells count="163">
    <mergeCell ref="A4:F4"/>
    <mergeCell ref="C6:J6"/>
    <mergeCell ref="N6:U6"/>
    <mergeCell ref="A7:A8"/>
    <mergeCell ref="B7:B8"/>
    <mergeCell ref="C7:J7"/>
    <mergeCell ref="K7:K8"/>
    <mergeCell ref="L7:L8"/>
    <mergeCell ref="M7:M8"/>
    <mergeCell ref="N7:U7"/>
    <mergeCell ref="V7:V8"/>
    <mergeCell ref="C8:J8"/>
    <mergeCell ref="N8:U8"/>
    <mergeCell ref="A9:A10"/>
    <mergeCell ref="B9:B10"/>
    <mergeCell ref="C9:J9"/>
    <mergeCell ref="K9:K10"/>
    <mergeCell ref="L9:L10"/>
    <mergeCell ref="M9:M10"/>
    <mergeCell ref="N9:U9"/>
    <mergeCell ref="V9:V10"/>
    <mergeCell ref="C10:J10"/>
    <mergeCell ref="N10:U10"/>
    <mergeCell ref="A11:A12"/>
    <mergeCell ref="B11:B12"/>
    <mergeCell ref="C11:J11"/>
    <mergeCell ref="K11:K12"/>
    <mergeCell ref="L11:L12"/>
    <mergeCell ref="M11:M12"/>
    <mergeCell ref="N11:U11"/>
    <mergeCell ref="V11:V12"/>
    <mergeCell ref="C12:J12"/>
    <mergeCell ref="N12:U12"/>
    <mergeCell ref="A13:A14"/>
    <mergeCell ref="B13:B14"/>
    <mergeCell ref="C13:J13"/>
    <mergeCell ref="K13:K14"/>
    <mergeCell ref="L13:L14"/>
    <mergeCell ref="M13:M14"/>
    <mergeCell ref="N13:U13"/>
    <mergeCell ref="V13:V14"/>
    <mergeCell ref="C14:J14"/>
    <mergeCell ref="N14:U14"/>
    <mergeCell ref="A15:A16"/>
    <mergeCell ref="B15:B16"/>
    <mergeCell ref="C15:J15"/>
    <mergeCell ref="K15:K16"/>
    <mergeCell ref="L15:L16"/>
    <mergeCell ref="M15:M16"/>
    <mergeCell ref="N15:U15"/>
    <mergeCell ref="V15:V16"/>
    <mergeCell ref="C16:J16"/>
    <mergeCell ref="N16:U16"/>
    <mergeCell ref="A17:A18"/>
    <mergeCell ref="B17:B18"/>
    <mergeCell ref="C17:J17"/>
    <mergeCell ref="K17:K18"/>
    <mergeCell ref="L17:L18"/>
    <mergeCell ref="M17:M18"/>
    <mergeCell ref="N17:U17"/>
    <mergeCell ref="V17:V18"/>
    <mergeCell ref="C18:J18"/>
    <mergeCell ref="N18:U18"/>
    <mergeCell ref="A19:A20"/>
    <mergeCell ref="B19:B20"/>
    <mergeCell ref="C19:J19"/>
    <mergeCell ref="K19:K20"/>
    <mergeCell ref="L19:L20"/>
    <mergeCell ref="M19:M20"/>
    <mergeCell ref="N19:U19"/>
    <mergeCell ref="V19:V20"/>
    <mergeCell ref="C20:J20"/>
    <mergeCell ref="N20:U20"/>
    <mergeCell ref="A21:A22"/>
    <mergeCell ref="B21:B22"/>
    <mergeCell ref="C21:J21"/>
    <mergeCell ref="K21:K22"/>
    <mergeCell ref="L21:L22"/>
    <mergeCell ref="M21:M22"/>
    <mergeCell ref="N21:U21"/>
    <mergeCell ref="V21:V22"/>
    <mergeCell ref="C22:J22"/>
    <mergeCell ref="N22:U22"/>
    <mergeCell ref="A23:A24"/>
    <mergeCell ref="B23:B24"/>
    <mergeCell ref="C23:J23"/>
    <mergeCell ref="K23:K24"/>
    <mergeCell ref="L23:L24"/>
    <mergeCell ref="M23:M24"/>
    <mergeCell ref="N23:U23"/>
    <mergeCell ref="V23:V24"/>
    <mergeCell ref="C24:J24"/>
    <mergeCell ref="N24:U24"/>
    <mergeCell ref="A25:A26"/>
    <mergeCell ref="B25:B26"/>
    <mergeCell ref="C25:J25"/>
    <mergeCell ref="K25:K26"/>
    <mergeCell ref="L25:L26"/>
    <mergeCell ref="M25:M26"/>
    <mergeCell ref="N25:U25"/>
    <mergeCell ref="V25:V26"/>
    <mergeCell ref="C26:J26"/>
    <mergeCell ref="N26:U26"/>
    <mergeCell ref="A27:A28"/>
    <mergeCell ref="B27:B28"/>
    <mergeCell ref="C27:J27"/>
    <mergeCell ref="K27:K28"/>
    <mergeCell ref="L27:L28"/>
    <mergeCell ref="M27:M28"/>
    <mergeCell ref="N27:U27"/>
    <mergeCell ref="V27:V28"/>
    <mergeCell ref="C28:J28"/>
    <mergeCell ref="N28:U28"/>
    <mergeCell ref="A29:A30"/>
    <mergeCell ref="B29:B30"/>
    <mergeCell ref="C29:J29"/>
    <mergeCell ref="K29:K30"/>
    <mergeCell ref="L29:L30"/>
    <mergeCell ref="M29:M30"/>
    <mergeCell ref="N29:U29"/>
    <mergeCell ref="V29:V30"/>
    <mergeCell ref="C30:J30"/>
    <mergeCell ref="N30:U30"/>
    <mergeCell ref="A31:A32"/>
    <mergeCell ref="B31:B32"/>
    <mergeCell ref="C31:J31"/>
    <mergeCell ref="K31:K32"/>
    <mergeCell ref="L31:L32"/>
    <mergeCell ref="M31:M32"/>
    <mergeCell ref="N31:U31"/>
    <mergeCell ref="V31:V32"/>
    <mergeCell ref="C32:J32"/>
    <mergeCell ref="N32:U32"/>
    <mergeCell ref="A33:A34"/>
    <mergeCell ref="B33:B34"/>
    <mergeCell ref="C33:J33"/>
    <mergeCell ref="K33:K34"/>
    <mergeCell ref="L33:L34"/>
    <mergeCell ref="M33:M34"/>
    <mergeCell ref="N33:U33"/>
    <mergeCell ref="V33:V34"/>
    <mergeCell ref="C34:J34"/>
    <mergeCell ref="N34:U34"/>
    <mergeCell ref="V37:V38"/>
    <mergeCell ref="C38:J38"/>
    <mergeCell ref="N38:U38"/>
    <mergeCell ref="V35:V36"/>
    <mergeCell ref="C36:J36"/>
    <mergeCell ref="N36:U36"/>
    <mergeCell ref="N37:U37"/>
    <mergeCell ref="A35:A36"/>
    <mergeCell ref="B35:B36"/>
    <mergeCell ref="C35:J35"/>
    <mergeCell ref="K35:K36"/>
    <mergeCell ref="L35:L36"/>
    <mergeCell ref="M35:M36"/>
    <mergeCell ref="N35:U35"/>
    <mergeCell ref="A37:A38"/>
    <mergeCell ref="B37:B38"/>
    <mergeCell ref="C37:J37"/>
    <mergeCell ref="K37:K38"/>
    <mergeCell ref="L37:L38"/>
    <mergeCell ref="M37:M38"/>
  </mergeCells>
  <phoneticPr fontId="8"/>
  <pageMargins left="0.7" right="0.7" top="0.75" bottom="0.75" header="0.3" footer="0.3"/>
  <pageSetup paperSize="9" scale="67" orientation="landscape" r:id="rId1"/>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pageSetUpPr fitToPage="1"/>
  </sheetPr>
  <dimension ref="A1:AD68"/>
  <sheetViews>
    <sheetView view="pageBreakPreview" topLeftCell="O1" zoomScale="80" zoomScaleNormal="85" zoomScaleSheetLayoutView="80" workbookViewId="0">
      <selection activeCell="Y34" sqref="Y34:AA34"/>
    </sheetView>
  </sheetViews>
  <sheetFormatPr defaultColWidth="9" defaultRowHeight="13.2"/>
  <cols>
    <col min="1" max="29" width="9" style="195"/>
    <col min="30" max="30" width="11.6640625" style="195" bestFit="1" customWidth="1"/>
    <col min="31" max="16384" width="9" style="195"/>
  </cols>
  <sheetData>
    <row r="1" spans="1:30" ht="24" thickBot="1">
      <c r="A1" s="1" t="s">
        <v>19</v>
      </c>
      <c r="B1" s="2"/>
      <c r="C1" s="196"/>
      <c r="D1" s="196"/>
      <c r="E1" s="196"/>
      <c r="F1" s="196"/>
      <c r="G1" s="196"/>
      <c r="H1" s="196"/>
      <c r="I1" s="14"/>
      <c r="J1" s="196"/>
      <c r="K1" s="196"/>
      <c r="L1" s="196"/>
      <c r="M1" s="196"/>
      <c r="N1" s="196"/>
      <c r="O1" s="196"/>
      <c r="P1" s="196"/>
      <c r="Q1" s="196"/>
      <c r="R1" s="196"/>
      <c r="S1" s="196"/>
      <c r="T1" s="196"/>
      <c r="U1" s="196"/>
      <c r="V1" s="196"/>
      <c r="W1" s="196"/>
      <c r="X1" s="196"/>
      <c r="Y1" s="196"/>
      <c r="Z1" s="196"/>
      <c r="AA1" s="196"/>
      <c r="AB1" s="196"/>
    </row>
    <row r="2" spans="1:30" ht="17.25" customHeight="1" thickTop="1">
      <c r="A2" s="4"/>
      <c r="B2" s="5"/>
      <c r="I2" s="15"/>
    </row>
    <row r="3" spans="1:30" ht="17.25" customHeight="1">
      <c r="A3" s="4"/>
      <c r="B3" s="5"/>
      <c r="I3" s="15"/>
      <c r="L3" s="87"/>
    </row>
    <row r="4" spans="1:30" s="7" customFormat="1" ht="18" customHeight="1">
      <c r="A4" s="899" t="s">
        <v>101</v>
      </c>
      <c r="B4" s="900"/>
      <c r="C4" s="900"/>
      <c r="D4" s="901"/>
      <c r="E4" s="12"/>
      <c r="AD4" s="794"/>
    </row>
    <row r="5" spans="1:30" s="7" customFormat="1" ht="14.1" customHeight="1"/>
    <row r="6" spans="1:30" ht="15" customHeight="1">
      <c r="A6" s="8" t="s">
        <v>5</v>
      </c>
      <c r="B6" s="8" t="s">
        <v>6</v>
      </c>
      <c r="C6" s="902" t="s">
        <v>7</v>
      </c>
      <c r="D6" s="903"/>
      <c r="E6" s="902" t="s">
        <v>11</v>
      </c>
      <c r="F6" s="904"/>
      <c r="G6" s="904"/>
      <c r="H6" s="904"/>
      <c r="I6" s="904"/>
      <c r="J6" s="903"/>
      <c r="K6" s="902" t="s">
        <v>12</v>
      </c>
      <c r="L6" s="904"/>
      <c r="M6" s="903"/>
      <c r="N6" s="275" t="s">
        <v>13</v>
      </c>
      <c r="O6" s="271" t="s">
        <v>5</v>
      </c>
      <c r="P6" s="9" t="s">
        <v>6</v>
      </c>
      <c r="Q6" s="902" t="s">
        <v>7</v>
      </c>
      <c r="R6" s="903"/>
      <c r="S6" s="902" t="s">
        <v>11</v>
      </c>
      <c r="T6" s="904"/>
      <c r="U6" s="904"/>
      <c r="V6" s="904"/>
      <c r="W6" s="904"/>
      <c r="X6" s="903"/>
      <c r="Y6" s="902" t="s">
        <v>12</v>
      </c>
      <c r="Z6" s="904"/>
      <c r="AA6" s="903"/>
      <c r="AB6" s="8" t="s">
        <v>13</v>
      </c>
      <c r="AD6" s="793"/>
    </row>
    <row r="7" spans="1:30" ht="13.5" customHeight="1">
      <c r="A7" s="1018">
        <v>45047</v>
      </c>
      <c r="B7" s="965" t="s">
        <v>685</v>
      </c>
      <c r="C7" s="909"/>
      <c r="D7" s="910"/>
      <c r="E7" s="886"/>
      <c r="F7" s="887"/>
      <c r="G7" s="887"/>
      <c r="H7" s="887"/>
      <c r="I7" s="887"/>
      <c r="J7" s="888"/>
      <c r="K7" s="1088"/>
      <c r="L7" s="1089"/>
      <c r="M7" s="1090"/>
      <c r="N7" s="799"/>
      <c r="O7" s="968">
        <v>45062</v>
      </c>
      <c r="P7" s="969" t="s">
        <v>686</v>
      </c>
      <c r="Q7" s="909"/>
      <c r="R7" s="910"/>
      <c r="S7" s="886"/>
      <c r="T7" s="887"/>
      <c r="U7" s="887"/>
      <c r="V7" s="887"/>
      <c r="W7" s="887"/>
      <c r="X7" s="888"/>
      <c r="Y7" s="886"/>
      <c r="Z7" s="887"/>
      <c r="AA7" s="888"/>
      <c r="AB7" s="243"/>
      <c r="AD7" s="793"/>
    </row>
    <row r="8" spans="1:30" ht="13.5" customHeight="1">
      <c r="A8" s="1084"/>
      <c r="B8" s="990"/>
      <c r="C8" s="889"/>
      <c r="D8" s="890"/>
      <c r="E8" s="886"/>
      <c r="F8" s="887"/>
      <c r="G8" s="887"/>
      <c r="H8" s="887"/>
      <c r="I8" s="887"/>
      <c r="J8" s="888"/>
      <c r="K8" s="1085"/>
      <c r="L8" s="1086"/>
      <c r="M8" s="1087"/>
      <c r="N8" s="800"/>
      <c r="O8" s="916"/>
      <c r="P8" s="908"/>
      <c r="Q8" s="889"/>
      <c r="R8" s="890"/>
      <c r="S8" s="886"/>
      <c r="T8" s="887"/>
      <c r="U8" s="887"/>
      <c r="V8" s="887"/>
      <c r="W8" s="887"/>
      <c r="X8" s="888"/>
      <c r="Y8" s="886"/>
      <c r="Z8" s="887"/>
      <c r="AA8" s="888"/>
      <c r="AB8" s="89"/>
      <c r="AD8" s="793"/>
    </row>
    <row r="9" spans="1:30" ht="13.5" customHeight="1">
      <c r="A9" s="1026">
        <v>45048</v>
      </c>
      <c r="B9" s="965" t="s">
        <v>686</v>
      </c>
      <c r="C9" s="999" t="s">
        <v>639</v>
      </c>
      <c r="D9" s="1092"/>
      <c r="E9" s="1083" t="s">
        <v>706</v>
      </c>
      <c r="F9" s="997"/>
      <c r="G9" s="997"/>
      <c r="H9" s="997"/>
      <c r="I9" s="997"/>
      <c r="J9" s="998"/>
      <c r="K9" s="1083" t="s">
        <v>660</v>
      </c>
      <c r="L9" s="997"/>
      <c r="M9" s="998"/>
      <c r="N9" s="847" t="s">
        <v>661</v>
      </c>
      <c r="O9" s="974">
        <v>45063</v>
      </c>
      <c r="P9" s="965" t="s">
        <v>687</v>
      </c>
      <c r="Q9" s="889"/>
      <c r="R9" s="890"/>
      <c r="S9" s="886"/>
      <c r="T9" s="887"/>
      <c r="U9" s="887"/>
      <c r="V9" s="887"/>
      <c r="W9" s="887"/>
      <c r="X9" s="888"/>
      <c r="Y9" s="886"/>
      <c r="Z9" s="887"/>
      <c r="AA9" s="888"/>
      <c r="AB9" s="268"/>
      <c r="AD9" s="793"/>
    </row>
    <row r="10" spans="1:30" ht="13.5" customHeight="1">
      <c r="A10" s="1091"/>
      <c r="B10" s="990"/>
      <c r="C10" s="999" t="s">
        <v>639</v>
      </c>
      <c r="D10" s="1092"/>
      <c r="E10" s="1083" t="s">
        <v>707</v>
      </c>
      <c r="F10" s="997"/>
      <c r="G10" s="997"/>
      <c r="H10" s="997"/>
      <c r="I10" s="997"/>
      <c r="J10" s="998"/>
      <c r="K10" s="1083" t="s">
        <v>660</v>
      </c>
      <c r="L10" s="997"/>
      <c r="M10" s="998"/>
      <c r="N10" s="847" t="s">
        <v>661</v>
      </c>
      <c r="O10" s="975"/>
      <c r="P10" s="908"/>
      <c r="Q10" s="889"/>
      <c r="R10" s="890"/>
      <c r="S10" s="886"/>
      <c r="T10" s="887"/>
      <c r="U10" s="887"/>
      <c r="V10" s="887"/>
      <c r="W10" s="887"/>
      <c r="X10" s="888"/>
      <c r="Y10" s="886"/>
      <c r="Z10" s="887"/>
      <c r="AA10" s="888"/>
      <c r="AB10" s="89"/>
      <c r="AD10" s="793"/>
    </row>
    <row r="11" spans="1:30" ht="13.5" customHeight="1">
      <c r="A11" s="923">
        <v>45049</v>
      </c>
      <c r="B11" s="924" t="s">
        <v>687</v>
      </c>
      <c r="C11" s="889"/>
      <c r="D11" s="890"/>
      <c r="E11" s="886"/>
      <c r="F11" s="887"/>
      <c r="G11" s="887"/>
      <c r="H11" s="887"/>
      <c r="I11" s="887"/>
      <c r="J11" s="888"/>
      <c r="K11" s="886"/>
      <c r="L11" s="887"/>
      <c r="M11" s="888"/>
      <c r="N11" s="838"/>
      <c r="O11" s="974">
        <v>45064</v>
      </c>
      <c r="P11" s="965" t="s">
        <v>688</v>
      </c>
      <c r="Q11" s="889"/>
      <c r="R11" s="890"/>
      <c r="S11" s="886"/>
      <c r="T11" s="887"/>
      <c r="U11" s="887"/>
      <c r="V11" s="887"/>
      <c r="W11" s="887"/>
      <c r="X11" s="888"/>
      <c r="Y11" s="886"/>
      <c r="Z11" s="887"/>
      <c r="AA11" s="888"/>
      <c r="AB11" s="89"/>
      <c r="AD11" s="793"/>
    </row>
    <row r="12" spans="1:30" ht="13.5" customHeight="1">
      <c r="A12" s="1091"/>
      <c r="B12" s="990"/>
      <c r="C12" s="889"/>
      <c r="D12" s="890"/>
      <c r="E12" s="886"/>
      <c r="F12" s="887"/>
      <c r="G12" s="887"/>
      <c r="H12" s="887"/>
      <c r="I12" s="887"/>
      <c r="J12" s="888"/>
      <c r="K12" s="886"/>
      <c r="L12" s="887"/>
      <c r="M12" s="888"/>
      <c r="N12" s="838"/>
      <c r="O12" s="975"/>
      <c r="P12" s="908"/>
      <c r="Q12" s="889"/>
      <c r="R12" s="890"/>
      <c r="S12" s="886"/>
      <c r="T12" s="887"/>
      <c r="U12" s="887"/>
      <c r="V12" s="887"/>
      <c r="W12" s="887"/>
      <c r="X12" s="888"/>
      <c r="Y12" s="886"/>
      <c r="Z12" s="887"/>
      <c r="AA12" s="888"/>
      <c r="AB12" s="89"/>
      <c r="AD12" s="793"/>
    </row>
    <row r="13" spans="1:30" ht="13.5" customHeight="1">
      <c r="A13" s="923">
        <v>45050</v>
      </c>
      <c r="B13" s="924" t="s">
        <v>688</v>
      </c>
      <c r="C13" s="889"/>
      <c r="D13" s="890"/>
      <c r="E13" s="886"/>
      <c r="F13" s="887"/>
      <c r="G13" s="887"/>
      <c r="H13" s="887"/>
      <c r="I13" s="887"/>
      <c r="J13" s="888"/>
      <c r="K13" s="886"/>
      <c r="L13" s="887"/>
      <c r="M13" s="888"/>
      <c r="N13" s="838"/>
      <c r="O13" s="974">
        <v>45065</v>
      </c>
      <c r="P13" s="965" t="s">
        <v>689</v>
      </c>
      <c r="Q13" s="889"/>
      <c r="R13" s="890"/>
      <c r="S13" s="886"/>
      <c r="T13" s="887"/>
      <c r="U13" s="887"/>
      <c r="V13" s="887"/>
      <c r="W13" s="887"/>
      <c r="X13" s="888"/>
      <c r="Y13" s="886"/>
      <c r="Z13" s="887"/>
      <c r="AA13" s="888"/>
      <c r="AB13" s="89"/>
      <c r="AD13" s="793"/>
    </row>
    <row r="14" spans="1:30" ht="13.5" customHeight="1">
      <c r="A14" s="1091"/>
      <c r="B14" s="990"/>
      <c r="C14" s="889"/>
      <c r="D14" s="890"/>
      <c r="E14" s="886"/>
      <c r="F14" s="887"/>
      <c r="G14" s="887"/>
      <c r="H14" s="887"/>
      <c r="I14" s="887"/>
      <c r="J14" s="888"/>
      <c r="K14" s="886"/>
      <c r="L14" s="887"/>
      <c r="M14" s="888"/>
      <c r="N14" s="838"/>
      <c r="O14" s="975"/>
      <c r="P14" s="908"/>
      <c r="Q14" s="889"/>
      <c r="R14" s="890"/>
      <c r="S14" s="886"/>
      <c r="T14" s="887"/>
      <c r="U14" s="887"/>
      <c r="V14" s="887"/>
      <c r="W14" s="887"/>
      <c r="X14" s="888"/>
      <c r="Y14" s="886"/>
      <c r="Z14" s="887"/>
      <c r="AA14" s="888"/>
      <c r="AB14" s="89"/>
      <c r="AD14" s="793"/>
    </row>
    <row r="15" spans="1:30" ht="13.5" customHeight="1">
      <c r="A15" s="923">
        <v>45051</v>
      </c>
      <c r="B15" s="924" t="s">
        <v>689</v>
      </c>
      <c r="C15" s="889"/>
      <c r="D15" s="890"/>
      <c r="E15" s="886"/>
      <c r="F15" s="887"/>
      <c r="G15" s="887"/>
      <c r="H15" s="887"/>
      <c r="I15" s="887"/>
      <c r="J15" s="888"/>
      <c r="K15" s="886"/>
      <c r="L15" s="887"/>
      <c r="M15" s="888"/>
      <c r="N15" s="838"/>
      <c r="O15" s="987">
        <v>45066</v>
      </c>
      <c r="P15" s="925" t="s">
        <v>690</v>
      </c>
      <c r="Q15" s="889"/>
      <c r="R15" s="890"/>
      <c r="S15" s="886"/>
      <c r="T15" s="887"/>
      <c r="U15" s="887"/>
      <c r="V15" s="887"/>
      <c r="W15" s="887"/>
      <c r="X15" s="888"/>
      <c r="Y15" s="886"/>
      <c r="Z15" s="887"/>
      <c r="AA15" s="888"/>
      <c r="AB15" s="89"/>
      <c r="AD15" s="793"/>
    </row>
    <row r="16" spans="1:30" ht="13.5" customHeight="1">
      <c r="A16" s="1091"/>
      <c r="B16" s="990"/>
      <c r="C16" s="889"/>
      <c r="D16" s="890"/>
      <c r="E16" s="886"/>
      <c r="F16" s="887"/>
      <c r="G16" s="887"/>
      <c r="H16" s="887"/>
      <c r="I16" s="887"/>
      <c r="J16" s="888"/>
      <c r="K16" s="886"/>
      <c r="L16" s="887"/>
      <c r="M16" s="888"/>
      <c r="N16" s="838"/>
      <c r="O16" s="975"/>
      <c r="P16" s="908"/>
      <c r="Q16" s="889"/>
      <c r="R16" s="890"/>
      <c r="S16" s="886"/>
      <c r="T16" s="887"/>
      <c r="U16" s="887"/>
      <c r="V16" s="887"/>
      <c r="W16" s="887"/>
      <c r="X16" s="888"/>
      <c r="Y16" s="886"/>
      <c r="Z16" s="887"/>
      <c r="AA16" s="888"/>
      <c r="AB16" s="89"/>
      <c r="AD16" s="793"/>
    </row>
    <row r="17" spans="1:30" ht="13.5" customHeight="1">
      <c r="A17" s="927">
        <v>45052</v>
      </c>
      <c r="B17" s="925" t="s">
        <v>690</v>
      </c>
      <c r="C17" s="889"/>
      <c r="D17" s="890"/>
      <c r="E17" s="886"/>
      <c r="F17" s="887"/>
      <c r="G17" s="887"/>
      <c r="H17" s="887"/>
      <c r="I17" s="887"/>
      <c r="J17" s="888"/>
      <c r="K17" s="886"/>
      <c r="L17" s="887"/>
      <c r="M17" s="888"/>
      <c r="N17" s="838"/>
      <c r="O17" s="989">
        <v>45067</v>
      </c>
      <c r="P17" s="924" t="s">
        <v>10</v>
      </c>
      <c r="Q17" s="889"/>
      <c r="R17" s="890"/>
      <c r="S17" s="886"/>
      <c r="T17" s="887"/>
      <c r="U17" s="887"/>
      <c r="V17" s="887"/>
      <c r="W17" s="887"/>
      <c r="X17" s="888"/>
      <c r="Y17" s="886"/>
      <c r="Z17" s="887"/>
      <c r="AA17" s="888"/>
      <c r="AB17" s="268"/>
      <c r="AD17" s="793"/>
    </row>
    <row r="18" spans="1:30" ht="13.5" customHeight="1">
      <c r="A18" s="1091"/>
      <c r="B18" s="990"/>
      <c r="C18" s="889"/>
      <c r="D18" s="890"/>
      <c r="E18" s="886"/>
      <c r="F18" s="887"/>
      <c r="G18" s="887"/>
      <c r="H18" s="887"/>
      <c r="I18" s="887"/>
      <c r="J18" s="888"/>
      <c r="K18" s="886"/>
      <c r="L18" s="887"/>
      <c r="M18" s="888"/>
      <c r="N18" s="838"/>
      <c r="O18" s="975"/>
      <c r="P18" s="908"/>
      <c r="Q18" s="889"/>
      <c r="R18" s="890"/>
      <c r="S18" s="886"/>
      <c r="T18" s="887"/>
      <c r="U18" s="887"/>
      <c r="V18" s="887"/>
      <c r="W18" s="887"/>
      <c r="X18" s="888"/>
      <c r="Y18" s="886"/>
      <c r="Z18" s="887"/>
      <c r="AA18" s="888"/>
      <c r="AB18" s="89"/>
      <c r="AD18" s="793"/>
    </row>
    <row r="19" spans="1:30" ht="13.5" customHeight="1">
      <c r="A19" s="923">
        <v>45053</v>
      </c>
      <c r="B19" s="924" t="s">
        <v>10</v>
      </c>
      <c r="C19" s="889"/>
      <c r="D19" s="890"/>
      <c r="E19" s="1055"/>
      <c r="F19" s="1056"/>
      <c r="G19" s="1056"/>
      <c r="H19" s="1056"/>
      <c r="I19" s="1056"/>
      <c r="J19" s="1057"/>
      <c r="K19" s="886"/>
      <c r="L19" s="887"/>
      <c r="M19" s="888"/>
      <c r="N19" s="838"/>
      <c r="O19" s="974">
        <v>45068</v>
      </c>
      <c r="P19" s="965" t="s">
        <v>685</v>
      </c>
      <c r="Q19" s="977"/>
      <c r="R19" s="978"/>
      <c r="S19" s="984"/>
      <c r="T19" s="980"/>
      <c r="U19" s="980"/>
      <c r="V19" s="980"/>
      <c r="W19" s="980"/>
      <c r="X19" s="981"/>
      <c r="Y19" s="984"/>
      <c r="Z19" s="980"/>
      <c r="AA19" s="981"/>
      <c r="AB19" s="276"/>
      <c r="AD19" s="793"/>
    </row>
    <row r="20" spans="1:30" ht="13.5" customHeight="1">
      <c r="A20" s="1091"/>
      <c r="B20" s="990"/>
      <c r="C20" s="889"/>
      <c r="D20" s="890"/>
      <c r="E20" s="1055"/>
      <c r="F20" s="1056"/>
      <c r="G20" s="1056"/>
      <c r="H20" s="1056"/>
      <c r="I20" s="1056"/>
      <c r="J20" s="1057"/>
      <c r="K20" s="886"/>
      <c r="L20" s="887"/>
      <c r="M20" s="888"/>
      <c r="N20" s="838"/>
      <c r="O20" s="975"/>
      <c r="P20" s="908"/>
      <c r="Q20" s="977"/>
      <c r="R20" s="978"/>
      <c r="S20" s="984"/>
      <c r="T20" s="980"/>
      <c r="U20" s="980"/>
      <c r="V20" s="984"/>
      <c r="W20" s="980"/>
      <c r="X20" s="981"/>
      <c r="Y20" s="984"/>
      <c r="Z20" s="980"/>
      <c r="AA20" s="981"/>
      <c r="AB20" s="89"/>
      <c r="AD20" s="793"/>
    </row>
    <row r="21" spans="1:30" ht="13.5" customHeight="1">
      <c r="A21" s="1026">
        <v>45054</v>
      </c>
      <c r="B21" s="965" t="s">
        <v>685</v>
      </c>
      <c r="C21" s="889"/>
      <c r="D21" s="890"/>
      <c r="E21" s="886"/>
      <c r="F21" s="887"/>
      <c r="G21" s="887"/>
      <c r="H21" s="887"/>
      <c r="I21" s="887"/>
      <c r="J21" s="888"/>
      <c r="K21" s="886"/>
      <c r="L21" s="887"/>
      <c r="M21" s="888"/>
      <c r="N21" s="838"/>
      <c r="O21" s="974">
        <v>45069</v>
      </c>
      <c r="P21" s="965" t="s">
        <v>686</v>
      </c>
      <c r="Q21" s="889"/>
      <c r="R21" s="890"/>
      <c r="S21" s="886"/>
      <c r="T21" s="887"/>
      <c r="U21" s="887"/>
      <c r="V21" s="887"/>
      <c r="W21" s="887"/>
      <c r="X21" s="888"/>
      <c r="Y21" s="886"/>
      <c r="Z21" s="887"/>
      <c r="AA21" s="888"/>
      <c r="AB21" s="276"/>
      <c r="AD21" s="793"/>
    </row>
    <row r="22" spans="1:30" ht="13.5" customHeight="1">
      <c r="A22" s="1091"/>
      <c r="B22" s="990"/>
      <c r="C22" s="889"/>
      <c r="D22" s="890"/>
      <c r="E22" s="886"/>
      <c r="F22" s="887"/>
      <c r="G22" s="887"/>
      <c r="H22" s="887"/>
      <c r="I22" s="887"/>
      <c r="J22" s="888"/>
      <c r="K22" s="886"/>
      <c r="L22" s="887"/>
      <c r="M22" s="888"/>
      <c r="N22" s="838"/>
      <c r="O22" s="975"/>
      <c r="P22" s="908"/>
      <c r="Q22" s="889"/>
      <c r="R22" s="890"/>
      <c r="S22" s="886"/>
      <c r="T22" s="887"/>
      <c r="U22" s="887"/>
      <c r="V22" s="886"/>
      <c r="W22" s="887"/>
      <c r="X22" s="888"/>
      <c r="Y22" s="886"/>
      <c r="Z22" s="887"/>
      <c r="AA22" s="888"/>
      <c r="AB22" s="89"/>
      <c r="AD22" s="802"/>
    </row>
    <row r="23" spans="1:30" ht="13.5" customHeight="1">
      <c r="A23" s="1026">
        <v>45055</v>
      </c>
      <c r="B23" s="965" t="s">
        <v>686</v>
      </c>
      <c r="C23" s="1093"/>
      <c r="D23" s="1094"/>
      <c r="E23" s="1095"/>
      <c r="F23" s="1096"/>
      <c r="G23" s="1096"/>
      <c r="H23" s="1096"/>
      <c r="I23" s="1096"/>
      <c r="J23" s="1097"/>
      <c r="K23" s="886"/>
      <c r="L23" s="887"/>
      <c r="M23" s="888"/>
      <c r="N23" s="812"/>
      <c r="O23" s="974">
        <v>45070</v>
      </c>
      <c r="P23" s="965" t="s">
        <v>687</v>
      </c>
      <c r="Q23" s="889"/>
      <c r="R23" s="890"/>
      <c r="S23" s="886"/>
      <c r="T23" s="887"/>
      <c r="U23" s="887"/>
      <c r="V23" s="887"/>
      <c r="W23" s="887"/>
      <c r="X23" s="888"/>
      <c r="Y23" s="886"/>
      <c r="Z23" s="887"/>
      <c r="AA23" s="888"/>
      <c r="AB23" s="268"/>
      <c r="AD23" s="802"/>
    </row>
    <row r="24" spans="1:30" ht="13.5" customHeight="1">
      <c r="A24" s="1091"/>
      <c r="B24" s="990"/>
      <c r="C24" s="1093"/>
      <c r="D24" s="1094"/>
      <c r="E24" s="886"/>
      <c r="F24" s="887"/>
      <c r="G24" s="887"/>
      <c r="H24" s="887"/>
      <c r="I24" s="887"/>
      <c r="J24" s="888"/>
      <c r="K24" s="886"/>
      <c r="L24" s="887"/>
      <c r="M24" s="888"/>
      <c r="N24" s="838"/>
      <c r="O24" s="975"/>
      <c r="P24" s="908"/>
      <c r="Q24" s="889"/>
      <c r="R24" s="890"/>
      <c r="S24" s="886"/>
      <c r="T24" s="887"/>
      <c r="U24" s="887"/>
      <c r="V24" s="886"/>
      <c r="W24" s="887"/>
      <c r="X24" s="888"/>
      <c r="Y24" s="886"/>
      <c r="Z24" s="887"/>
      <c r="AA24" s="888"/>
      <c r="AB24" s="268"/>
      <c r="AD24" s="802"/>
    </row>
    <row r="25" spans="1:30" ht="13.5" customHeight="1">
      <c r="A25" s="1026">
        <v>45056</v>
      </c>
      <c r="B25" s="965" t="s">
        <v>687</v>
      </c>
      <c r="C25" s="889"/>
      <c r="D25" s="890"/>
      <c r="E25" s="886"/>
      <c r="F25" s="887"/>
      <c r="G25" s="887"/>
      <c r="H25" s="887"/>
      <c r="I25" s="887"/>
      <c r="J25" s="888"/>
      <c r="K25" s="886"/>
      <c r="L25" s="887"/>
      <c r="M25" s="888"/>
      <c r="N25" s="277"/>
      <c r="O25" s="974">
        <v>45071</v>
      </c>
      <c r="P25" s="965" t="s">
        <v>688</v>
      </c>
      <c r="Q25" s="889" t="s">
        <v>659</v>
      </c>
      <c r="R25" s="890"/>
      <c r="S25" s="886" t="s">
        <v>662</v>
      </c>
      <c r="T25" s="887"/>
      <c r="U25" s="887"/>
      <c r="V25" s="887"/>
      <c r="W25" s="887"/>
      <c r="X25" s="888"/>
      <c r="Y25" s="886" t="s">
        <v>660</v>
      </c>
      <c r="Z25" s="887"/>
      <c r="AA25" s="888"/>
      <c r="AB25" s="268" t="s">
        <v>661</v>
      </c>
      <c r="AD25" s="802"/>
    </row>
    <row r="26" spans="1:30" ht="13.5" customHeight="1">
      <c r="A26" s="1091"/>
      <c r="B26" s="990"/>
      <c r="C26" s="889"/>
      <c r="D26" s="890"/>
      <c r="E26" s="886"/>
      <c r="F26" s="887"/>
      <c r="G26" s="887"/>
      <c r="H26" s="887"/>
      <c r="I26" s="887"/>
      <c r="J26" s="888"/>
      <c r="K26" s="886"/>
      <c r="L26" s="887"/>
      <c r="M26" s="888"/>
      <c r="N26" s="838"/>
      <c r="O26" s="975"/>
      <c r="P26" s="908"/>
      <c r="Q26" s="889"/>
      <c r="R26" s="890"/>
      <c r="S26" s="886"/>
      <c r="T26" s="887"/>
      <c r="U26" s="887"/>
      <c r="V26" s="886"/>
      <c r="W26" s="887"/>
      <c r="X26" s="888"/>
      <c r="Y26" s="886"/>
      <c r="Z26" s="887"/>
      <c r="AA26" s="888"/>
      <c r="AB26" s="89"/>
      <c r="AD26" s="802"/>
    </row>
    <row r="27" spans="1:30" ht="13.5" customHeight="1">
      <c r="A27" s="1026">
        <v>45057</v>
      </c>
      <c r="B27" s="965" t="s">
        <v>688</v>
      </c>
      <c r="C27" s="994" t="s">
        <v>37</v>
      </c>
      <c r="D27" s="995"/>
      <c r="E27" s="996" t="s">
        <v>708</v>
      </c>
      <c r="F27" s="997"/>
      <c r="G27" s="997"/>
      <c r="H27" s="997"/>
      <c r="I27" s="997"/>
      <c r="J27" s="998"/>
      <c r="K27" s="1083" t="s">
        <v>709</v>
      </c>
      <c r="L27" s="997"/>
      <c r="M27" s="998"/>
      <c r="N27" s="848" t="s">
        <v>661</v>
      </c>
      <c r="O27" s="974">
        <v>45072</v>
      </c>
      <c r="P27" s="965" t="s">
        <v>689</v>
      </c>
      <c r="Q27" s="889"/>
      <c r="R27" s="890"/>
      <c r="S27" s="960"/>
      <c r="T27" s="887"/>
      <c r="U27" s="887"/>
      <c r="V27" s="887"/>
      <c r="W27" s="887"/>
      <c r="X27" s="888"/>
      <c r="Y27" s="886"/>
      <c r="Z27" s="887"/>
      <c r="AA27" s="888"/>
      <c r="AB27" s="813"/>
      <c r="AD27" s="802"/>
    </row>
    <row r="28" spans="1:30" ht="13.5" customHeight="1">
      <c r="A28" s="1091"/>
      <c r="B28" s="990"/>
      <c r="C28" s="889"/>
      <c r="D28" s="890"/>
      <c r="E28" s="886"/>
      <c r="F28" s="887"/>
      <c r="G28" s="887"/>
      <c r="H28" s="887"/>
      <c r="I28" s="887"/>
      <c r="J28" s="888"/>
      <c r="K28" s="886"/>
      <c r="L28" s="887"/>
      <c r="M28" s="888"/>
      <c r="N28" s="838"/>
      <c r="O28" s="975"/>
      <c r="P28" s="908"/>
      <c r="Q28" s="889"/>
      <c r="R28" s="890"/>
      <c r="S28" s="886"/>
      <c r="T28" s="887"/>
      <c r="U28" s="887"/>
      <c r="V28" s="887"/>
      <c r="W28" s="887"/>
      <c r="X28" s="888"/>
      <c r="Y28" s="886"/>
      <c r="Z28" s="887"/>
      <c r="AA28" s="888"/>
      <c r="AB28" s="813"/>
      <c r="AD28" s="802"/>
    </row>
    <row r="29" spans="1:30" ht="13.5" customHeight="1">
      <c r="A29" s="1026">
        <v>45058</v>
      </c>
      <c r="B29" s="965" t="s">
        <v>689</v>
      </c>
      <c r="C29" s="889"/>
      <c r="D29" s="890"/>
      <c r="E29" s="886"/>
      <c r="F29" s="887"/>
      <c r="G29" s="887"/>
      <c r="H29" s="887"/>
      <c r="I29" s="887"/>
      <c r="J29" s="888"/>
      <c r="K29" s="886"/>
      <c r="L29" s="887"/>
      <c r="M29" s="888"/>
      <c r="N29" s="838"/>
      <c r="O29" s="987">
        <v>45073</v>
      </c>
      <c r="P29" s="925" t="s">
        <v>690</v>
      </c>
      <c r="Q29" s="889"/>
      <c r="R29" s="890"/>
      <c r="S29" s="886"/>
      <c r="T29" s="887"/>
      <c r="U29" s="887"/>
      <c r="V29" s="993"/>
      <c r="W29" s="887"/>
      <c r="X29" s="888"/>
      <c r="Y29" s="886"/>
      <c r="Z29" s="887"/>
      <c r="AA29" s="888"/>
      <c r="AB29" s="813"/>
      <c r="AD29" s="802"/>
    </row>
    <row r="30" spans="1:30" ht="13.5" customHeight="1">
      <c r="A30" s="1091"/>
      <c r="B30" s="990"/>
      <c r="C30" s="889"/>
      <c r="D30" s="890"/>
      <c r="E30" s="886"/>
      <c r="F30" s="887"/>
      <c r="G30" s="887"/>
      <c r="H30" s="887"/>
      <c r="I30" s="887"/>
      <c r="J30" s="888"/>
      <c r="K30" s="886"/>
      <c r="L30" s="887"/>
      <c r="M30" s="888"/>
      <c r="N30" s="838"/>
      <c r="O30" s="975"/>
      <c r="P30" s="908"/>
      <c r="Q30" s="889"/>
      <c r="R30" s="890"/>
      <c r="S30" s="886"/>
      <c r="T30" s="887"/>
      <c r="U30" s="887"/>
      <c r="V30" s="993"/>
      <c r="W30" s="887"/>
      <c r="X30" s="888"/>
      <c r="Y30" s="886"/>
      <c r="Z30" s="887"/>
      <c r="AA30" s="888"/>
      <c r="AB30" s="89"/>
      <c r="AD30" s="802"/>
    </row>
    <row r="31" spans="1:30" ht="13.5" customHeight="1">
      <c r="A31" s="927">
        <v>45059</v>
      </c>
      <c r="B31" s="925" t="s">
        <v>690</v>
      </c>
      <c r="C31" s="889"/>
      <c r="D31" s="890"/>
      <c r="E31" s="1055"/>
      <c r="F31" s="1056"/>
      <c r="G31" s="1056"/>
      <c r="H31" s="1056"/>
      <c r="I31" s="1056"/>
      <c r="J31" s="1057"/>
      <c r="K31" s="889"/>
      <c r="L31" s="896"/>
      <c r="M31" s="890"/>
      <c r="N31" s="838"/>
      <c r="O31" s="989">
        <v>45074</v>
      </c>
      <c r="P31" s="924" t="s">
        <v>10</v>
      </c>
      <c r="Q31" s="889"/>
      <c r="R31" s="890"/>
      <c r="S31" s="886"/>
      <c r="T31" s="887"/>
      <c r="U31" s="887"/>
      <c r="V31" s="887"/>
      <c r="W31" s="887"/>
      <c r="X31" s="888"/>
      <c r="Y31" s="886"/>
      <c r="Z31" s="887"/>
      <c r="AA31" s="888"/>
      <c r="AB31" s="268"/>
      <c r="AD31" s="802"/>
    </row>
    <row r="32" spans="1:30" ht="13.5" customHeight="1">
      <c r="A32" s="1091"/>
      <c r="B32" s="990"/>
      <c r="C32" s="889"/>
      <c r="D32" s="890"/>
      <c r="E32" s="886"/>
      <c r="F32" s="887"/>
      <c r="G32" s="887"/>
      <c r="H32" s="887"/>
      <c r="I32" s="887"/>
      <c r="J32" s="888"/>
      <c r="K32" s="886"/>
      <c r="L32" s="887"/>
      <c r="M32" s="888"/>
      <c r="N32" s="838"/>
      <c r="O32" s="975"/>
      <c r="P32" s="908"/>
      <c r="Q32" s="889"/>
      <c r="R32" s="890"/>
      <c r="S32" s="886"/>
      <c r="T32" s="887"/>
      <c r="U32" s="887"/>
      <c r="V32" s="887"/>
      <c r="W32" s="887"/>
      <c r="X32" s="888"/>
      <c r="Y32" s="886"/>
      <c r="Z32" s="887"/>
      <c r="AA32" s="888"/>
      <c r="AB32" s="268"/>
      <c r="AD32" s="802"/>
    </row>
    <row r="33" spans="1:30" ht="13.5" customHeight="1">
      <c r="A33" s="923">
        <v>45060</v>
      </c>
      <c r="B33" s="924" t="s">
        <v>10</v>
      </c>
      <c r="C33" s="889"/>
      <c r="D33" s="890"/>
      <c r="E33" s="886"/>
      <c r="F33" s="887"/>
      <c r="G33" s="887"/>
      <c r="H33" s="887"/>
      <c r="I33" s="887"/>
      <c r="J33" s="888"/>
      <c r="K33" s="886"/>
      <c r="L33" s="887"/>
      <c r="M33" s="888"/>
      <c r="N33" s="838"/>
      <c r="O33" s="974">
        <v>45075</v>
      </c>
      <c r="P33" s="965" t="s">
        <v>685</v>
      </c>
      <c r="Q33" s="889"/>
      <c r="R33" s="890"/>
      <c r="S33" s="886"/>
      <c r="T33" s="887"/>
      <c r="U33" s="887"/>
      <c r="V33" s="887"/>
      <c r="W33" s="887"/>
      <c r="X33" s="888"/>
      <c r="Y33" s="886"/>
      <c r="Z33" s="887"/>
      <c r="AA33" s="888"/>
      <c r="AB33" s="89"/>
      <c r="AD33" s="802"/>
    </row>
    <row r="34" spans="1:30" ht="13.5" customHeight="1">
      <c r="A34" s="1091"/>
      <c r="B34" s="990"/>
      <c r="C34" s="889"/>
      <c r="D34" s="890"/>
      <c r="E34" s="886"/>
      <c r="F34" s="887"/>
      <c r="G34" s="887"/>
      <c r="H34" s="887"/>
      <c r="I34" s="887"/>
      <c r="J34" s="888"/>
      <c r="K34" s="886"/>
      <c r="L34" s="887"/>
      <c r="M34" s="888"/>
      <c r="N34" s="838"/>
      <c r="O34" s="975"/>
      <c r="P34" s="908"/>
      <c r="Q34" s="889"/>
      <c r="R34" s="890"/>
      <c r="S34" s="886"/>
      <c r="T34" s="887"/>
      <c r="U34" s="887"/>
      <c r="V34" s="887"/>
      <c r="W34" s="887"/>
      <c r="X34" s="888"/>
      <c r="Y34" s="886"/>
      <c r="Z34" s="887"/>
      <c r="AA34" s="888"/>
      <c r="AB34" s="89"/>
      <c r="AD34" s="802"/>
    </row>
    <row r="35" spans="1:30" ht="13.5" customHeight="1">
      <c r="A35" s="1026">
        <v>45061</v>
      </c>
      <c r="B35" s="965" t="s">
        <v>685</v>
      </c>
      <c r="C35" s="889"/>
      <c r="D35" s="890"/>
      <c r="E35" s="886"/>
      <c r="F35" s="887"/>
      <c r="G35" s="887"/>
      <c r="H35" s="887"/>
      <c r="I35" s="887"/>
      <c r="J35" s="888"/>
      <c r="K35" s="886"/>
      <c r="L35" s="887"/>
      <c r="M35" s="888"/>
      <c r="N35" s="838"/>
      <c r="O35" s="974">
        <v>45076</v>
      </c>
      <c r="P35" s="965" t="s">
        <v>686</v>
      </c>
      <c r="Q35" s="889"/>
      <c r="R35" s="890"/>
      <c r="S35" s="1023"/>
      <c r="T35" s="887"/>
      <c r="U35" s="887"/>
      <c r="V35" s="887"/>
      <c r="W35" s="887"/>
      <c r="X35" s="888"/>
      <c r="Y35" s="886"/>
      <c r="Z35" s="887"/>
      <c r="AA35" s="888"/>
      <c r="AB35" s="89"/>
      <c r="AD35" s="802"/>
    </row>
    <row r="36" spans="1:30" ht="13.5" customHeight="1">
      <c r="A36" s="1091"/>
      <c r="B36" s="990"/>
      <c r="C36" s="966"/>
      <c r="D36" s="971"/>
      <c r="E36" s="957"/>
      <c r="F36" s="958"/>
      <c r="G36" s="958"/>
      <c r="H36" s="958"/>
      <c r="I36" s="958"/>
      <c r="J36" s="959"/>
      <c r="K36" s="957"/>
      <c r="L36" s="958"/>
      <c r="M36" s="959"/>
      <c r="N36" s="843"/>
      <c r="O36" s="975"/>
      <c r="P36" s="908"/>
      <c r="Q36" s="889"/>
      <c r="R36" s="890"/>
      <c r="S36" s="886"/>
      <c r="T36" s="887"/>
      <c r="U36" s="887"/>
      <c r="V36" s="887"/>
      <c r="W36" s="887"/>
      <c r="X36" s="888"/>
      <c r="Y36" s="886"/>
      <c r="Z36" s="887"/>
      <c r="AA36" s="888"/>
      <c r="AB36" s="89"/>
      <c r="AD36" s="802"/>
    </row>
    <row r="37" spans="1:30" ht="13.5" customHeight="1">
      <c r="A37" s="1002"/>
      <c r="B37" s="1002"/>
      <c r="C37" s="889"/>
      <c r="D37" s="890"/>
      <c r="E37" s="886"/>
      <c r="F37" s="887"/>
      <c r="G37" s="887"/>
      <c r="H37" s="887"/>
      <c r="I37" s="887"/>
      <c r="J37" s="888"/>
      <c r="K37" s="886"/>
      <c r="L37" s="887"/>
      <c r="M37" s="888"/>
      <c r="N37" s="88"/>
      <c r="O37" s="974">
        <v>45077</v>
      </c>
      <c r="P37" s="965" t="s">
        <v>687</v>
      </c>
      <c r="Q37" s="889"/>
      <c r="R37" s="890"/>
      <c r="S37" s="886"/>
      <c r="T37" s="887"/>
      <c r="U37" s="887"/>
      <c r="V37" s="887"/>
      <c r="W37" s="887"/>
      <c r="X37" s="888"/>
      <c r="Y37" s="886"/>
      <c r="Z37" s="887"/>
      <c r="AA37" s="888"/>
      <c r="AB37" s="268"/>
      <c r="AD37" s="802"/>
    </row>
    <row r="38" spans="1:30" ht="13.5" customHeight="1">
      <c r="A38" s="1103"/>
      <c r="B38" s="1103"/>
      <c r="C38" s="946"/>
      <c r="D38" s="947"/>
      <c r="E38" s="948"/>
      <c r="F38" s="949"/>
      <c r="G38" s="949"/>
      <c r="H38" s="949"/>
      <c r="I38" s="949"/>
      <c r="J38" s="950"/>
      <c r="K38" s="948"/>
      <c r="L38" s="949"/>
      <c r="M38" s="950"/>
      <c r="N38" s="90"/>
      <c r="O38" s="1012"/>
      <c r="P38" s="1102"/>
      <c r="Q38" s="946"/>
      <c r="R38" s="947"/>
      <c r="S38" s="948"/>
      <c r="T38" s="949"/>
      <c r="U38" s="949"/>
      <c r="V38" s="949"/>
      <c r="W38" s="949"/>
      <c r="X38" s="950"/>
      <c r="Y38" s="948"/>
      <c r="Z38" s="949"/>
      <c r="AA38" s="950"/>
      <c r="AB38" s="91"/>
      <c r="AD38" s="802"/>
    </row>
    <row r="39" spans="1:30">
      <c r="A39" s="839"/>
      <c r="B39" s="839"/>
      <c r="C39" s="279"/>
      <c r="D39" s="279"/>
      <c r="E39" s="279"/>
      <c r="F39" s="279"/>
      <c r="G39" s="279"/>
      <c r="H39" s="279"/>
      <c r="I39" s="279"/>
      <c r="J39" s="279"/>
      <c r="K39" s="279"/>
      <c r="L39" s="279"/>
      <c r="M39" s="279"/>
      <c r="N39" s="13"/>
      <c r="O39" s="840"/>
      <c r="P39" s="840"/>
      <c r="AD39" s="802"/>
    </row>
    <row r="40" spans="1:30">
      <c r="A40" s="278"/>
      <c r="B40" s="278"/>
      <c r="C40" s="279"/>
      <c r="D40" s="279"/>
      <c r="E40" s="279"/>
      <c r="F40" s="279"/>
      <c r="G40" s="279"/>
      <c r="H40" s="279"/>
      <c r="I40" s="279"/>
      <c r="J40" s="279"/>
      <c r="K40" s="279"/>
      <c r="L40" s="279"/>
      <c r="M40" s="279"/>
      <c r="N40" s="13"/>
      <c r="AD40" s="802"/>
    </row>
    <row r="41" spans="1:30" ht="18" customHeight="1">
      <c r="A41" s="1104" t="s">
        <v>171</v>
      </c>
      <c r="B41" s="1105"/>
      <c r="C41" s="1105"/>
      <c r="D41" s="1106"/>
      <c r="E41" s="279"/>
      <c r="F41" s="279"/>
      <c r="G41" s="279"/>
      <c r="H41" s="279"/>
      <c r="I41" s="279"/>
      <c r="J41" s="279"/>
      <c r="K41" s="279"/>
      <c r="L41" s="279"/>
      <c r="M41" s="279"/>
      <c r="N41" s="13"/>
      <c r="AD41" s="802"/>
    </row>
    <row r="42" spans="1:30">
      <c r="AD42" s="802"/>
    </row>
    <row r="43" spans="1:30">
      <c r="A43" s="1107"/>
      <c r="B43" s="1108"/>
      <c r="C43" s="1108"/>
      <c r="D43" s="1108"/>
      <c r="E43" s="1108"/>
      <c r="F43" s="1108"/>
      <c r="G43" s="1108"/>
      <c r="H43" s="1108"/>
      <c r="I43" s="1108"/>
      <c r="J43" s="1108"/>
      <c r="K43" s="1108"/>
      <c r="L43" s="1108"/>
      <c r="M43" s="1108"/>
      <c r="N43" s="1108"/>
      <c r="O43" s="1108"/>
      <c r="P43" s="1108"/>
      <c r="Q43" s="1108"/>
      <c r="R43" s="1108"/>
      <c r="S43" s="1108"/>
      <c r="T43" s="1108"/>
      <c r="U43" s="1108"/>
      <c r="V43" s="1108"/>
      <c r="W43" s="1108"/>
      <c r="X43" s="1108"/>
      <c r="Y43" s="1108"/>
      <c r="Z43" s="1108"/>
      <c r="AA43" s="1108"/>
      <c r="AB43" s="1109"/>
      <c r="AD43" s="802"/>
    </row>
    <row r="44" spans="1:30">
      <c r="A44" s="1098"/>
      <c r="B44" s="1099"/>
      <c r="C44" s="1099"/>
      <c r="D44" s="1099"/>
      <c r="E44" s="1099"/>
      <c r="F44" s="1099"/>
      <c r="G44" s="1099"/>
      <c r="H44" s="1099"/>
      <c r="I44" s="1099"/>
      <c r="J44" s="1099"/>
      <c r="K44" s="1099"/>
      <c r="L44" s="1099"/>
      <c r="M44" s="1099"/>
      <c r="N44" s="1099"/>
      <c r="O44" s="1099"/>
      <c r="P44" s="1099"/>
      <c r="Q44" s="1099"/>
      <c r="R44" s="1099"/>
      <c r="S44" s="1099"/>
      <c r="T44" s="1099"/>
      <c r="U44" s="1099"/>
      <c r="V44" s="1099"/>
      <c r="W44" s="1099"/>
      <c r="X44" s="1099"/>
      <c r="Y44" s="1099"/>
      <c r="Z44" s="1099"/>
      <c r="AA44" s="1099"/>
      <c r="AB44" s="1100"/>
    </row>
    <row r="45" spans="1:30">
      <c r="A45" s="1098"/>
      <c r="B45" s="1099"/>
      <c r="C45" s="1099"/>
      <c r="D45" s="1099"/>
      <c r="E45" s="1099"/>
      <c r="F45" s="1099"/>
      <c r="G45" s="1099"/>
      <c r="H45" s="1099"/>
      <c r="I45" s="1099"/>
      <c r="J45" s="1099"/>
      <c r="K45" s="1099"/>
      <c r="L45" s="1099"/>
      <c r="M45" s="1099"/>
      <c r="N45" s="1099"/>
      <c r="O45" s="1099"/>
      <c r="P45" s="1099"/>
      <c r="Q45" s="1099"/>
      <c r="R45" s="1099"/>
      <c r="S45" s="1099"/>
      <c r="T45" s="1099"/>
      <c r="U45" s="1099"/>
      <c r="V45" s="1099"/>
      <c r="W45" s="1099"/>
      <c r="X45" s="1099"/>
      <c r="Y45" s="1099"/>
      <c r="Z45" s="1099"/>
      <c r="AA45" s="1099"/>
      <c r="AB45" s="1101"/>
    </row>
    <row r="46" spans="1:30">
      <c r="A46" s="1098"/>
      <c r="B46" s="1099"/>
      <c r="C46" s="1099"/>
      <c r="D46" s="1099"/>
      <c r="E46" s="1099"/>
      <c r="F46" s="1099"/>
      <c r="G46" s="1099"/>
      <c r="H46" s="1099"/>
      <c r="I46" s="1099"/>
      <c r="J46" s="1099"/>
      <c r="K46" s="1099"/>
      <c r="L46" s="1099"/>
      <c r="M46" s="1099"/>
      <c r="N46" s="1099"/>
      <c r="O46" s="1099"/>
      <c r="P46" s="1099"/>
      <c r="Q46" s="1099"/>
      <c r="R46" s="1099"/>
      <c r="S46" s="1099"/>
      <c r="T46" s="1099"/>
      <c r="U46" s="1099"/>
      <c r="V46" s="1099"/>
      <c r="W46" s="1099"/>
      <c r="X46" s="1099"/>
      <c r="Y46" s="1099"/>
      <c r="Z46" s="1099"/>
      <c r="AA46" s="1099"/>
      <c r="AB46" s="1101"/>
    </row>
    <row r="47" spans="1:30">
      <c r="A47" s="1098"/>
      <c r="B47" s="1099"/>
      <c r="C47" s="1099"/>
      <c r="D47" s="1099"/>
      <c r="E47" s="1099"/>
      <c r="F47" s="1099"/>
      <c r="G47" s="1099"/>
      <c r="H47" s="1099"/>
      <c r="I47" s="1099"/>
      <c r="J47" s="1099"/>
      <c r="K47" s="1099"/>
      <c r="L47" s="1099"/>
      <c r="M47" s="1099"/>
      <c r="N47" s="1099"/>
      <c r="O47" s="1099"/>
      <c r="P47" s="1099"/>
      <c r="Q47" s="1099"/>
      <c r="R47" s="1099"/>
      <c r="S47" s="1099"/>
      <c r="T47" s="1099"/>
      <c r="U47" s="1099"/>
      <c r="V47" s="1099"/>
      <c r="W47" s="1099"/>
      <c r="X47" s="1099"/>
      <c r="Y47" s="1099"/>
      <c r="Z47" s="1099"/>
      <c r="AA47" s="1099"/>
      <c r="AB47" s="1101"/>
    </row>
    <row r="48" spans="1:30">
      <c r="A48" s="1098"/>
      <c r="B48" s="1099"/>
      <c r="C48" s="1099"/>
      <c r="D48" s="1099"/>
      <c r="E48" s="1099"/>
      <c r="F48" s="1099"/>
      <c r="G48" s="1099"/>
      <c r="H48" s="1099"/>
      <c r="I48" s="1099"/>
      <c r="J48" s="1099"/>
      <c r="K48" s="1099"/>
      <c r="L48" s="1099"/>
      <c r="M48" s="1099"/>
      <c r="N48" s="1099"/>
      <c r="O48" s="1099"/>
      <c r="P48" s="1099"/>
      <c r="Q48" s="1099"/>
      <c r="R48" s="1099"/>
      <c r="S48" s="1099"/>
      <c r="T48" s="1099"/>
      <c r="U48" s="1099"/>
      <c r="V48" s="1099"/>
      <c r="W48" s="1099"/>
      <c r="X48" s="1099"/>
      <c r="Y48" s="1099"/>
      <c r="Z48" s="1099"/>
      <c r="AA48" s="1099"/>
      <c r="AB48" s="1101"/>
    </row>
    <row r="49" spans="1:28">
      <c r="A49" s="1098"/>
      <c r="B49" s="1099"/>
      <c r="C49" s="1099"/>
      <c r="D49" s="1099"/>
      <c r="E49" s="1099"/>
      <c r="F49" s="1099"/>
      <c r="G49" s="1099"/>
      <c r="H49" s="1099"/>
      <c r="I49" s="1099"/>
      <c r="J49" s="1099"/>
      <c r="K49" s="1099"/>
      <c r="L49" s="1099"/>
      <c r="M49" s="1099"/>
      <c r="N49" s="1099"/>
      <c r="O49" s="1099"/>
      <c r="P49" s="1099"/>
      <c r="Q49" s="1099"/>
      <c r="R49" s="1099"/>
      <c r="S49" s="1099"/>
      <c r="T49" s="1099"/>
      <c r="U49" s="1099"/>
      <c r="V49" s="1099"/>
      <c r="W49" s="1099"/>
      <c r="X49" s="1099"/>
      <c r="Y49" s="1099"/>
      <c r="Z49" s="1099"/>
      <c r="AA49" s="1099"/>
      <c r="AB49" s="1101"/>
    </row>
    <row r="50" spans="1:28">
      <c r="A50" s="280"/>
      <c r="B50" s="1113"/>
      <c r="C50" s="1113"/>
      <c r="D50" s="1113"/>
      <c r="E50" s="1113"/>
      <c r="F50" s="1113"/>
      <c r="G50" s="1113"/>
      <c r="H50" s="1113"/>
      <c r="I50" s="265"/>
      <c r="J50" s="1099"/>
      <c r="K50" s="1099"/>
      <c r="L50" s="1099"/>
      <c r="M50" s="1099"/>
      <c r="N50" s="1099"/>
      <c r="O50" s="1099"/>
      <c r="P50" s="1099"/>
      <c r="Q50" s="23"/>
      <c r="R50" s="23"/>
      <c r="S50" s="23"/>
      <c r="T50" s="23"/>
      <c r="U50" s="23"/>
      <c r="V50" s="23"/>
      <c r="W50" s="23"/>
      <c r="X50" s="23"/>
      <c r="Y50" s="23"/>
      <c r="Z50" s="23"/>
      <c r="AA50" s="281"/>
      <c r="AB50" s="282"/>
    </row>
    <row r="51" spans="1:28">
      <c r="A51" s="280"/>
      <c r="B51" s="1099"/>
      <c r="C51" s="1099"/>
      <c r="D51" s="1099"/>
      <c r="E51" s="1099"/>
      <c r="F51" s="1099"/>
      <c r="G51" s="1099"/>
      <c r="H51" s="1099"/>
      <c r="I51" s="16"/>
      <c r="J51" s="1099"/>
      <c r="K51" s="1099"/>
      <c r="L51" s="1099"/>
      <c r="M51" s="1099"/>
      <c r="N51" s="1099"/>
      <c r="O51" s="1099"/>
      <c r="P51" s="1099"/>
      <c r="Q51" s="281"/>
      <c r="R51" s="281"/>
      <c r="S51" s="281"/>
      <c r="T51" s="281"/>
      <c r="U51" s="281"/>
      <c r="V51" s="281"/>
      <c r="W51" s="281"/>
      <c r="X51" s="281"/>
      <c r="Y51" s="281"/>
      <c r="Z51" s="281"/>
      <c r="AA51" s="281"/>
      <c r="AB51" s="282"/>
    </row>
    <row r="52" spans="1:28">
      <c r="A52" s="280"/>
      <c r="B52" s="16"/>
      <c r="C52" s="1099"/>
      <c r="D52" s="1099"/>
      <c r="E52" s="1099"/>
      <c r="F52" s="1099"/>
      <c r="G52" s="1099"/>
      <c r="H52" s="1099"/>
      <c r="I52" s="16"/>
      <c r="J52" s="1099"/>
      <c r="K52" s="1099"/>
      <c r="L52" s="1099"/>
      <c r="M52" s="1099"/>
      <c r="N52" s="1099"/>
      <c r="O52" s="1099"/>
      <c r="P52" s="1099"/>
      <c r="Q52" s="281"/>
      <c r="R52" s="281"/>
      <c r="S52" s="281"/>
      <c r="T52" s="281"/>
      <c r="U52" s="281"/>
      <c r="V52" s="281"/>
      <c r="W52" s="281"/>
      <c r="X52" s="281"/>
      <c r="Y52" s="281"/>
      <c r="Z52" s="281"/>
      <c r="AA52" s="281"/>
      <c r="AB52" s="282"/>
    </row>
    <row r="53" spans="1:28">
      <c r="A53" s="194"/>
      <c r="B53" s="17"/>
      <c r="C53" s="1110"/>
      <c r="D53" s="1110"/>
      <c r="E53" s="1110"/>
      <c r="F53" s="1110"/>
      <c r="G53" s="1110"/>
      <c r="H53" s="1110"/>
      <c r="I53" s="17"/>
      <c r="J53" s="1110"/>
      <c r="K53" s="1110"/>
      <c r="L53" s="1110"/>
      <c r="M53" s="1110"/>
      <c r="N53" s="1110"/>
      <c r="O53" s="1110"/>
      <c r="P53" s="1110"/>
      <c r="Q53" s="283"/>
      <c r="R53" s="283"/>
      <c r="S53" s="283"/>
      <c r="T53" s="283"/>
      <c r="U53" s="283"/>
      <c r="V53" s="283"/>
      <c r="W53" s="283"/>
      <c r="X53" s="283"/>
      <c r="Y53" s="283"/>
      <c r="Z53" s="283"/>
      <c r="AA53" s="283"/>
      <c r="AB53" s="284"/>
    </row>
    <row r="54" spans="1:28">
      <c r="A54" s="285"/>
      <c r="B54" s="13"/>
      <c r="C54" s="13"/>
      <c r="D54" s="13"/>
      <c r="E54" s="13"/>
      <c r="F54" s="13"/>
      <c r="G54" s="13"/>
      <c r="H54" s="13"/>
      <c r="I54" s="13"/>
      <c r="J54" s="13"/>
      <c r="K54" s="13"/>
      <c r="L54" s="13"/>
      <c r="M54" s="13"/>
      <c r="N54" s="13"/>
      <c r="O54" s="248"/>
      <c r="P54" s="248"/>
      <c r="Q54" s="248"/>
      <c r="R54" s="248"/>
      <c r="S54" s="248"/>
      <c r="T54" s="248"/>
      <c r="U54" s="248"/>
      <c r="V54" s="248"/>
      <c r="W54" s="248"/>
      <c r="X54" s="248"/>
      <c r="Y54" s="248"/>
      <c r="Z54" s="248"/>
      <c r="AA54" s="248"/>
      <c r="AB54" s="248"/>
    </row>
    <row r="55" spans="1:28" ht="19.2">
      <c r="A55" s="1111" t="s">
        <v>17</v>
      </c>
      <c r="B55" s="1112"/>
      <c r="C55" s="286"/>
    </row>
    <row r="56" spans="1:28" ht="13.5" customHeight="1">
      <c r="A56" s="287"/>
      <c r="B56" s="288"/>
      <c r="C56" s="286"/>
    </row>
    <row r="57" spans="1:28">
      <c r="A57" s="1107"/>
      <c r="B57" s="1108"/>
      <c r="C57" s="1108"/>
      <c r="D57" s="1108"/>
      <c r="E57" s="1108"/>
      <c r="F57" s="1108"/>
      <c r="G57" s="1108"/>
      <c r="H57" s="1108"/>
      <c r="I57" s="1108"/>
      <c r="J57" s="1108"/>
      <c r="K57" s="1108"/>
      <c r="L57" s="1108"/>
      <c r="M57" s="1108"/>
      <c r="N57" s="1108"/>
      <c r="O57" s="1108"/>
      <c r="P57" s="1108"/>
      <c r="Q57" s="1108"/>
      <c r="R57" s="1108"/>
      <c r="S57" s="1108"/>
      <c r="T57" s="1108"/>
      <c r="U57" s="1108"/>
      <c r="V57" s="1108"/>
      <c r="W57" s="1108"/>
      <c r="X57" s="1108"/>
      <c r="Y57" s="1108"/>
      <c r="Z57" s="1108"/>
      <c r="AA57" s="1108"/>
      <c r="AB57" s="1109"/>
    </row>
    <row r="58" spans="1:28">
      <c r="A58" s="1098"/>
      <c r="B58" s="1099"/>
      <c r="C58" s="1099"/>
      <c r="D58" s="1099"/>
      <c r="E58" s="1099"/>
      <c r="F58" s="1099"/>
      <c r="G58" s="1099"/>
      <c r="H58" s="1099"/>
      <c r="I58" s="1099"/>
      <c r="J58" s="1099"/>
      <c r="K58" s="1099"/>
      <c r="L58" s="1099"/>
      <c r="M58" s="1099"/>
      <c r="N58" s="1099"/>
      <c r="O58" s="1099"/>
      <c r="P58" s="1099"/>
      <c r="Q58" s="1099"/>
      <c r="R58" s="1099"/>
      <c r="S58" s="1099"/>
      <c r="T58" s="1099"/>
      <c r="U58" s="1099"/>
      <c r="V58" s="1099"/>
      <c r="W58" s="1099"/>
      <c r="X58" s="1099"/>
      <c r="Y58" s="1099"/>
      <c r="Z58" s="1099"/>
      <c r="AA58" s="1099"/>
      <c r="AB58" s="1100"/>
    </row>
    <row r="59" spans="1:28">
      <c r="A59" s="1098"/>
      <c r="B59" s="1099"/>
      <c r="C59" s="1099"/>
      <c r="D59" s="1099"/>
      <c r="E59" s="1099"/>
      <c r="F59" s="1099"/>
      <c r="G59" s="1099"/>
      <c r="H59" s="1099"/>
      <c r="I59" s="1099"/>
      <c r="J59" s="1099"/>
      <c r="K59" s="1099"/>
      <c r="L59" s="1099"/>
      <c r="M59" s="1099"/>
      <c r="N59" s="1099"/>
      <c r="O59" s="1099"/>
      <c r="P59" s="1099"/>
      <c r="Q59" s="1099"/>
      <c r="R59" s="1099"/>
      <c r="S59" s="1099"/>
      <c r="T59" s="1099"/>
      <c r="U59" s="1099"/>
      <c r="V59" s="1099"/>
      <c r="W59" s="1099"/>
      <c r="X59" s="1099"/>
      <c r="Y59" s="1099"/>
      <c r="Z59" s="1099"/>
      <c r="AA59" s="1099"/>
      <c r="AB59" s="1100"/>
    </row>
    <row r="60" spans="1:28">
      <c r="A60" s="1118"/>
      <c r="B60" s="1119"/>
      <c r="C60" s="1119"/>
      <c r="D60" s="1119"/>
      <c r="E60" s="1119"/>
      <c r="F60" s="1119"/>
      <c r="G60" s="1119"/>
      <c r="H60" s="1119"/>
      <c r="I60" s="1119"/>
      <c r="J60" s="1119"/>
      <c r="K60" s="1119"/>
      <c r="L60" s="1119"/>
      <c r="M60" s="1119"/>
      <c r="N60" s="1119"/>
      <c r="O60" s="1119"/>
      <c r="P60" s="1119"/>
      <c r="Q60" s="1119"/>
      <c r="R60" s="1119"/>
      <c r="S60" s="1119"/>
      <c r="T60" s="1119"/>
      <c r="U60" s="1119"/>
      <c r="V60" s="1119"/>
      <c r="W60" s="1119"/>
      <c r="X60" s="1119"/>
      <c r="Y60" s="1119"/>
      <c r="Z60" s="1119"/>
      <c r="AA60" s="1119"/>
      <c r="AB60" s="1120"/>
    </row>
    <row r="61" spans="1:28">
      <c r="A61" s="1098"/>
      <c r="B61" s="1099"/>
      <c r="C61" s="1099"/>
      <c r="D61" s="1099"/>
      <c r="E61" s="1099"/>
      <c r="F61" s="1099"/>
      <c r="G61" s="1099"/>
      <c r="H61" s="1099"/>
      <c r="I61" s="1099"/>
      <c r="J61" s="1099"/>
      <c r="K61" s="1099"/>
      <c r="L61" s="1099"/>
      <c r="M61" s="1099"/>
      <c r="N61" s="1099"/>
      <c r="O61" s="1099"/>
      <c r="P61" s="1099"/>
      <c r="Q61" s="1099"/>
      <c r="R61" s="1099"/>
      <c r="S61" s="1099"/>
      <c r="T61" s="1099"/>
      <c r="U61" s="1099"/>
      <c r="V61" s="1099"/>
      <c r="W61" s="1099"/>
      <c r="X61" s="1099"/>
      <c r="Y61" s="1099"/>
      <c r="Z61" s="1099"/>
      <c r="AA61" s="1099"/>
      <c r="AB61" s="1100"/>
    </row>
    <row r="62" spans="1:28">
      <c r="A62" s="1098"/>
      <c r="B62" s="1099"/>
      <c r="C62" s="1099"/>
      <c r="D62" s="1099"/>
      <c r="E62" s="1099"/>
      <c r="F62" s="1099"/>
      <c r="G62" s="1099"/>
      <c r="H62" s="1099"/>
      <c r="I62" s="1099"/>
      <c r="J62" s="1099"/>
      <c r="K62" s="1099"/>
      <c r="L62" s="1099"/>
      <c r="M62" s="1099"/>
      <c r="N62" s="1099"/>
      <c r="O62" s="1099"/>
      <c r="P62" s="1099"/>
      <c r="Q62" s="1099"/>
      <c r="R62" s="1099"/>
      <c r="S62" s="1099"/>
      <c r="T62" s="1099"/>
      <c r="U62" s="1099"/>
      <c r="V62" s="1099"/>
      <c r="W62" s="1099"/>
      <c r="X62" s="1099"/>
      <c r="Y62" s="1099"/>
      <c r="Z62" s="1099"/>
      <c r="AA62" s="1099"/>
      <c r="AB62" s="1100"/>
    </row>
    <row r="63" spans="1:28">
      <c r="A63" s="1098"/>
      <c r="B63" s="1099"/>
      <c r="C63" s="1099"/>
      <c r="D63" s="1099"/>
      <c r="E63" s="1099"/>
      <c r="F63" s="1099"/>
      <c r="G63" s="1099"/>
      <c r="H63" s="1099"/>
      <c r="I63" s="1099"/>
      <c r="J63" s="1099"/>
      <c r="K63" s="1099"/>
      <c r="L63" s="1099"/>
      <c r="M63" s="1099"/>
      <c r="N63" s="1099"/>
      <c r="O63" s="1099"/>
      <c r="P63" s="1099"/>
      <c r="Q63" s="1099"/>
      <c r="R63" s="1099"/>
      <c r="S63" s="1099"/>
      <c r="T63" s="1099"/>
      <c r="U63" s="1099"/>
      <c r="V63" s="1099"/>
      <c r="W63" s="1099"/>
      <c r="X63" s="1099"/>
      <c r="Y63" s="1099"/>
      <c r="Z63" s="1099"/>
      <c r="AA63" s="1099"/>
      <c r="AB63" s="1100"/>
    </row>
    <row r="64" spans="1:28">
      <c r="A64" s="1098"/>
      <c r="B64" s="1099"/>
      <c r="C64" s="1099"/>
      <c r="D64" s="1099"/>
      <c r="E64" s="1099"/>
      <c r="F64" s="1099"/>
      <c r="G64" s="1099"/>
      <c r="H64" s="1099"/>
      <c r="I64" s="1099"/>
      <c r="J64" s="1099"/>
      <c r="K64" s="1099"/>
      <c r="L64" s="1099"/>
      <c r="M64" s="1099"/>
      <c r="N64" s="1099"/>
      <c r="O64" s="1099"/>
      <c r="P64" s="1099"/>
      <c r="Q64" s="1099"/>
      <c r="R64" s="1099"/>
      <c r="S64" s="1099"/>
      <c r="T64" s="1099"/>
      <c r="U64" s="1099"/>
      <c r="V64" s="1099"/>
      <c r="W64" s="1099"/>
      <c r="X64" s="1099"/>
      <c r="Y64" s="1099"/>
      <c r="Z64" s="1099"/>
      <c r="AA64" s="1099"/>
      <c r="AB64" s="1100"/>
    </row>
    <row r="65" spans="1:28">
      <c r="A65" s="1098"/>
      <c r="B65" s="1099"/>
      <c r="C65" s="1099"/>
      <c r="D65" s="1099"/>
      <c r="E65" s="1099"/>
      <c r="F65" s="1099"/>
      <c r="G65" s="1099"/>
      <c r="H65" s="1099"/>
      <c r="I65" s="1099"/>
      <c r="J65" s="1099"/>
      <c r="K65" s="1099"/>
      <c r="L65" s="1099"/>
      <c r="M65" s="1099"/>
      <c r="N65" s="1099"/>
      <c r="O65" s="1099"/>
      <c r="P65" s="1099"/>
      <c r="Q65" s="1099"/>
      <c r="R65" s="1099"/>
      <c r="S65" s="1099"/>
      <c r="T65" s="1099"/>
      <c r="U65" s="1099"/>
      <c r="V65" s="1099"/>
      <c r="W65" s="1099"/>
      <c r="X65" s="1099"/>
      <c r="Y65" s="1099"/>
      <c r="Z65" s="1099"/>
      <c r="AA65" s="1099"/>
      <c r="AB65" s="1100"/>
    </row>
    <row r="66" spans="1:28">
      <c r="A66" s="280"/>
      <c r="B66" s="16"/>
      <c r="C66" s="1099"/>
      <c r="D66" s="1099"/>
      <c r="E66" s="1099"/>
      <c r="F66" s="1099"/>
      <c r="G66" s="1099"/>
      <c r="H66" s="1099"/>
      <c r="I66" s="1099"/>
      <c r="J66" s="1099"/>
      <c r="K66" s="1099"/>
      <c r="L66" s="1099"/>
      <c r="M66" s="1099"/>
      <c r="N66" s="1099"/>
      <c r="O66" s="1099"/>
      <c r="P66" s="1099"/>
      <c r="Q66" s="1099"/>
      <c r="R66" s="1099"/>
      <c r="S66" s="1099"/>
      <c r="T66" s="1099"/>
      <c r="U66" s="1099"/>
      <c r="V66" s="1099"/>
      <c r="W66" s="1099"/>
      <c r="X66" s="1099"/>
      <c r="Y66" s="1099"/>
      <c r="Z66" s="1099"/>
      <c r="AA66" s="1099"/>
      <c r="AB66" s="1100"/>
    </row>
    <row r="67" spans="1:28">
      <c r="A67" s="1114"/>
      <c r="B67" s="1115"/>
      <c r="C67" s="1115"/>
      <c r="D67" s="1115"/>
      <c r="E67" s="1115"/>
      <c r="F67" s="1115"/>
      <c r="G67" s="1115"/>
      <c r="H67" s="1115"/>
      <c r="I67" s="1115"/>
      <c r="J67" s="1115"/>
      <c r="K67" s="1115"/>
      <c r="L67" s="1115"/>
      <c r="M67" s="1115"/>
      <c r="N67" s="1115"/>
      <c r="O67" s="1115"/>
      <c r="P67" s="1115"/>
      <c r="Q67" s="1115"/>
      <c r="R67" s="1115"/>
      <c r="S67" s="1115"/>
      <c r="T67" s="1115"/>
      <c r="U67" s="1115"/>
      <c r="V67" s="1115"/>
      <c r="W67" s="1115"/>
      <c r="X67" s="1115"/>
      <c r="Y67" s="1115"/>
      <c r="Z67" s="1115"/>
      <c r="AA67" s="1115"/>
      <c r="AB67" s="1116"/>
    </row>
    <row r="68" spans="1:28">
      <c r="A68" s="194"/>
      <c r="B68" s="17"/>
      <c r="C68" s="1110"/>
      <c r="D68" s="1110"/>
      <c r="E68" s="1110"/>
      <c r="F68" s="1110"/>
      <c r="G68" s="1110"/>
      <c r="H68" s="1110"/>
      <c r="I68" s="1110"/>
      <c r="J68" s="1110"/>
      <c r="K68" s="1110"/>
      <c r="L68" s="1110"/>
      <c r="M68" s="1110"/>
      <c r="N68" s="1110"/>
      <c r="O68" s="1110"/>
      <c r="P68" s="1110"/>
      <c r="Q68" s="1110"/>
      <c r="R68" s="1110"/>
      <c r="S68" s="1110"/>
      <c r="T68" s="1110"/>
      <c r="U68" s="1110"/>
      <c r="V68" s="1110"/>
      <c r="W68" s="1110"/>
      <c r="X68" s="1110"/>
      <c r="Y68" s="1110"/>
      <c r="Z68" s="1110"/>
      <c r="AA68" s="1110"/>
      <c r="AB68" s="1117"/>
    </row>
  </sheetData>
  <mergeCells count="292">
    <mergeCell ref="Q8:R8"/>
    <mergeCell ref="Q11:R11"/>
    <mergeCell ref="Q12:R12"/>
    <mergeCell ref="Q15:R15"/>
    <mergeCell ref="Q16:R16"/>
    <mergeCell ref="Y11:AA11"/>
    <mergeCell ref="Y12:AA12"/>
    <mergeCell ref="Y15:AA15"/>
    <mergeCell ref="Y19:AA19"/>
    <mergeCell ref="Y21:AA21"/>
    <mergeCell ref="Q22:R22"/>
    <mergeCell ref="S22:X22"/>
    <mergeCell ref="Y22:AA22"/>
    <mergeCell ref="Y9:AA9"/>
    <mergeCell ref="Y10:AA10"/>
    <mergeCell ref="Y13:AA13"/>
    <mergeCell ref="Y14:AA14"/>
    <mergeCell ref="Q13:R13"/>
    <mergeCell ref="Q14:R14"/>
    <mergeCell ref="A64:AB64"/>
    <mergeCell ref="A65:AB65"/>
    <mergeCell ref="C66:AB66"/>
    <mergeCell ref="A67:AB67"/>
    <mergeCell ref="C68:AB68"/>
    <mergeCell ref="A58:AB58"/>
    <mergeCell ref="A59:AB59"/>
    <mergeCell ref="A60:AB60"/>
    <mergeCell ref="A61:AB61"/>
    <mergeCell ref="A62:AB62"/>
    <mergeCell ref="A63:AB63"/>
    <mergeCell ref="C52:H52"/>
    <mergeCell ref="J52:P52"/>
    <mergeCell ref="C53:H53"/>
    <mergeCell ref="J53:P53"/>
    <mergeCell ref="A55:B55"/>
    <mergeCell ref="A57:AB57"/>
    <mergeCell ref="A48:AB48"/>
    <mergeCell ref="A49:AB49"/>
    <mergeCell ref="B50:H50"/>
    <mergeCell ref="J50:P50"/>
    <mergeCell ref="B51:H51"/>
    <mergeCell ref="J51:P51"/>
    <mergeCell ref="A45:AB45"/>
    <mergeCell ref="A46:AB46"/>
    <mergeCell ref="A47:AB47"/>
    <mergeCell ref="P37:P38"/>
    <mergeCell ref="Q37:R37"/>
    <mergeCell ref="S37:X37"/>
    <mergeCell ref="Y37:AA37"/>
    <mergeCell ref="C38:D38"/>
    <mergeCell ref="E38:J38"/>
    <mergeCell ref="K38:M38"/>
    <mergeCell ref="Q38:R38"/>
    <mergeCell ref="S38:X38"/>
    <mergeCell ref="Y38:AA38"/>
    <mergeCell ref="A37:A38"/>
    <mergeCell ref="B37:B38"/>
    <mergeCell ref="C37:D37"/>
    <mergeCell ref="E37:J37"/>
    <mergeCell ref="K37:M37"/>
    <mergeCell ref="O37:O38"/>
    <mergeCell ref="A41:D41"/>
    <mergeCell ref="A43:AB43"/>
    <mergeCell ref="A35:A36"/>
    <mergeCell ref="B35:B36"/>
    <mergeCell ref="C35:D35"/>
    <mergeCell ref="E35:J35"/>
    <mergeCell ref="K35:M35"/>
    <mergeCell ref="O35:O36"/>
    <mergeCell ref="A44:AB44"/>
    <mergeCell ref="P35:P36"/>
    <mergeCell ref="Q35:R35"/>
    <mergeCell ref="S35:X35"/>
    <mergeCell ref="Y33:AA33"/>
    <mergeCell ref="C34:D34"/>
    <mergeCell ref="E34:J34"/>
    <mergeCell ref="K34:M34"/>
    <mergeCell ref="Q34:R34"/>
    <mergeCell ref="S34:X34"/>
    <mergeCell ref="Y34:AA34"/>
    <mergeCell ref="Y35:AA35"/>
    <mergeCell ref="C36:D36"/>
    <mergeCell ref="E36:J36"/>
    <mergeCell ref="K36:M36"/>
    <mergeCell ref="Q36:R36"/>
    <mergeCell ref="S36:X36"/>
    <mergeCell ref="Y36:AA36"/>
    <mergeCell ref="A33:A34"/>
    <mergeCell ref="B33:B34"/>
    <mergeCell ref="C33:D33"/>
    <mergeCell ref="E33:J33"/>
    <mergeCell ref="K33:M33"/>
    <mergeCell ref="O33:O34"/>
    <mergeCell ref="P31:P32"/>
    <mergeCell ref="Q31:R31"/>
    <mergeCell ref="S31:X31"/>
    <mergeCell ref="P33:P34"/>
    <mergeCell ref="Q33:R33"/>
    <mergeCell ref="S33:X33"/>
    <mergeCell ref="Y31:AA31"/>
    <mergeCell ref="C32:D32"/>
    <mergeCell ref="E32:J32"/>
    <mergeCell ref="K32:M32"/>
    <mergeCell ref="Q32:R32"/>
    <mergeCell ref="S32:X32"/>
    <mergeCell ref="Y32:AA32"/>
    <mergeCell ref="A29:A30"/>
    <mergeCell ref="B29:B30"/>
    <mergeCell ref="C29:D29"/>
    <mergeCell ref="E29:J29"/>
    <mergeCell ref="K29:M29"/>
    <mergeCell ref="O29:O30"/>
    <mergeCell ref="A31:A32"/>
    <mergeCell ref="B31:B32"/>
    <mergeCell ref="C31:D31"/>
    <mergeCell ref="E31:J31"/>
    <mergeCell ref="K31:M31"/>
    <mergeCell ref="O31:O32"/>
    <mergeCell ref="Y27:AA27"/>
    <mergeCell ref="C28:D28"/>
    <mergeCell ref="E28:J28"/>
    <mergeCell ref="K28:M28"/>
    <mergeCell ref="Q28:R28"/>
    <mergeCell ref="S28:X28"/>
    <mergeCell ref="Y28:AA28"/>
    <mergeCell ref="Y29:AA29"/>
    <mergeCell ref="C30:D30"/>
    <mergeCell ref="E30:J30"/>
    <mergeCell ref="K30:M30"/>
    <mergeCell ref="Q30:R30"/>
    <mergeCell ref="S30:X30"/>
    <mergeCell ref="Y30:AA30"/>
    <mergeCell ref="P29:P30"/>
    <mergeCell ref="Q29:R29"/>
    <mergeCell ref="S29:X29"/>
    <mergeCell ref="A27:A28"/>
    <mergeCell ref="B27:B28"/>
    <mergeCell ref="C27:D27"/>
    <mergeCell ref="E27:J27"/>
    <mergeCell ref="K27:M27"/>
    <mergeCell ref="O27:O28"/>
    <mergeCell ref="P25:P26"/>
    <mergeCell ref="Q25:R25"/>
    <mergeCell ref="S25:X25"/>
    <mergeCell ref="P27:P28"/>
    <mergeCell ref="Q27:R27"/>
    <mergeCell ref="S27:X27"/>
    <mergeCell ref="Y25:AA25"/>
    <mergeCell ref="C26:D26"/>
    <mergeCell ref="E26:J26"/>
    <mergeCell ref="K26:M26"/>
    <mergeCell ref="Q26:R26"/>
    <mergeCell ref="S26:X26"/>
    <mergeCell ref="Y26:AA26"/>
    <mergeCell ref="A25:A26"/>
    <mergeCell ref="B25:B26"/>
    <mergeCell ref="C25:D25"/>
    <mergeCell ref="E25:J25"/>
    <mergeCell ref="K25:M25"/>
    <mergeCell ref="O25:O26"/>
    <mergeCell ref="P23:P24"/>
    <mergeCell ref="Q23:R23"/>
    <mergeCell ref="S23:X23"/>
    <mergeCell ref="Y23:AA23"/>
    <mergeCell ref="C24:D24"/>
    <mergeCell ref="E24:J24"/>
    <mergeCell ref="K24:M24"/>
    <mergeCell ref="Q24:R24"/>
    <mergeCell ref="S24:X24"/>
    <mergeCell ref="Y24:AA24"/>
    <mergeCell ref="A23:A24"/>
    <mergeCell ref="B23:B24"/>
    <mergeCell ref="C23:D23"/>
    <mergeCell ref="E23:J23"/>
    <mergeCell ref="K23:M23"/>
    <mergeCell ref="O23:O24"/>
    <mergeCell ref="C22:D22"/>
    <mergeCell ref="E22:J22"/>
    <mergeCell ref="K22:M22"/>
    <mergeCell ref="P21:P22"/>
    <mergeCell ref="Q21:R21"/>
    <mergeCell ref="S21:X21"/>
    <mergeCell ref="K19:M19"/>
    <mergeCell ref="K20:M20"/>
    <mergeCell ref="C19:D19"/>
    <mergeCell ref="C20:D20"/>
    <mergeCell ref="A19:A20"/>
    <mergeCell ref="B19:B20"/>
    <mergeCell ref="E19:J19"/>
    <mergeCell ref="O19:O20"/>
    <mergeCell ref="A21:A22"/>
    <mergeCell ref="B21:B22"/>
    <mergeCell ref="C21:D21"/>
    <mergeCell ref="E21:J21"/>
    <mergeCell ref="K21:M21"/>
    <mergeCell ref="O21:O22"/>
    <mergeCell ref="E20:J20"/>
    <mergeCell ref="Q20:R20"/>
    <mergeCell ref="S20:X20"/>
    <mergeCell ref="P17:P18"/>
    <mergeCell ref="Q17:R17"/>
    <mergeCell ref="S17:X17"/>
    <mergeCell ref="P19:P20"/>
    <mergeCell ref="Q19:R19"/>
    <mergeCell ref="S19:X19"/>
    <mergeCell ref="Y16:AA16"/>
    <mergeCell ref="Y17:AA17"/>
    <mergeCell ref="C18:D18"/>
    <mergeCell ref="E18:J18"/>
    <mergeCell ref="K18:M18"/>
    <mergeCell ref="Q18:R18"/>
    <mergeCell ref="S18:X18"/>
    <mergeCell ref="Y18:AA18"/>
    <mergeCell ref="P15:P16"/>
    <mergeCell ref="S15:X15"/>
    <mergeCell ref="S16:X16"/>
    <mergeCell ref="Y20:AA20"/>
    <mergeCell ref="A17:A18"/>
    <mergeCell ref="B17:B18"/>
    <mergeCell ref="C17:D17"/>
    <mergeCell ref="E17:J17"/>
    <mergeCell ref="K17:M17"/>
    <mergeCell ref="O17:O18"/>
    <mergeCell ref="A15:A16"/>
    <mergeCell ref="B15:B16"/>
    <mergeCell ref="C15:D15"/>
    <mergeCell ref="E15:J15"/>
    <mergeCell ref="K15:M15"/>
    <mergeCell ref="O15:O16"/>
    <mergeCell ref="C16:D16"/>
    <mergeCell ref="E16:J16"/>
    <mergeCell ref="K16:M16"/>
    <mergeCell ref="C14:D14"/>
    <mergeCell ref="E14:J14"/>
    <mergeCell ref="K14:M14"/>
    <mergeCell ref="S14:X14"/>
    <mergeCell ref="P13:P14"/>
    <mergeCell ref="S13:X13"/>
    <mergeCell ref="A13:A14"/>
    <mergeCell ref="B13:B14"/>
    <mergeCell ref="C13:D13"/>
    <mergeCell ref="E13:J13"/>
    <mergeCell ref="K13:M13"/>
    <mergeCell ref="O13:O14"/>
    <mergeCell ref="A11:A12"/>
    <mergeCell ref="B11:B12"/>
    <mergeCell ref="C11:D11"/>
    <mergeCell ref="E11:J11"/>
    <mergeCell ref="K11:M11"/>
    <mergeCell ref="O11:O12"/>
    <mergeCell ref="P9:P10"/>
    <mergeCell ref="Q9:R9"/>
    <mergeCell ref="S9:X9"/>
    <mergeCell ref="P11:P12"/>
    <mergeCell ref="S11:X11"/>
    <mergeCell ref="C12:D12"/>
    <mergeCell ref="E12:J12"/>
    <mergeCell ref="K12:M12"/>
    <mergeCell ref="S12:X12"/>
    <mergeCell ref="C10:D10"/>
    <mergeCell ref="E10:J10"/>
    <mergeCell ref="K10:M10"/>
    <mergeCell ref="Q10:R10"/>
    <mergeCell ref="S10:X10"/>
    <mergeCell ref="A9:A10"/>
    <mergeCell ref="B9:B10"/>
    <mergeCell ref="C9:D9"/>
    <mergeCell ref="E9:J9"/>
    <mergeCell ref="K9:M9"/>
    <mergeCell ref="O9:O10"/>
    <mergeCell ref="A4:D4"/>
    <mergeCell ref="C6:D6"/>
    <mergeCell ref="E6:J6"/>
    <mergeCell ref="K6:M6"/>
    <mergeCell ref="Q6:R6"/>
    <mergeCell ref="S6:X6"/>
    <mergeCell ref="Y7:AA7"/>
    <mergeCell ref="E8:J8"/>
    <mergeCell ref="S8:X8"/>
    <mergeCell ref="Y8:AA8"/>
    <mergeCell ref="Y6:AA6"/>
    <mergeCell ref="A7:A8"/>
    <mergeCell ref="B7:B8"/>
    <mergeCell ref="E7:J7"/>
    <mergeCell ref="O7:O8"/>
    <mergeCell ref="P7:P8"/>
    <mergeCell ref="Q7:R7"/>
    <mergeCell ref="S7:X7"/>
    <mergeCell ref="C7:D7"/>
    <mergeCell ref="C8:D8"/>
    <mergeCell ref="K8:M8"/>
    <mergeCell ref="K7:M7"/>
  </mergeCells>
  <phoneticPr fontId="8"/>
  <pageMargins left="0.78740157480314965" right="0.59055118110236227" top="0.98425196850393704" bottom="0.74803149606299213" header="0.51181102362204722" footer="0.51181102362204722"/>
  <pageSetup paperSize="9" scale="53" orientation="landscape"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4">
    <tabColor rgb="FFFF0000"/>
  </sheetPr>
  <dimension ref="A1:BM52"/>
  <sheetViews>
    <sheetView view="pageBreakPreview" topLeftCell="E1" zoomScaleNormal="100" zoomScaleSheetLayoutView="100" workbookViewId="0">
      <selection activeCell="K10" sqref="K10"/>
    </sheetView>
  </sheetViews>
  <sheetFormatPr defaultColWidth="9" defaultRowHeight="13.2"/>
  <cols>
    <col min="1" max="1" width="11.88671875" style="18" customWidth="1"/>
    <col min="2" max="2" width="14.109375" style="18" customWidth="1"/>
    <col min="3" max="3" width="14.109375" style="264" customWidth="1"/>
    <col min="4" max="4" width="11.6640625" style="18" customWidth="1"/>
    <col min="5" max="5" width="2.6640625" style="18" customWidth="1"/>
    <col min="6" max="6" width="11.88671875" style="18" customWidth="1"/>
    <col min="7" max="8" width="14.6640625" style="18" customWidth="1"/>
    <col min="9" max="9" width="10.6640625" style="18" customWidth="1"/>
    <col min="10" max="10" width="11.6640625" style="18" customWidth="1"/>
    <col min="11" max="13" width="10.6640625" style="18" customWidth="1"/>
    <col min="14" max="16384" width="9" style="18"/>
  </cols>
  <sheetData>
    <row r="1" spans="1:65" s="7" customFormat="1" ht="20.25" customHeight="1">
      <c r="A1" s="1121" t="s">
        <v>112</v>
      </c>
      <c r="B1" s="1122"/>
      <c r="C1" s="1123"/>
      <c r="D1" s="28" t="s">
        <v>193</v>
      </c>
      <c r="E1" s="29"/>
      <c r="F1" s="29"/>
      <c r="G1" s="29"/>
      <c r="H1" s="29"/>
      <c r="I1" s="29"/>
      <c r="J1"/>
      <c r="K1"/>
      <c r="L1" s="1124" t="s">
        <v>152</v>
      </c>
      <c r="M1" s="1124"/>
      <c r="N1" s="1124"/>
      <c r="O1" s="1124"/>
      <c r="P1" s="1124"/>
      <c r="Q1" s="1124"/>
      <c r="R1" s="1124"/>
      <c r="S1" s="1124"/>
      <c r="T1" s="1124"/>
      <c r="U1" s="1124"/>
      <c r="V1" s="84"/>
      <c r="W1" s="84"/>
      <c r="X1"/>
      <c r="Y1"/>
      <c r="Z1"/>
      <c r="AA1"/>
      <c r="AB1"/>
      <c r="AC1"/>
      <c r="AD1"/>
      <c r="AE1"/>
      <c r="AF1"/>
      <c r="AG1"/>
      <c r="AH1"/>
      <c r="AI1"/>
      <c r="AJ1"/>
      <c r="AK1"/>
      <c r="AL1"/>
      <c r="AM1"/>
      <c r="AN1"/>
      <c r="AO1"/>
      <c r="AP1"/>
      <c r="AQ1"/>
      <c r="AR1"/>
      <c r="AS1"/>
      <c r="AT1"/>
      <c r="AU1"/>
      <c r="AV1"/>
      <c r="AW1"/>
      <c r="AX1"/>
      <c r="AY1"/>
      <c r="AZ1"/>
      <c r="BA1"/>
      <c r="BB1"/>
      <c r="BC1"/>
      <c r="BD1"/>
      <c r="BE1"/>
      <c r="BF1"/>
      <c r="BG1"/>
      <c r="BH1"/>
      <c r="BI1"/>
      <c r="BJ1"/>
      <c r="BK1"/>
      <c r="BL1"/>
      <c r="BM1"/>
    </row>
    <row r="2" spans="1:65" s="7" customFormat="1" ht="20.25" customHeight="1">
      <c r="A2"/>
      <c r="B2"/>
      <c r="C2" s="260"/>
      <c r="D2"/>
      <c r="E2"/>
      <c r="F2"/>
      <c r="G2"/>
      <c r="H2"/>
      <c r="I2"/>
      <c r="J2"/>
      <c r="K2"/>
      <c r="L2" s="1124"/>
      <c r="M2" s="1124"/>
      <c r="N2" s="1124"/>
      <c r="O2" s="1124"/>
      <c r="P2" s="1124"/>
      <c r="Q2" s="1124"/>
      <c r="R2" s="1124"/>
      <c r="S2" s="1124"/>
      <c r="T2" s="1124"/>
      <c r="U2" s="1124"/>
      <c r="V2" s="84"/>
      <c r="W2" s="84"/>
      <c r="X2"/>
      <c r="Y2"/>
      <c r="Z2"/>
      <c r="AA2"/>
      <c r="AB2"/>
      <c r="AC2"/>
      <c r="AD2"/>
      <c r="AE2"/>
      <c r="AF2"/>
      <c r="AG2"/>
      <c r="AH2"/>
      <c r="AI2"/>
      <c r="AJ2"/>
      <c r="AK2"/>
      <c r="AL2"/>
      <c r="AM2"/>
      <c r="AN2"/>
      <c r="AO2"/>
      <c r="AP2"/>
      <c r="AQ2"/>
      <c r="AR2"/>
      <c r="AS2"/>
      <c r="AT2"/>
      <c r="AU2"/>
      <c r="AV2"/>
      <c r="AW2"/>
      <c r="AX2"/>
      <c r="AY2"/>
    </row>
    <row r="3" spans="1:65" ht="22.5" customHeight="1">
      <c r="A3" s="27" t="s">
        <v>0</v>
      </c>
      <c r="B3" s="7"/>
      <c r="C3" s="10"/>
      <c r="D3" s="7"/>
      <c r="E3" s="7"/>
      <c r="F3" s="27" t="s">
        <v>1</v>
      </c>
      <c r="G3" s="7"/>
      <c r="H3" s="10"/>
      <c r="I3" s="7"/>
      <c r="J3"/>
      <c r="K3"/>
      <c r="L3" s="1124"/>
      <c r="M3" s="1124"/>
      <c r="N3" s="1124"/>
      <c r="O3" s="1124"/>
      <c r="P3" s="1124"/>
      <c r="Q3" s="1124"/>
      <c r="R3" s="1124"/>
      <c r="S3" s="1124"/>
      <c r="T3" s="1124"/>
      <c r="U3" s="1124"/>
      <c r="V3" s="84"/>
      <c r="W3" s="84"/>
      <c r="X3"/>
      <c r="Y3"/>
      <c r="Z3"/>
      <c r="AA3"/>
      <c r="AB3"/>
      <c r="AC3"/>
      <c r="AD3"/>
      <c r="AE3"/>
      <c r="AF3"/>
      <c r="AG3"/>
      <c r="AH3"/>
      <c r="AI3"/>
      <c r="AJ3"/>
      <c r="AK3"/>
      <c r="AL3"/>
      <c r="AM3"/>
      <c r="AN3"/>
      <c r="AO3"/>
      <c r="AP3"/>
      <c r="AQ3"/>
      <c r="AR3"/>
      <c r="AS3"/>
      <c r="AT3"/>
      <c r="AU3"/>
      <c r="AV3"/>
      <c r="AW3"/>
      <c r="AX3"/>
      <c r="AY3"/>
      <c r="AZ3"/>
      <c r="BA3"/>
      <c r="BB3"/>
      <c r="BC3"/>
      <c r="BD3"/>
      <c r="BE3"/>
      <c r="BF3"/>
      <c r="BG3"/>
      <c r="BH3"/>
      <c r="BI3"/>
      <c r="BJ3"/>
      <c r="BK3"/>
      <c r="BL3"/>
      <c r="BM3"/>
    </row>
    <row r="4" spans="1:65" ht="30" customHeight="1">
      <c r="A4" s="76"/>
      <c r="B4" s="31" t="s">
        <v>20</v>
      </c>
      <c r="C4" s="32" t="s">
        <v>21</v>
      </c>
      <c r="D4" s="77" t="s">
        <v>18</v>
      </c>
      <c r="E4" s="7"/>
      <c r="F4" s="76"/>
      <c r="G4" s="32" t="s">
        <v>20</v>
      </c>
      <c r="H4" s="32" t="s">
        <v>21</v>
      </c>
      <c r="I4" s="247" t="s">
        <v>18</v>
      </c>
      <c r="J4" s="191" t="s">
        <v>150</v>
      </c>
      <c r="K4" s="32" t="s">
        <v>151</v>
      </c>
      <c r="L4" s="1124"/>
      <c r="M4" s="1124"/>
      <c r="N4" s="1124"/>
      <c r="O4" s="1124"/>
      <c r="P4" s="1124"/>
      <c r="Q4" s="1124"/>
      <c r="R4" s="1124"/>
      <c r="S4" s="1124"/>
      <c r="T4" s="1124"/>
      <c r="U4" s="1124"/>
      <c r="V4" s="84"/>
      <c r="W4" s="84"/>
      <c r="X4"/>
      <c r="Y4"/>
      <c r="Z4"/>
      <c r="AA4"/>
      <c r="AB4"/>
      <c r="AC4"/>
      <c r="AD4"/>
      <c r="AE4"/>
      <c r="AF4"/>
      <c r="AG4"/>
      <c r="AH4"/>
      <c r="AI4"/>
      <c r="AJ4"/>
      <c r="AK4"/>
      <c r="AL4"/>
      <c r="AM4"/>
      <c r="AN4"/>
      <c r="AO4"/>
      <c r="AP4"/>
      <c r="AQ4"/>
      <c r="AR4"/>
      <c r="AS4"/>
      <c r="AT4"/>
      <c r="AU4"/>
      <c r="AV4"/>
      <c r="AW4"/>
      <c r="AX4"/>
      <c r="AY4"/>
      <c r="AZ4"/>
      <c r="BA4"/>
      <c r="BB4"/>
      <c r="BC4"/>
      <c r="BD4"/>
      <c r="BE4"/>
      <c r="BF4"/>
      <c r="BG4"/>
      <c r="BH4"/>
      <c r="BI4"/>
      <c r="BJ4"/>
      <c r="BK4"/>
      <c r="BL4"/>
      <c r="BM4"/>
    </row>
    <row r="5" spans="1:65" ht="20.25" customHeight="1">
      <c r="A5" s="334">
        <v>45017</v>
      </c>
      <c r="B5" s="329">
        <v>31</v>
      </c>
      <c r="C5" s="329">
        <v>104</v>
      </c>
      <c r="D5" s="824">
        <f t="shared" ref="D5:D17" si="0">IF(OR(B5="",C5=""),"",C5/B5)</f>
        <v>3.3548387096774195</v>
      </c>
      <c r="E5" s="7"/>
      <c r="F5" s="334">
        <v>45017</v>
      </c>
      <c r="G5" s="335">
        <v>10029</v>
      </c>
      <c r="H5" s="335">
        <v>21539</v>
      </c>
      <c r="I5" s="823">
        <f t="shared" ref="I5:I17" si="1">IF(OR(G5="",H5=""),"",H5/G5)</f>
        <v>2.1476717519194337</v>
      </c>
      <c r="J5" s="257">
        <f t="shared" ref="J5:J11" si="2">IF(K5="","",K5*600)</f>
        <v>88.199999999999989</v>
      </c>
      <c r="K5" s="192">
        <v>0.14699999999999999</v>
      </c>
      <c r="L5" s="1124"/>
      <c r="M5" s="1124"/>
      <c r="N5" s="1124"/>
      <c r="O5" s="1124"/>
      <c r="P5" s="1124"/>
      <c r="Q5" s="1124"/>
      <c r="R5" s="1124"/>
      <c r="S5" s="1124"/>
      <c r="T5" s="1124"/>
      <c r="U5" s="1124"/>
      <c r="V5" s="84"/>
      <c r="W5" s="84"/>
      <c r="X5"/>
      <c r="Y5"/>
      <c r="Z5"/>
      <c r="AA5"/>
      <c r="AB5"/>
      <c r="AC5"/>
      <c r="AD5"/>
      <c r="AE5"/>
      <c r="AF5"/>
      <c r="AG5"/>
      <c r="AH5"/>
      <c r="AI5"/>
      <c r="AJ5"/>
      <c r="AK5"/>
      <c r="AL5"/>
      <c r="AM5"/>
      <c r="AN5"/>
      <c r="AO5"/>
      <c r="AP5"/>
      <c r="AQ5"/>
      <c r="AR5"/>
      <c r="AS5"/>
      <c r="AT5"/>
      <c r="AU5"/>
      <c r="AV5"/>
      <c r="AW5"/>
      <c r="AX5"/>
      <c r="AY5"/>
      <c r="AZ5"/>
      <c r="BA5"/>
      <c r="BB5"/>
      <c r="BC5"/>
      <c r="BD5"/>
      <c r="BE5"/>
      <c r="BF5"/>
      <c r="BG5"/>
      <c r="BH5"/>
      <c r="BI5"/>
      <c r="BJ5"/>
      <c r="BK5"/>
      <c r="BL5"/>
      <c r="BM5"/>
    </row>
    <row r="6" spans="1:65" ht="20.25" customHeight="1">
      <c r="A6" s="61" t="s">
        <v>92</v>
      </c>
      <c r="B6" s="329">
        <v>33</v>
      </c>
      <c r="C6" s="329">
        <v>99</v>
      </c>
      <c r="D6" s="824">
        <f t="shared" si="0"/>
        <v>3</v>
      </c>
      <c r="E6" s="7"/>
      <c r="F6" s="61" t="s">
        <v>92</v>
      </c>
      <c r="G6" s="336">
        <v>9769</v>
      </c>
      <c r="H6" s="336">
        <v>19263</v>
      </c>
      <c r="I6" s="823">
        <f t="shared" si="1"/>
        <v>1.9718497287337495</v>
      </c>
      <c r="J6" s="257">
        <f t="shared" si="2"/>
        <v>71.399999999999991</v>
      </c>
      <c r="K6" s="193">
        <v>0.11899999999999999</v>
      </c>
      <c r="L6" s="1124"/>
      <c r="M6" s="1124"/>
      <c r="N6" s="1124"/>
      <c r="O6" s="1124"/>
      <c r="P6" s="1124"/>
      <c r="Q6" s="1124"/>
      <c r="R6" s="1124"/>
      <c r="S6" s="1124"/>
      <c r="T6" s="1124"/>
      <c r="U6" s="1124"/>
      <c r="V6" s="84"/>
      <c r="W6" s="84"/>
      <c r="X6"/>
      <c r="Y6"/>
      <c r="Z6"/>
      <c r="AA6"/>
      <c r="AB6"/>
      <c r="AC6"/>
      <c r="AD6"/>
      <c r="AE6"/>
      <c r="AF6"/>
      <c r="AG6"/>
      <c r="AH6"/>
      <c r="AI6"/>
      <c r="AJ6"/>
      <c r="AK6"/>
      <c r="AL6"/>
      <c r="AM6"/>
      <c r="AN6"/>
      <c r="AO6"/>
      <c r="AP6"/>
      <c r="AQ6"/>
      <c r="AR6"/>
      <c r="AS6"/>
      <c r="AT6"/>
      <c r="AU6"/>
      <c r="AV6"/>
      <c r="AW6"/>
      <c r="AX6"/>
      <c r="AY6"/>
      <c r="AZ6"/>
      <c r="BA6"/>
      <c r="BB6"/>
      <c r="BC6"/>
      <c r="BD6"/>
      <c r="BE6"/>
      <c r="BF6"/>
      <c r="BG6"/>
      <c r="BH6"/>
      <c r="BI6"/>
      <c r="BJ6"/>
      <c r="BK6"/>
      <c r="BL6"/>
      <c r="BM6"/>
    </row>
    <row r="7" spans="1:65" ht="20.25" customHeight="1">
      <c r="A7" s="61" t="s">
        <v>93</v>
      </c>
      <c r="B7" s="329">
        <v>44</v>
      </c>
      <c r="C7" s="329"/>
      <c r="D7" s="824" t="str">
        <f t="shared" si="0"/>
        <v/>
      </c>
      <c r="E7" s="7"/>
      <c r="F7" s="61" t="s">
        <v>93</v>
      </c>
      <c r="G7" s="335">
        <v>13641</v>
      </c>
      <c r="H7" s="335"/>
      <c r="I7" s="823" t="str">
        <f t="shared" si="1"/>
        <v/>
      </c>
      <c r="J7" s="257" t="str">
        <f>IF(K7="","",K7*600)</f>
        <v/>
      </c>
      <c r="K7" s="256"/>
      <c r="L7" s="1124"/>
      <c r="M7" s="1124"/>
      <c r="N7" s="1124"/>
      <c r="O7" s="1124"/>
      <c r="P7" s="1124"/>
      <c r="Q7" s="1124"/>
      <c r="R7" s="1124"/>
      <c r="S7" s="1124"/>
      <c r="T7" s="1124"/>
      <c r="U7" s="1124"/>
      <c r="V7" s="84"/>
      <c r="W7" s="84"/>
      <c r="X7"/>
      <c r="Y7"/>
      <c r="Z7"/>
      <c r="AA7"/>
      <c r="AB7"/>
      <c r="AC7"/>
      <c r="AD7"/>
      <c r="AE7"/>
      <c r="AF7"/>
      <c r="AG7"/>
      <c r="AH7"/>
      <c r="AI7"/>
      <c r="AJ7"/>
      <c r="AK7"/>
      <c r="AL7"/>
      <c r="AM7"/>
      <c r="AN7"/>
      <c r="AO7"/>
      <c r="AP7"/>
      <c r="AQ7"/>
      <c r="AR7"/>
      <c r="AS7"/>
      <c r="AT7"/>
      <c r="AU7"/>
      <c r="AV7"/>
      <c r="AW7"/>
      <c r="AX7"/>
      <c r="AY7"/>
      <c r="AZ7"/>
      <c r="BA7"/>
      <c r="BB7"/>
      <c r="BC7"/>
      <c r="BD7"/>
      <c r="BE7"/>
      <c r="BF7"/>
      <c r="BG7"/>
      <c r="BH7"/>
      <c r="BI7"/>
      <c r="BJ7"/>
      <c r="BK7"/>
      <c r="BL7"/>
      <c r="BM7"/>
    </row>
    <row r="8" spans="1:65" ht="20.25" customHeight="1">
      <c r="A8" s="61" t="s">
        <v>94</v>
      </c>
      <c r="B8" s="329">
        <v>54</v>
      </c>
      <c r="C8" s="329"/>
      <c r="D8" s="824" t="str">
        <f t="shared" si="0"/>
        <v/>
      </c>
      <c r="E8" s="7"/>
      <c r="F8" s="61" t="s">
        <v>94</v>
      </c>
      <c r="G8" s="336">
        <v>19730</v>
      </c>
      <c r="H8" s="336"/>
      <c r="I8" s="823" t="str">
        <f t="shared" si="1"/>
        <v/>
      </c>
      <c r="J8" s="257" t="str">
        <f>IF(K8="","",K8*600)</f>
        <v/>
      </c>
      <c r="K8" s="256"/>
      <c r="L8" s="1124"/>
      <c r="M8" s="1124"/>
      <c r="N8" s="1124"/>
      <c r="O8" s="1124"/>
      <c r="P8" s="1124"/>
      <c r="Q8" s="1124"/>
      <c r="R8" s="1124"/>
      <c r="S8" s="1124"/>
      <c r="T8" s="1124"/>
      <c r="U8" s="1124"/>
      <c r="V8" s="84"/>
      <c r="W8" s="84"/>
      <c r="X8"/>
      <c r="Y8"/>
      <c r="Z8"/>
      <c r="AA8"/>
      <c r="AB8"/>
      <c r="AC8"/>
      <c r="AD8"/>
      <c r="AE8"/>
      <c r="AF8"/>
      <c r="AG8"/>
      <c r="AH8"/>
      <c r="AI8"/>
      <c r="AJ8"/>
      <c r="AK8"/>
      <c r="AL8"/>
      <c r="AM8"/>
      <c r="AN8"/>
      <c r="AO8"/>
      <c r="AP8"/>
      <c r="AQ8"/>
      <c r="AR8"/>
      <c r="AS8"/>
      <c r="AT8"/>
      <c r="AU8"/>
      <c r="AV8"/>
      <c r="AW8"/>
      <c r="AX8"/>
      <c r="AY8"/>
      <c r="AZ8"/>
      <c r="BA8"/>
      <c r="BB8"/>
      <c r="BC8"/>
      <c r="BD8"/>
      <c r="BE8"/>
      <c r="BF8"/>
      <c r="BG8"/>
      <c r="BH8"/>
      <c r="BI8"/>
      <c r="BJ8"/>
      <c r="BK8"/>
      <c r="BL8"/>
      <c r="BM8"/>
    </row>
    <row r="9" spans="1:65" ht="20.25" customHeight="1">
      <c r="A9" s="61" t="s">
        <v>95</v>
      </c>
      <c r="B9" s="329">
        <v>65</v>
      </c>
      <c r="C9" s="329"/>
      <c r="D9" s="824" t="str">
        <f t="shared" si="0"/>
        <v/>
      </c>
      <c r="E9" s="7"/>
      <c r="F9" s="61" t="s">
        <v>95</v>
      </c>
      <c r="G9" s="335">
        <v>23613</v>
      </c>
      <c r="H9" s="335"/>
      <c r="I9" s="824" t="str">
        <f t="shared" si="1"/>
        <v/>
      </c>
      <c r="J9" s="257" t="str">
        <f t="shared" si="2"/>
        <v/>
      </c>
      <c r="K9" s="256"/>
      <c r="L9" s="1124"/>
      <c r="M9" s="1124"/>
      <c r="N9" s="1124"/>
      <c r="O9" s="1124"/>
      <c r="P9" s="1124"/>
      <c r="Q9" s="1124"/>
      <c r="R9" s="1124"/>
      <c r="S9" s="1124"/>
      <c r="T9" s="1124"/>
      <c r="U9" s="1124"/>
      <c r="V9" s="84"/>
      <c r="W9" s="84"/>
      <c r="X9"/>
      <c r="Y9"/>
      <c r="Z9"/>
      <c r="AA9"/>
      <c r="AB9"/>
      <c r="AC9"/>
      <c r="AD9"/>
      <c r="AE9"/>
      <c r="AF9"/>
      <c r="AG9"/>
      <c r="AH9"/>
      <c r="AI9"/>
      <c r="AJ9"/>
      <c r="AK9"/>
      <c r="AL9"/>
      <c r="AM9"/>
      <c r="AN9"/>
      <c r="AO9"/>
      <c r="AP9"/>
      <c r="AQ9"/>
      <c r="AR9"/>
      <c r="AS9"/>
      <c r="AT9"/>
      <c r="AU9"/>
      <c r="AV9"/>
      <c r="AW9"/>
      <c r="AX9"/>
      <c r="AY9"/>
      <c r="AZ9"/>
      <c r="BA9"/>
      <c r="BB9"/>
      <c r="BC9"/>
      <c r="BD9"/>
      <c r="BE9"/>
      <c r="BF9"/>
      <c r="BG9"/>
      <c r="BH9"/>
      <c r="BI9"/>
      <c r="BJ9"/>
      <c r="BK9"/>
      <c r="BL9"/>
      <c r="BM9"/>
    </row>
    <row r="10" spans="1:65" ht="20.25" customHeight="1">
      <c r="A10" s="61" t="s">
        <v>96</v>
      </c>
      <c r="B10" s="330">
        <v>74</v>
      </c>
      <c r="C10" s="329"/>
      <c r="D10" s="824" t="str">
        <f t="shared" si="0"/>
        <v/>
      </c>
      <c r="E10" s="7"/>
      <c r="F10" s="61" t="s">
        <v>96</v>
      </c>
      <c r="G10" s="336">
        <v>22479</v>
      </c>
      <c r="H10" s="336"/>
      <c r="I10" s="824" t="str">
        <f t="shared" si="1"/>
        <v/>
      </c>
      <c r="J10" s="257" t="str">
        <f t="shared" si="2"/>
        <v/>
      </c>
      <c r="K10" s="256"/>
      <c r="L10" s="1124"/>
      <c r="M10" s="1124"/>
      <c r="N10" s="1124"/>
      <c r="O10" s="1124"/>
      <c r="P10" s="1124"/>
      <c r="Q10" s="1124"/>
      <c r="R10" s="1124"/>
      <c r="S10" s="1124"/>
      <c r="T10" s="1124"/>
      <c r="U10" s="1124"/>
      <c r="V10" s="84"/>
      <c r="W10" s="84"/>
      <c r="X10"/>
      <c r="Y10"/>
      <c r="Z10"/>
      <c r="AA10"/>
      <c r="AB10"/>
      <c r="AC10"/>
      <c r="AD10"/>
      <c r="AE10"/>
      <c r="AF10"/>
      <c r="AG10"/>
      <c r="AH10"/>
      <c r="AI10"/>
      <c r="AJ10"/>
      <c r="AK10"/>
      <c r="AL10"/>
      <c r="AM10"/>
      <c r="AN10"/>
      <c r="AO10"/>
      <c r="AP10"/>
      <c r="AQ10"/>
      <c r="AR10"/>
      <c r="AS10"/>
      <c r="AT10"/>
      <c r="AU10"/>
      <c r="AV10"/>
      <c r="AW10"/>
      <c r="AX10"/>
      <c r="AY10"/>
      <c r="AZ10"/>
      <c r="BA10"/>
      <c r="BB10"/>
      <c r="BC10"/>
      <c r="BD10"/>
      <c r="BE10"/>
      <c r="BF10"/>
      <c r="BG10"/>
      <c r="BH10"/>
      <c r="BI10"/>
      <c r="BJ10"/>
      <c r="BK10"/>
      <c r="BL10"/>
      <c r="BM10"/>
    </row>
    <row r="11" spans="1:65" ht="20.25" customHeight="1">
      <c r="A11" s="61" t="s">
        <v>97</v>
      </c>
      <c r="B11" s="329">
        <v>61</v>
      </c>
      <c r="C11" s="329"/>
      <c r="D11" s="824" t="str">
        <f t="shared" si="0"/>
        <v/>
      </c>
      <c r="E11" s="7"/>
      <c r="F11" s="61" t="s">
        <v>97</v>
      </c>
      <c r="G11" s="335">
        <v>20249</v>
      </c>
      <c r="H11" s="335"/>
      <c r="I11" s="824" t="str">
        <f t="shared" si="1"/>
        <v/>
      </c>
      <c r="J11" s="257" t="str">
        <f t="shared" si="2"/>
        <v/>
      </c>
      <c r="K11" s="258"/>
      <c r="L11" s="1124"/>
      <c r="M11" s="1124"/>
      <c r="N11" s="1124"/>
      <c r="O11" s="1124"/>
      <c r="P11" s="1124"/>
      <c r="Q11" s="1124"/>
      <c r="R11" s="1124"/>
      <c r="S11" s="1124"/>
      <c r="T11" s="1124"/>
      <c r="U11" s="1124"/>
      <c r="V11" s="84"/>
      <c r="W11" s="84"/>
      <c r="X11"/>
      <c r="Y11"/>
      <c r="Z11"/>
      <c r="AA11"/>
      <c r="AB11"/>
      <c r="AC11"/>
      <c r="AD11"/>
      <c r="AE11"/>
      <c r="AF11"/>
      <c r="AG11"/>
      <c r="AH11"/>
      <c r="AI11"/>
      <c r="AJ11"/>
      <c r="AK11"/>
      <c r="AL11"/>
      <c r="AM11"/>
      <c r="AN11"/>
      <c r="AO11"/>
      <c r="AP11"/>
      <c r="AQ11"/>
      <c r="AR11"/>
      <c r="AS11"/>
      <c r="AT11"/>
      <c r="AU11"/>
      <c r="AV11"/>
      <c r="AW11"/>
      <c r="AX11"/>
      <c r="AY11"/>
      <c r="AZ11"/>
      <c r="BA11"/>
      <c r="BB11"/>
      <c r="BC11"/>
      <c r="BD11"/>
      <c r="BE11"/>
      <c r="BF11"/>
      <c r="BG11"/>
      <c r="BH11"/>
      <c r="BI11"/>
      <c r="BJ11"/>
      <c r="BK11"/>
      <c r="BL11"/>
      <c r="BM11"/>
    </row>
    <row r="12" spans="1:65" ht="20.25" customHeight="1">
      <c r="A12" s="61" t="s">
        <v>98</v>
      </c>
      <c r="B12" s="330">
        <v>82</v>
      </c>
      <c r="C12" s="329"/>
      <c r="D12" s="823" t="str">
        <f t="shared" si="0"/>
        <v/>
      </c>
      <c r="E12" s="7"/>
      <c r="F12" s="61" t="s">
        <v>98</v>
      </c>
      <c r="G12" s="336">
        <v>18948</v>
      </c>
      <c r="H12" s="336"/>
      <c r="I12" s="823" t="str">
        <f t="shared" si="1"/>
        <v/>
      </c>
      <c r="J12" s="257" t="str">
        <f>IF(K12="","",K12*600)</f>
        <v/>
      </c>
      <c r="K12" s="256"/>
      <c r="L12" s="1124"/>
      <c r="M12" s="1124"/>
      <c r="N12" s="1124"/>
      <c r="O12" s="1124"/>
      <c r="P12" s="1124"/>
      <c r="Q12" s="1124"/>
      <c r="R12" s="1124"/>
      <c r="S12" s="1124"/>
      <c r="T12" s="1124"/>
      <c r="U12" s="1124"/>
      <c r="V12" s="84"/>
      <c r="W12" s="84"/>
      <c r="X12"/>
      <c r="Y12"/>
      <c r="Z12"/>
      <c r="AA12"/>
      <c r="AB12"/>
      <c r="AC12"/>
      <c r="AD12"/>
      <c r="AE12"/>
      <c r="AF12"/>
      <c r="AG12"/>
      <c r="AH12"/>
      <c r="AI12"/>
      <c r="AJ12"/>
      <c r="AK12"/>
      <c r="AL12"/>
      <c r="AM12"/>
      <c r="AN12"/>
      <c r="AO12"/>
      <c r="AP12"/>
      <c r="AQ12"/>
      <c r="AR12"/>
      <c r="AS12"/>
      <c r="AT12"/>
      <c r="AU12"/>
      <c r="AV12"/>
      <c r="AW12"/>
      <c r="AX12"/>
      <c r="AY12"/>
      <c r="AZ12"/>
      <c r="BA12"/>
      <c r="BB12"/>
      <c r="BC12"/>
      <c r="BD12"/>
      <c r="BE12"/>
      <c r="BF12"/>
      <c r="BG12"/>
      <c r="BH12"/>
      <c r="BI12"/>
      <c r="BJ12"/>
      <c r="BK12"/>
      <c r="BL12"/>
      <c r="BM12"/>
    </row>
    <row r="13" spans="1:65" ht="20.25" customHeight="1">
      <c r="A13" s="61" t="s">
        <v>99</v>
      </c>
      <c r="B13" s="329">
        <v>86</v>
      </c>
      <c r="C13" s="329"/>
      <c r="D13" s="824" t="str">
        <f t="shared" si="0"/>
        <v/>
      </c>
      <c r="E13" s="7"/>
      <c r="F13" s="61" t="s">
        <v>99</v>
      </c>
      <c r="G13" s="335">
        <v>21582</v>
      </c>
      <c r="H13" s="335"/>
      <c r="I13" s="823" t="str">
        <f t="shared" si="1"/>
        <v/>
      </c>
      <c r="J13" s="257" t="str">
        <f>IF(K13="","",K13*600)</f>
        <v/>
      </c>
      <c r="K13" s="256"/>
      <c r="L13" s="1124"/>
      <c r="M13" s="1124"/>
      <c r="N13" s="1124"/>
      <c r="O13" s="1124"/>
      <c r="P13" s="1124"/>
      <c r="Q13" s="1124"/>
      <c r="R13" s="1124"/>
      <c r="S13" s="1124"/>
      <c r="T13" s="1124"/>
      <c r="U13" s="1124"/>
      <c r="V13" s="84"/>
      <c r="W13" s="84"/>
      <c r="X13"/>
      <c r="Y13"/>
      <c r="Z13"/>
      <c r="AA13"/>
      <c r="AB13"/>
      <c r="AC13"/>
      <c r="AD13"/>
      <c r="AE13"/>
      <c r="AF13"/>
      <c r="AG13"/>
      <c r="AH13"/>
      <c r="AI13"/>
      <c r="AJ13"/>
      <c r="AK13"/>
      <c r="AL13"/>
      <c r="AM13"/>
      <c r="AN13"/>
      <c r="AO13"/>
      <c r="AP13"/>
      <c r="AQ13"/>
      <c r="AR13"/>
      <c r="AS13"/>
      <c r="AT13"/>
      <c r="AU13"/>
      <c r="AV13"/>
      <c r="AW13"/>
      <c r="AX13"/>
      <c r="AY13"/>
      <c r="AZ13"/>
      <c r="BA13"/>
      <c r="BB13"/>
      <c r="BC13"/>
      <c r="BD13"/>
      <c r="BE13"/>
      <c r="BF13"/>
      <c r="BG13"/>
      <c r="BH13"/>
      <c r="BI13"/>
      <c r="BJ13"/>
      <c r="BK13"/>
      <c r="BL13"/>
      <c r="BM13"/>
    </row>
    <row r="14" spans="1:65" ht="20.25" customHeight="1">
      <c r="A14" s="78">
        <v>45292</v>
      </c>
      <c r="B14" s="330">
        <v>84</v>
      </c>
      <c r="C14" s="329"/>
      <c r="D14" s="824" t="str">
        <f t="shared" si="0"/>
        <v/>
      </c>
      <c r="E14" s="7"/>
      <c r="F14" s="78">
        <v>45292</v>
      </c>
      <c r="G14" s="336">
        <v>24976</v>
      </c>
      <c r="H14" s="336"/>
      <c r="I14" s="823" t="str">
        <f t="shared" si="1"/>
        <v/>
      </c>
      <c r="J14" s="257" t="str">
        <f>IF(K14="","",K14*600)</f>
        <v/>
      </c>
      <c r="K14" s="256"/>
      <c r="L14" s="1124"/>
      <c r="M14" s="1124"/>
      <c r="N14" s="1124"/>
      <c r="O14" s="1124"/>
      <c r="P14" s="1124"/>
      <c r="Q14" s="1124"/>
      <c r="R14" s="1124"/>
      <c r="S14" s="1124"/>
      <c r="T14" s="1124"/>
      <c r="U14" s="1124"/>
      <c r="V14" s="84"/>
      <c r="W14" s="84"/>
      <c r="X14" s="20"/>
      <c r="Y14" s="20"/>
    </row>
    <row r="15" spans="1:65" ht="20.25" customHeight="1">
      <c r="A15" s="61" t="s">
        <v>100</v>
      </c>
      <c r="B15" s="329">
        <v>110</v>
      </c>
      <c r="C15" s="329"/>
      <c r="D15" s="824" t="str">
        <f t="shared" si="0"/>
        <v/>
      </c>
      <c r="E15" s="7"/>
      <c r="F15" s="61" t="s">
        <v>100</v>
      </c>
      <c r="G15" s="337">
        <v>31079</v>
      </c>
      <c r="H15" s="337"/>
      <c r="I15" s="823" t="str">
        <f t="shared" si="1"/>
        <v/>
      </c>
      <c r="J15" s="257" t="str">
        <f>IF(K15="","",K15*600)</f>
        <v/>
      </c>
      <c r="K15" s="256"/>
      <c r="L15" s="1124"/>
      <c r="M15" s="1124"/>
      <c r="N15" s="1124"/>
      <c r="O15" s="1124"/>
      <c r="P15" s="1124"/>
      <c r="Q15" s="1124"/>
      <c r="R15" s="1124"/>
      <c r="S15" s="1124"/>
      <c r="T15" s="1124"/>
      <c r="U15" s="1124"/>
      <c r="V15" s="84"/>
      <c r="W15" s="85"/>
      <c r="X15" s="20"/>
      <c r="Y15" s="20"/>
    </row>
    <row r="16" spans="1:65" ht="20.25" customHeight="1" thickBot="1">
      <c r="A16" s="61" t="s">
        <v>118</v>
      </c>
      <c r="B16" s="331">
        <v>98</v>
      </c>
      <c r="C16" s="329"/>
      <c r="D16" s="824" t="str">
        <f t="shared" si="0"/>
        <v/>
      </c>
      <c r="E16" s="7"/>
      <c r="F16" s="61" t="s">
        <v>118</v>
      </c>
      <c r="G16" s="338">
        <v>23922</v>
      </c>
      <c r="H16" s="338"/>
      <c r="I16" s="823" t="str">
        <f t="shared" si="1"/>
        <v/>
      </c>
      <c r="J16" s="339" t="str">
        <f>IF(K16="","",K16*600)</f>
        <v/>
      </c>
      <c r="K16" s="256"/>
      <c r="L16" s="1124"/>
      <c r="M16" s="1124"/>
      <c r="N16" s="1124"/>
      <c r="O16" s="1124"/>
      <c r="P16" s="1124"/>
      <c r="Q16" s="1124"/>
      <c r="R16" s="1124"/>
      <c r="S16" s="1124"/>
      <c r="T16" s="1124"/>
      <c r="U16" s="1124"/>
      <c r="V16" s="84"/>
      <c r="W16" s="84"/>
      <c r="X16" s="20"/>
      <c r="Y16" s="20"/>
    </row>
    <row r="17" spans="1:25" ht="20.25" customHeight="1" thickTop="1">
      <c r="A17" s="79" t="s">
        <v>2</v>
      </c>
      <c r="B17" s="333">
        <f>SUMIF(C5:C16,"&gt;=0",(B5:B16))</f>
        <v>64</v>
      </c>
      <c r="C17" s="333">
        <f>SUM(C5:C16)</f>
        <v>203</v>
      </c>
      <c r="D17" s="825">
        <f t="shared" si="0"/>
        <v>3.171875</v>
      </c>
      <c r="E17" s="7"/>
      <c r="F17" s="79" t="s">
        <v>119</v>
      </c>
      <c r="G17" s="332">
        <f>SUMIF(H5:H16,"&gt;=0",(G5:G16))</f>
        <v>19798</v>
      </c>
      <c r="H17" s="332">
        <f>SUM(H5:H16)</f>
        <v>40802</v>
      </c>
      <c r="I17" s="825">
        <f t="shared" si="1"/>
        <v>2.0609152439640366</v>
      </c>
      <c r="J17" s="826" t="s">
        <v>291</v>
      </c>
      <c r="L17" s="1124"/>
      <c r="M17" s="1124"/>
      <c r="N17" s="1124"/>
      <c r="O17" s="1124"/>
      <c r="P17" s="1124"/>
      <c r="Q17" s="1124"/>
      <c r="R17" s="1124"/>
      <c r="S17" s="1124"/>
      <c r="T17" s="1124"/>
      <c r="U17" s="1124"/>
      <c r="V17" s="84"/>
      <c r="W17" s="84"/>
      <c r="X17" s="20"/>
      <c r="Y17" s="20"/>
    </row>
    <row r="18" spans="1:25" ht="20.25" customHeight="1">
      <c r="A18" s="7"/>
      <c r="B18" s="7"/>
      <c r="C18" s="10"/>
      <c r="D18" s="13"/>
      <c r="E18" s="13"/>
      <c r="F18" s="13"/>
      <c r="G18" s="30"/>
      <c r="H18" s="13"/>
      <c r="I18" s="13"/>
      <c r="L18" s="1124"/>
      <c r="M18" s="1124"/>
      <c r="N18" s="1124"/>
      <c r="O18" s="1124"/>
      <c r="P18" s="1124"/>
      <c r="Q18" s="1124"/>
      <c r="R18" s="1124"/>
      <c r="S18" s="1124"/>
      <c r="T18" s="1124"/>
      <c r="U18" s="1124"/>
      <c r="V18" s="84"/>
      <c r="W18" s="84"/>
      <c r="X18" s="20"/>
      <c r="Y18" s="20"/>
    </row>
    <row r="19" spans="1:25" ht="25.5" customHeight="1">
      <c r="A19" s="26" t="s">
        <v>3</v>
      </c>
      <c r="B19" s="1126" t="s">
        <v>194</v>
      </c>
      <c r="C19" s="1126"/>
      <c r="D19" s="1126"/>
      <c r="E19" s="1126"/>
      <c r="F19" s="1126"/>
      <c r="G19" s="1126"/>
      <c r="H19" s="1126"/>
      <c r="I19" s="1127"/>
      <c r="J19" s="773"/>
      <c r="L19" s="1124"/>
      <c r="M19" s="1124"/>
      <c r="N19" s="1124"/>
      <c r="O19" s="1124"/>
      <c r="P19" s="1124"/>
      <c r="Q19" s="1124"/>
      <c r="R19" s="1124"/>
      <c r="S19" s="1124"/>
      <c r="T19" s="1124"/>
      <c r="U19" s="1124"/>
      <c r="V19" s="84"/>
      <c r="W19" s="84"/>
    </row>
    <row r="20" spans="1:25" ht="15.75" customHeight="1">
      <c r="A20" s="188"/>
      <c r="B20" s="1125"/>
      <c r="C20" s="1125"/>
      <c r="D20" s="1125"/>
      <c r="E20" s="1125"/>
      <c r="F20" s="1125"/>
      <c r="G20" s="1125"/>
      <c r="H20" s="1125"/>
      <c r="I20" s="1125"/>
      <c r="J20" s="774"/>
      <c r="L20" s="1124"/>
      <c r="M20" s="1124"/>
      <c r="N20" s="1124"/>
      <c r="O20" s="1124"/>
      <c r="P20" s="1124"/>
      <c r="Q20" s="1124"/>
      <c r="R20" s="1124"/>
      <c r="S20" s="1124"/>
      <c r="T20" s="1124"/>
      <c r="U20" s="1124"/>
      <c r="V20" s="84"/>
      <c r="W20" s="84"/>
    </row>
    <row r="21" spans="1:25" ht="15.75" customHeight="1">
      <c r="A21" s="188"/>
      <c r="B21" s="92"/>
      <c r="C21" s="300"/>
      <c r="D21" s="92"/>
      <c r="E21" s="92"/>
      <c r="F21" s="92"/>
      <c r="G21" s="92"/>
      <c r="H21" s="300"/>
      <c r="I21" s="92"/>
      <c r="J21" s="774"/>
      <c r="L21" s="1124"/>
      <c r="M21" s="1124"/>
      <c r="N21" s="1124"/>
      <c r="O21" s="1124"/>
      <c r="P21" s="1124"/>
      <c r="Q21" s="1124"/>
      <c r="R21" s="1124"/>
      <c r="S21" s="1124"/>
      <c r="T21" s="1124"/>
      <c r="U21" s="1124"/>
      <c r="V21" s="84"/>
      <c r="W21" s="84"/>
    </row>
    <row r="22" spans="1:25" ht="15.75" customHeight="1">
      <c r="A22" s="188"/>
      <c r="B22" s="92"/>
      <c r="C22" s="301"/>
      <c r="D22" s="776"/>
      <c r="E22" s="92"/>
      <c r="F22" s="777"/>
      <c r="G22" s="92"/>
      <c r="H22" s="301"/>
      <c r="I22" s="92"/>
      <c r="J22" s="774"/>
      <c r="L22" s="1124"/>
      <c r="M22" s="1124"/>
      <c r="N22" s="1124"/>
      <c r="O22" s="1124"/>
      <c r="P22" s="1124"/>
      <c r="Q22" s="1124"/>
      <c r="R22" s="1124"/>
      <c r="S22" s="1124"/>
      <c r="T22" s="1124"/>
      <c r="U22" s="1124"/>
      <c r="V22" s="84"/>
      <c r="W22" s="84"/>
    </row>
    <row r="23" spans="1:25" ht="15.75" customHeight="1">
      <c r="A23" s="188"/>
      <c r="B23" s="92"/>
      <c r="C23" s="81"/>
      <c r="D23" s="92"/>
      <c r="E23" s="92"/>
      <c r="F23" s="92"/>
      <c r="G23" s="92"/>
      <c r="H23" s="92"/>
      <c r="I23" s="300"/>
      <c r="J23" s="780"/>
      <c r="L23" s="1124"/>
      <c r="M23" s="1124"/>
      <c r="N23" s="1124"/>
      <c r="O23" s="1124"/>
      <c r="P23" s="1124"/>
      <c r="Q23" s="1124"/>
      <c r="R23" s="1124"/>
      <c r="S23" s="1124"/>
      <c r="T23" s="1124"/>
      <c r="U23" s="1124"/>
      <c r="V23" s="84"/>
      <c r="W23" s="84"/>
    </row>
    <row r="24" spans="1:25" ht="15.75" customHeight="1">
      <c r="A24" s="188"/>
      <c r="B24" s="92"/>
      <c r="C24" s="81"/>
      <c r="D24" s="92"/>
      <c r="E24" s="92"/>
      <c r="F24" s="92"/>
      <c r="G24" s="92"/>
      <c r="H24" s="92"/>
      <c r="I24" s="777"/>
      <c r="J24" s="781"/>
      <c r="L24" s="1124"/>
      <c r="M24" s="1124"/>
      <c r="N24" s="1124"/>
      <c r="O24" s="1124"/>
      <c r="P24" s="1124"/>
      <c r="Q24" s="1124"/>
      <c r="R24" s="1124"/>
      <c r="S24" s="1124"/>
      <c r="T24" s="1124"/>
      <c r="U24" s="1124"/>
      <c r="V24" s="84"/>
      <c r="W24" s="84"/>
    </row>
    <row r="25" spans="1:25" ht="15.75" customHeight="1">
      <c r="A25" s="188"/>
      <c r="B25" s="92"/>
      <c r="C25" s="81"/>
      <c r="D25" s="92"/>
      <c r="E25" s="92"/>
      <c r="F25" s="92"/>
      <c r="G25" s="92"/>
      <c r="H25" s="779"/>
      <c r="I25" s="778"/>
      <c r="J25" s="782"/>
      <c r="L25" s="1124"/>
      <c r="M25" s="1124"/>
      <c r="N25" s="1124"/>
      <c r="O25" s="1124"/>
      <c r="P25" s="1124"/>
      <c r="Q25" s="1124"/>
      <c r="R25" s="1124"/>
      <c r="S25" s="1124"/>
      <c r="T25" s="1124"/>
      <c r="U25" s="1124"/>
      <c r="V25" s="84"/>
      <c r="W25" s="84"/>
    </row>
    <row r="26" spans="1:25" ht="15.75" customHeight="1">
      <c r="A26" s="189"/>
      <c r="B26" s="190"/>
      <c r="C26" s="261"/>
      <c r="D26" s="190"/>
      <c r="E26" s="190"/>
      <c r="F26" s="190"/>
      <c r="G26" s="190"/>
      <c r="H26" s="190"/>
      <c r="I26" s="190"/>
      <c r="J26" s="775"/>
      <c r="L26" s="1124"/>
      <c r="M26" s="1124"/>
      <c r="N26" s="1124"/>
      <c r="O26" s="1124"/>
      <c r="P26" s="1124"/>
      <c r="Q26" s="1124"/>
      <c r="R26" s="1124"/>
      <c r="S26" s="1124"/>
      <c r="T26" s="1124"/>
      <c r="U26" s="1124"/>
      <c r="V26" s="84"/>
      <c r="W26" s="84"/>
    </row>
    <row r="27" spans="1:25" ht="15.75" customHeight="1">
      <c r="A27" s="80"/>
      <c r="B27" s="81"/>
      <c r="C27" s="262"/>
      <c r="D27" s="80"/>
      <c r="E27" s="80"/>
      <c r="F27" s="80"/>
      <c r="G27" s="80"/>
      <c r="H27" s="80"/>
      <c r="I27" s="80"/>
      <c r="L27" s="1124"/>
      <c r="M27" s="1124"/>
      <c r="N27" s="1124"/>
      <c r="O27" s="1124"/>
      <c r="P27" s="1124"/>
      <c r="Q27" s="1124"/>
      <c r="R27" s="1124"/>
      <c r="S27" s="1124"/>
      <c r="T27" s="1124"/>
      <c r="U27" s="1124"/>
      <c r="V27" s="84"/>
      <c r="W27" s="84"/>
    </row>
    <row r="28" spans="1:25" ht="15.75" customHeight="1">
      <c r="A28" s="80"/>
      <c r="B28" s="81"/>
      <c r="C28" s="262"/>
      <c r="D28" s="80">
        <f>IF(OR(B17="",C17=""),"",C17/B17)</f>
        <v>3.171875</v>
      </c>
      <c r="E28" s="80"/>
      <c r="F28" s="80"/>
      <c r="G28" s="80"/>
      <c r="H28" s="80"/>
      <c r="I28" s="80">
        <f>IF(OR(G17="",H17=""),"",H17/G17)</f>
        <v>2.0609152439640366</v>
      </c>
      <c r="J28" s="80"/>
      <c r="L28" s="1124"/>
      <c r="M28" s="1124"/>
      <c r="N28" s="1124"/>
      <c r="O28" s="1124"/>
      <c r="P28" s="1124"/>
      <c r="Q28" s="1124"/>
      <c r="R28" s="1124"/>
      <c r="S28" s="1124"/>
      <c r="T28" s="1124"/>
      <c r="U28" s="1124"/>
    </row>
    <row r="29" spans="1:25" ht="15.75" customHeight="1">
      <c r="A29" s="80"/>
      <c r="B29" s="81"/>
      <c r="C29" s="262"/>
      <c r="D29" s="83"/>
      <c r="E29" s="83"/>
      <c r="F29" s="83"/>
      <c r="G29" s="83"/>
      <c r="H29" s="83"/>
      <c r="I29" s="83"/>
      <c r="J29" s="83"/>
      <c r="L29" s="1124"/>
      <c r="M29" s="1124"/>
      <c r="N29" s="1124"/>
      <c r="O29" s="1124"/>
      <c r="P29" s="1124"/>
      <c r="Q29" s="1124"/>
      <c r="R29" s="1124"/>
      <c r="S29" s="1124"/>
      <c r="T29" s="1124"/>
      <c r="U29" s="1124"/>
    </row>
    <row r="30" spans="1:25" ht="15.75" customHeight="1">
      <c r="A30" s="22"/>
      <c r="B30" s="22"/>
      <c r="C30" s="263" t="s">
        <v>223</v>
      </c>
      <c r="D30" s="22"/>
      <c r="E30" s="22"/>
      <c r="F30" s="22"/>
      <c r="G30" s="22"/>
      <c r="H30" s="22"/>
      <c r="I30" s="13"/>
      <c r="K30" s="80"/>
      <c r="L30" s="1124"/>
      <c r="M30" s="1124"/>
      <c r="N30" s="1124"/>
      <c r="O30" s="1124"/>
      <c r="P30" s="1124"/>
      <c r="Q30" s="1124"/>
      <c r="R30" s="1124"/>
      <c r="S30" s="1124"/>
      <c r="T30" s="1124"/>
      <c r="U30" s="1124"/>
    </row>
    <row r="31" spans="1:25" ht="15.75" customHeight="1">
      <c r="A31" s="22"/>
      <c r="B31" s="22"/>
      <c r="C31" s="263" t="s">
        <v>224</v>
      </c>
      <c r="D31" s="22"/>
      <c r="E31" s="22"/>
      <c r="F31" s="22"/>
      <c r="G31" s="22"/>
      <c r="H31" s="22"/>
      <c r="I31" s="13"/>
      <c r="K31" s="83"/>
      <c r="L31" s="1124"/>
      <c r="M31" s="1124"/>
      <c r="N31" s="1124"/>
      <c r="O31" s="1124"/>
      <c r="P31" s="1124"/>
      <c r="Q31" s="1124"/>
      <c r="R31" s="1124"/>
      <c r="S31" s="1124"/>
      <c r="T31" s="1124"/>
      <c r="U31" s="1124"/>
    </row>
    <row r="32" spans="1:25" ht="15.75" customHeight="1">
      <c r="A32" s="22"/>
      <c r="B32" s="22"/>
      <c r="L32" s="1124"/>
      <c r="M32" s="1124"/>
      <c r="N32" s="1124"/>
      <c r="O32" s="1124"/>
      <c r="P32" s="1124"/>
      <c r="Q32" s="1124"/>
      <c r="R32" s="1124"/>
      <c r="S32" s="1124"/>
      <c r="T32" s="1124"/>
      <c r="U32" s="1124"/>
    </row>
    <row r="33" spans="1:21" ht="15.75" customHeight="1">
      <c r="A33" s="22"/>
      <c r="B33" s="22"/>
      <c r="L33" s="1124"/>
      <c r="M33" s="1124"/>
      <c r="N33" s="1124"/>
      <c r="O33" s="1124"/>
      <c r="P33" s="1124"/>
      <c r="Q33" s="1124"/>
      <c r="R33" s="1124"/>
      <c r="S33" s="1124"/>
      <c r="T33" s="1124"/>
      <c r="U33" s="1124"/>
    </row>
    <row r="34" spans="1:21" ht="15.75" customHeight="1">
      <c r="A34" s="22"/>
      <c r="B34" s="22"/>
    </row>
    <row r="35" spans="1:21" ht="15.75" customHeight="1">
      <c r="A35" s="22"/>
      <c r="B35" s="22"/>
    </row>
    <row r="36" spans="1:21" ht="15.75" customHeight="1">
      <c r="A36" s="22"/>
      <c r="B36" s="22"/>
    </row>
    <row r="37" spans="1:21" ht="15.75" customHeight="1">
      <c r="A37" s="22"/>
      <c r="B37" s="22"/>
    </row>
    <row r="38" spans="1:21" ht="15.75" customHeight="1">
      <c r="A38" s="22"/>
      <c r="B38" s="22"/>
    </row>
    <row r="39" spans="1:21" ht="15.75" customHeight="1">
      <c r="A39" s="22"/>
      <c r="B39" s="22"/>
    </row>
    <row r="40" spans="1:21" ht="15.75" customHeight="1">
      <c r="A40" s="22"/>
      <c r="B40" s="22"/>
    </row>
    <row r="41" spans="1:21" ht="15.75" customHeight="1">
      <c r="A41" s="22"/>
      <c r="B41" s="22"/>
    </row>
    <row r="42" spans="1:21" ht="15.75" customHeight="1">
      <c r="A42" s="22"/>
      <c r="B42" s="22"/>
    </row>
    <row r="43" spans="1:21" ht="18" customHeight="1">
      <c r="A43" s="22"/>
      <c r="B43" s="22"/>
    </row>
    <row r="44" spans="1:21" ht="15.75" customHeight="1">
      <c r="A44" s="22"/>
      <c r="B44" s="22"/>
    </row>
    <row r="45" spans="1:21" ht="15.75" customHeight="1">
      <c r="A45" s="22"/>
      <c r="B45" s="22"/>
    </row>
    <row r="46" spans="1:21" ht="15.75" customHeight="1">
      <c r="A46" s="22"/>
      <c r="B46" s="22"/>
    </row>
    <row r="47" spans="1:21" ht="15.75" customHeight="1">
      <c r="A47" s="22"/>
      <c r="B47" s="82"/>
      <c r="C47" s="265"/>
    </row>
    <row r="48" spans="1:21" ht="15.75" customHeight="1">
      <c r="A48" s="22"/>
      <c r="B48" s="82"/>
      <c r="C48" s="265"/>
    </row>
    <row r="49" ht="15.75" customHeight="1"/>
    <row r="50" ht="15.75" customHeight="1"/>
    <row r="51" ht="15.75" customHeight="1"/>
    <row r="52" ht="15.75" customHeight="1"/>
  </sheetData>
  <mergeCells count="4">
    <mergeCell ref="A1:C1"/>
    <mergeCell ref="L1:U33"/>
    <mergeCell ref="B20:I20"/>
    <mergeCell ref="B19:I19"/>
  </mergeCells>
  <phoneticPr fontId="8"/>
  <conditionalFormatting sqref="I5:I16">
    <cfRule type="cellIs" dxfId="223" priority="4" operator="notBetween">
      <formula>1.2</formula>
      <formula>0.8</formula>
    </cfRule>
  </conditionalFormatting>
  <conditionalFormatting sqref="I17">
    <cfRule type="cellIs" dxfId="222" priority="3" operator="notBetween">
      <formula>1.2</formula>
      <formula>0.8</formula>
    </cfRule>
  </conditionalFormatting>
  <conditionalFormatting sqref="D5:D16">
    <cfRule type="cellIs" dxfId="221" priority="2" operator="notBetween">
      <formula>1.2</formula>
      <formula>0.8</formula>
    </cfRule>
  </conditionalFormatting>
  <conditionalFormatting sqref="D17">
    <cfRule type="cellIs" dxfId="220" priority="1" operator="notBetween">
      <formula>1.2</formula>
      <formula>0.8</formula>
    </cfRule>
  </conditionalFormatting>
  <printOptions horizontalCentered="1" verticalCentered="1"/>
  <pageMargins left="1.4173228346456694" right="0.62992125984251968" top="0.74803149606299213" bottom="0.59055118110236227" header="0.51181102362204722" footer="0.51181102362204722"/>
  <pageSetup paperSize="9" scale="97" orientation="landscape" r:id="rId1"/>
  <headerFooter alignWithMargins="0"/>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tabColor rgb="FFFF0000"/>
  </sheetPr>
  <dimension ref="A1:BN183"/>
  <sheetViews>
    <sheetView view="pageBreakPreview" topLeftCell="Q1" zoomScale="80" zoomScaleNormal="85" zoomScaleSheetLayoutView="80" workbookViewId="0">
      <selection activeCell="S25" sqref="S25:Y25"/>
    </sheetView>
  </sheetViews>
  <sheetFormatPr defaultColWidth="9" defaultRowHeight="13.2"/>
  <cols>
    <col min="1" max="1" width="8.6640625" style="18" customWidth="1"/>
    <col min="2" max="2" width="5.6640625" style="18" customWidth="1"/>
    <col min="3" max="4" width="7.109375" style="18" customWidth="1"/>
    <col min="5" max="6" width="7" style="18" customWidth="1"/>
    <col min="7" max="16" width="7.109375" style="18" customWidth="1"/>
    <col min="17" max="17" width="8.6640625" style="18" bestFit="1" customWidth="1"/>
    <col min="18" max="18" width="5.6640625" style="18" customWidth="1"/>
    <col min="19" max="32" width="7.109375" style="18" customWidth="1"/>
    <col min="33" max="33" width="9" style="18"/>
    <col min="34" max="34" width="13.44140625" style="18" customWidth="1"/>
    <col min="35" max="35" width="16.6640625" style="18" customWidth="1"/>
    <col min="36" max="39" width="7.6640625" style="18" customWidth="1"/>
    <col min="40" max="16384" width="9" style="18"/>
  </cols>
  <sheetData>
    <row r="1" spans="1:66" s="7" customFormat="1" ht="20.25" customHeight="1">
      <c r="A1" s="1133" t="s">
        <v>113</v>
      </c>
      <c r="B1" s="1134"/>
      <c r="C1" s="1134"/>
      <c r="D1" s="1134"/>
      <c r="E1" s="1134"/>
      <c r="F1" s="1134"/>
      <c r="G1" s="1135"/>
      <c r="AU1" s="18"/>
      <c r="AV1" s="18"/>
      <c r="AW1" s="18"/>
      <c r="AX1" s="18"/>
      <c r="AY1" s="18"/>
      <c r="AZ1" s="18"/>
      <c r="BA1" s="18"/>
      <c r="BB1" s="18"/>
      <c r="BC1" s="18"/>
      <c r="BD1" s="18"/>
      <c r="BE1" s="18"/>
      <c r="BF1" s="18"/>
      <c r="BG1" s="18"/>
      <c r="BH1" s="18"/>
      <c r="BI1" s="18"/>
      <c r="BJ1" s="18"/>
      <c r="BK1" s="18"/>
      <c r="BL1" s="18"/>
      <c r="BM1" s="18"/>
      <c r="BN1" s="18"/>
    </row>
    <row r="2" spans="1:66" s="7" customFormat="1" ht="18.75" customHeight="1">
      <c r="A2" s="1136">
        <v>45078</v>
      </c>
      <c r="B2" s="1136"/>
      <c r="C2" s="1136"/>
      <c r="D2" s="1136"/>
      <c r="E2" s="24"/>
      <c r="F2" s="24"/>
      <c r="G2" s="21"/>
      <c r="H2" s="21"/>
      <c r="I2" s="21"/>
      <c r="J2" s="21"/>
      <c r="K2" s="21"/>
      <c r="L2" s="21"/>
      <c r="M2" s="13"/>
      <c r="N2" s="13"/>
      <c r="O2" s="13"/>
      <c r="P2" s="13"/>
      <c r="Q2" s="13"/>
      <c r="R2" s="13"/>
      <c r="S2" s="13"/>
      <c r="T2" s="13"/>
      <c r="U2" s="13"/>
      <c r="V2" s="13"/>
      <c r="W2" s="13"/>
      <c r="X2" s="13"/>
      <c r="Y2" s="13"/>
      <c r="Z2" s="13"/>
      <c r="AA2" s="13"/>
      <c r="AB2" s="13"/>
      <c r="AC2" s="13"/>
      <c r="AD2" s="13"/>
      <c r="AE2" s="13"/>
      <c r="AF2" s="13"/>
      <c r="AG2" s="13"/>
      <c r="AR2" s="18"/>
      <c r="AS2" s="18"/>
      <c r="AT2" s="18"/>
      <c r="AU2" s="18"/>
      <c r="AV2" s="18"/>
      <c r="AW2" s="18"/>
      <c r="AX2" s="18"/>
      <c r="AY2" s="18"/>
      <c r="AZ2" s="18"/>
      <c r="BA2" s="18"/>
      <c r="BB2" s="18"/>
      <c r="BC2" s="18"/>
      <c r="BD2" s="18"/>
      <c r="BE2" s="18"/>
      <c r="BF2" s="18"/>
      <c r="BG2" s="18"/>
      <c r="BH2" s="18"/>
      <c r="BI2" s="18"/>
      <c r="BJ2" s="18"/>
      <c r="BK2" s="18"/>
    </row>
    <row r="3" spans="1:66" ht="22.5" customHeight="1">
      <c r="A3" s="19" t="s">
        <v>5</v>
      </c>
      <c r="B3" s="19" t="s">
        <v>6</v>
      </c>
      <c r="C3" s="1137" t="s">
        <v>116</v>
      </c>
      <c r="D3" s="1138"/>
      <c r="E3" s="1138"/>
      <c r="F3" s="1138"/>
      <c r="G3" s="1138"/>
      <c r="H3" s="1138"/>
      <c r="I3" s="1139"/>
      <c r="J3" s="1138" t="s">
        <v>115</v>
      </c>
      <c r="K3" s="1138"/>
      <c r="L3" s="1138"/>
      <c r="M3" s="1138"/>
      <c r="N3" s="1138"/>
      <c r="O3" s="1138"/>
      <c r="P3" s="1139"/>
      <c r="Q3" s="19" t="s">
        <v>5</v>
      </c>
      <c r="R3" s="19" t="s">
        <v>6</v>
      </c>
      <c r="S3" s="1137" t="s">
        <v>116</v>
      </c>
      <c r="T3" s="1138"/>
      <c r="U3" s="1138"/>
      <c r="V3" s="1138"/>
      <c r="W3" s="1138"/>
      <c r="X3" s="1138"/>
      <c r="Y3" s="1139"/>
      <c r="Z3" s="1138" t="s">
        <v>115</v>
      </c>
      <c r="AA3" s="1138"/>
      <c r="AB3" s="1138"/>
      <c r="AC3" s="1138"/>
      <c r="AD3" s="1138"/>
      <c r="AE3" s="1138"/>
      <c r="AF3" s="1139"/>
      <c r="AG3" s="25"/>
      <c r="AH3" s="788"/>
      <c r="AI3" s="783"/>
    </row>
    <row r="4" spans="1:66" ht="21.75" customHeight="1">
      <c r="A4" s="1154">
        <v>45078</v>
      </c>
      <c r="B4" s="919" t="s">
        <v>688</v>
      </c>
      <c r="C4" s="1155"/>
      <c r="D4" s="1156"/>
      <c r="E4" s="1156"/>
      <c r="F4" s="1156"/>
      <c r="G4" s="1156"/>
      <c r="H4" s="1156"/>
      <c r="I4" s="1157"/>
      <c r="J4" s="1158"/>
      <c r="K4" s="1156"/>
      <c r="L4" s="1156"/>
      <c r="M4" s="1156"/>
      <c r="N4" s="1156"/>
      <c r="O4" s="1156"/>
      <c r="P4" s="1157"/>
      <c r="Q4" s="1159">
        <v>45093</v>
      </c>
      <c r="R4" s="1161" t="s">
        <v>689</v>
      </c>
      <c r="S4" s="1143"/>
      <c r="T4" s="1144"/>
      <c r="U4" s="1144"/>
      <c r="V4" s="1144"/>
      <c r="W4" s="1144"/>
      <c r="X4" s="1144"/>
      <c r="Y4" s="1145"/>
      <c r="Z4" s="1143"/>
      <c r="AA4" s="1144"/>
      <c r="AB4" s="1144"/>
      <c r="AC4" s="1144"/>
      <c r="AD4" s="1144"/>
      <c r="AE4" s="1144"/>
      <c r="AF4" s="1145"/>
      <c r="AG4" s="302"/>
      <c r="AH4" s="789"/>
      <c r="AI4" s="784"/>
    </row>
    <row r="5" spans="1:66" ht="21.75" customHeight="1">
      <c r="A5" s="906"/>
      <c r="B5" s="908"/>
      <c r="C5" s="1153"/>
      <c r="D5" s="1141"/>
      <c r="E5" s="1141"/>
      <c r="F5" s="1141"/>
      <c r="G5" s="1141"/>
      <c r="H5" s="1141"/>
      <c r="I5" s="1142"/>
      <c r="J5" s="1153"/>
      <c r="K5" s="1141"/>
      <c r="L5" s="1141"/>
      <c r="M5" s="1141"/>
      <c r="N5" s="1141"/>
      <c r="O5" s="1141"/>
      <c r="P5" s="1142"/>
      <c r="Q5" s="1160"/>
      <c r="R5" s="908"/>
      <c r="S5" s="1153"/>
      <c r="T5" s="1141"/>
      <c r="U5" s="1141"/>
      <c r="V5" s="1141"/>
      <c r="W5" s="1141"/>
      <c r="X5" s="1141"/>
      <c r="Y5" s="1142"/>
      <c r="Z5" s="1153"/>
      <c r="AA5" s="1141"/>
      <c r="AB5" s="1141"/>
      <c r="AC5" s="1141"/>
      <c r="AD5" s="1141"/>
      <c r="AE5" s="1141"/>
      <c r="AF5" s="1142"/>
      <c r="AG5" s="302"/>
      <c r="AH5" s="785"/>
      <c r="AI5" s="786"/>
    </row>
    <row r="6" spans="1:66" ht="21.75" customHeight="1">
      <c r="A6" s="917">
        <v>45079</v>
      </c>
      <c r="B6" s="919" t="s">
        <v>689</v>
      </c>
      <c r="C6" s="1143"/>
      <c r="D6" s="1144"/>
      <c r="E6" s="1144"/>
      <c r="F6" s="1144"/>
      <c r="G6" s="1144"/>
      <c r="H6" s="1144"/>
      <c r="I6" s="1145"/>
      <c r="J6" s="1162"/>
      <c r="K6" s="1144"/>
      <c r="L6" s="1144"/>
      <c r="M6" s="1144"/>
      <c r="N6" s="1144"/>
      <c r="O6" s="1144"/>
      <c r="P6" s="1144"/>
      <c r="Q6" s="1163">
        <v>45094</v>
      </c>
      <c r="R6" s="925" t="s">
        <v>690</v>
      </c>
      <c r="S6" s="1170"/>
      <c r="T6" s="1171"/>
      <c r="U6" s="1171"/>
      <c r="V6" s="1171"/>
      <c r="W6" s="1171"/>
      <c r="X6" s="1171"/>
      <c r="Y6" s="1172"/>
      <c r="Z6" s="1143"/>
      <c r="AA6" s="1144"/>
      <c r="AB6" s="1144"/>
      <c r="AC6" s="1144"/>
      <c r="AD6" s="1144"/>
      <c r="AE6" s="1144"/>
      <c r="AF6" s="1145"/>
      <c r="AG6" s="302"/>
      <c r="AH6" s="785"/>
      <c r="AI6" s="786"/>
    </row>
    <row r="7" spans="1:66" ht="21.75" customHeight="1">
      <c r="A7" s="918"/>
      <c r="B7" s="908"/>
      <c r="C7" s="1173"/>
      <c r="D7" s="1171"/>
      <c r="E7" s="1171"/>
      <c r="F7" s="1171"/>
      <c r="G7" s="1171"/>
      <c r="H7" s="1171"/>
      <c r="I7" s="1172"/>
      <c r="J7" s="1153"/>
      <c r="K7" s="1141"/>
      <c r="L7" s="1141"/>
      <c r="M7" s="1141"/>
      <c r="N7" s="1141"/>
      <c r="O7" s="1141"/>
      <c r="P7" s="1142"/>
      <c r="Q7" s="1164"/>
      <c r="R7" s="908"/>
      <c r="S7" s="1140"/>
      <c r="T7" s="1141"/>
      <c r="U7" s="1141"/>
      <c r="V7" s="1141"/>
      <c r="W7" s="1141"/>
      <c r="X7" s="1141"/>
      <c r="Y7" s="1142"/>
      <c r="Z7" s="1140"/>
      <c r="AA7" s="1141"/>
      <c r="AB7" s="1141"/>
      <c r="AC7" s="1141"/>
      <c r="AD7" s="1141"/>
      <c r="AE7" s="1141"/>
      <c r="AF7" s="1142"/>
      <c r="AG7" s="302"/>
      <c r="AH7" s="785"/>
      <c r="AI7" s="786"/>
    </row>
    <row r="8" spans="1:66" ht="21.75" customHeight="1">
      <c r="A8" s="927">
        <v>45080</v>
      </c>
      <c r="B8" s="925" t="s">
        <v>690</v>
      </c>
      <c r="C8" s="1143"/>
      <c r="D8" s="1144"/>
      <c r="E8" s="1144"/>
      <c r="F8" s="1144"/>
      <c r="G8" s="1144"/>
      <c r="H8" s="1144"/>
      <c r="I8" s="1145"/>
      <c r="J8" s="1143"/>
      <c r="K8" s="1144"/>
      <c r="L8" s="1144"/>
      <c r="M8" s="1144"/>
      <c r="N8" s="1144"/>
      <c r="O8" s="1144"/>
      <c r="P8" s="1144"/>
      <c r="Q8" s="1177">
        <v>45095</v>
      </c>
      <c r="R8" s="924" t="s">
        <v>10</v>
      </c>
      <c r="S8" s="1143"/>
      <c r="T8" s="1144"/>
      <c r="U8" s="1144"/>
      <c r="V8" s="1144"/>
      <c r="W8" s="1144"/>
      <c r="X8" s="1145"/>
      <c r="Y8" s="1145"/>
      <c r="Z8" s="1170"/>
      <c r="AA8" s="1171"/>
      <c r="AB8" s="1171"/>
      <c r="AC8" s="1171"/>
      <c r="AD8" s="1171"/>
      <c r="AE8" s="1171"/>
      <c r="AF8" s="1172"/>
      <c r="AG8" s="302"/>
      <c r="AH8" s="785"/>
      <c r="AI8" s="786"/>
    </row>
    <row r="9" spans="1:66" ht="21.75" customHeight="1">
      <c r="A9" s="918"/>
      <c r="B9" s="908"/>
      <c r="C9" s="1140"/>
      <c r="D9" s="1141"/>
      <c r="E9" s="1141"/>
      <c r="F9" s="1141"/>
      <c r="G9" s="1141"/>
      <c r="H9" s="1141"/>
      <c r="I9" s="1142"/>
      <c r="J9" s="1153"/>
      <c r="K9" s="1141"/>
      <c r="L9" s="1141"/>
      <c r="M9" s="1141"/>
      <c r="N9" s="1141"/>
      <c r="O9" s="1141"/>
      <c r="P9" s="1141"/>
      <c r="Q9" s="1169"/>
      <c r="R9" s="908"/>
      <c r="S9" s="1170"/>
      <c r="T9" s="1171"/>
      <c r="U9" s="1171"/>
      <c r="V9" s="1171"/>
      <c r="W9" s="1171"/>
      <c r="X9" s="1172"/>
      <c r="Y9" s="1172"/>
      <c r="Z9" s="1170"/>
      <c r="AA9" s="1171"/>
      <c r="AB9" s="1171"/>
      <c r="AC9" s="1171"/>
      <c r="AD9" s="1171"/>
      <c r="AE9" s="1171"/>
      <c r="AF9" s="1172"/>
      <c r="AG9" s="302"/>
      <c r="AH9" s="785"/>
      <c r="AI9" s="786"/>
    </row>
    <row r="10" spans="1:66" ht="21.75" customHeight="1">
      <c r="A10" s="923">
        <v>45081</v>
      </c>
      <c r="B10" s="924" t="s">
        <v>10</v>
      </c>
      <c r="C10" s="1143"/>
      <c r="D10" s="1144"/>
      <c r="E10" s="1144"/>
      <c r="F10" s="1144"/>
      <c r="G10" s="1144"/>
      <c r="H10" s="1144"/>
      <c r="I10" s="1145"/>
      <c r="J10" s="1162"/>
      <c r="K10" s="1144"/>
      <c r="L10" s="1144"/>
      <c r="M10" s="1144"/>
      <c r="N10" s="1144"/>
      <c r="O10" s="1144"/>
      <c r="P10" s="1144"/>
      <c r="Q10" s="1168">
        <v>45096</v>
      </c>
      <c r="R10" s="919" t="s">
        <v>685</v>
      </c>
      <c r="S10" s="1165" t="s">
        <v>713</v>
      </c>
      <c r="T10" s="1166"/>
      <c r="U10" s="1166"/>
      <c r="V10" s="1166"/>
      <c r="W10" s="1166"/>
      <c r="X10" s="1166"/>
      <c r="Y10" s="1167"/>
      <c r="Z10" s="1162"/>
      <c r="AA10" s="1144"/>
      <c r="AB10" s="1144"/>
      <c r="AC10" s="1144"/>
      <c r="AD10" s="1144"/>
      <c r="AE10" s="1144"/>
      <c r="AF10" s="1145"/>
      <c r="AG10" s="302"/>
      <c r="AH10" s="785"/>
      <c r="AI10" s="786"/>
    </row>
    <row r="11" spans="1:66" ht="21.75" customHeight="1">
      <c r="A11" s="918"/>
      <c r="B11" s="908"/>
      <c r="C11" s="1170"/>
      <c r="D11" s="1171"/>
      <c r="E11" s="1171"/>
      <c r="F11" s="1171"/>
      <c r="G11" s="1171"/>
      <c r="H11" s="1171"/>
      <c r="I11" s="1172"/>
      <c r="J11" s="1153"/>
      <c r="K11" s="1141"/>
      <c r="L11" s="1141"/>
      <c r="M11" s="1141"/>
      <c r="N11" s="1141"/>
      <c r="O11" s="1141"/>
      <c r="P11" s="1141"/>
      <c r="Q11" s="1169"/>
      <c r="R11" s="908"/>
      <c r="S11" s="1153"/>
      <c r="T11" s="1141"/>
      <c r="U11" s="1141"/>
      <c r="V11" s="1141"/>
      <c r="W11" s="1141"/>
      <c r="X11" s="1141"/>
      <c r="Y11" s="1142"/>
      <c r="Z11" s="1174"/>
      <c r="AA11" s="1175"/>
      <c r="AB11" s="1175"/>
      <c r="AC11" s="1175"/>
      <c r="AD11" s="1175"/>
      <c r="AE11" s="1175"/>
      <c r="AF11" s="1176"/>
      <c r="AG11" s="302"/>
      <c r="AH11" s="785"/>
      <c r="AI11" s="786"/>
    </row>
    <row r="12" spans="1:66" ht="21.75" customHeight="1">
      <c r="A12" s="917">
        <v>45082</v>
      </c>
      <c r="B12" s="919" t="s">
        <v>685</v>
      </c>
      <c r="C12" s="1178"/>
      <c r="D12" s="1144"/>
      <c r="E12" s="1144"/>
      <c r="F12" s="1144"/>
      <c r="G12" s="1144"/>
      <c r="H12" s="1144"/>
      <c r="I12" s="1145"/>
      <c r="J12" s="1143"/>
      <c r="K12" s="1144"/>
      <c r="L12" s="1144"/>
      <c r="M12" s="1144"/>
      <c r="N12" s="1144"/>
      <c r="O12" s="1144"/>
      <c r="P12" s="1145"/>
      <c r="Q12" s="1168">
        <v>45097</v>
      </c>
      <c r="R12" s="919" t="s">
        <v>686</v>
      </c>
      <c r="S12" s="1143"/>
      <c r="T12" s="1144"/>
      <c r="U12" s="1144"/>
      <c r="V12" s="1144"/>
      <c r="W12" s="1144"/>
      <c r="X12" s="1145"/>
      <c r="Y12" s="1145"/>
      <c r="Z12" s="1162"/>
      <c r="AA12" s="1144"/>
      <c r="AB12" s="1144"/>
      <c r="AC12" s="1144"/>
      <c r="AD12" s="1144"/>
      <c r="AE12" s="1144"/>
      <c r="AF12" s="1145"/>
      <c r="AG12" s="302"/>
      <c r="AH12" s="785"/>
      <c r="AI12" s="786"/>
    </row>
    <row r="13" spans="1:66" ht="21.75" customHeight="1">
      <c r="A13" s="918"/>
      <c r="B13" s="908"/>
      <c r="C13" s="1173"/>
      <c r="D13" s="1171"/>
      <c r="E13" s="1171"/>
      <c r="F13" s="1171"/>
      <c r="G13" s="1171"/>
      <c r="H13" s="1171"/>
      <c r="I13" s="1172"/>
      <c r="J13" s="1153"/>
      <c r="K13" s="1141"/>
      <c r="L13" s="1141"/>
      <c r="M13" s="1141"/>
      <c r="N13" s="1141"/>
      <c r="O13" s="1141"/>
      <c r="P13" s="1141"/>
      <c r="Q13" s="1169"/>
      <c r="R13" s="908"/>
      <c r="S13" s="1170"/>
      <c r="T13" s="1171"/>
      <c r="U13" s="1171"/>
      <c r="V13" s="1171"/>
      <c r="W13" s="1171"/>
      <c r="X13" s="1172"/>
      <c r="Y13" s="1172"/>
      <c r="Z13" s="1174"/>
      <c r="AA13" s="1175"/>
      <c r="AB13" s="1175"/>
      <c r="AC13" s="1175"/>
      <c r="AD13" s="1175"/>
      <c r="AE13" s="1175"/>
      <c r="AF13" s="1176"/>
      <c r="AG13" s="302"/>
      <c r="AH13" s="785"/>
      <c r="AI13" s="786"/>
    </row>
    <row r="14" spans="1:66" ht="21.75" customHeight="1">
      <c r="A14" s="917">
        <v>45083</v>
      </c>
      <c r="B14" s="919" t="s">
        <v>686</v>
      </c>
      <c r="C14" s="1165" t="s">
        <v>710</v>
      </c>
      <c r="D14" s="1144"/>
      <c r="E14" s="1144"/>
      <c r="F14" s="1144"/>
      <c r="G14" s="1144"/>
      <c r="H14" s="1144"/>
      <c r="I14" s="1145"/>
      <c r="J14" s="1165" t="s">
        <v>581</v>
      </c>
      <c r="K14" s="1144"/>
      <c r="L14" s="1144"/>
      <c r="M14" s="1144"/>
      <c r="N14" s="1144"/>
      <c r="O14" s="1144"/>
      <c r="P14" s="1144"/>
      <c r="Q14" s="1168">
        <v>45098</v>
      </c>
      <c r="R14" s="919" t="s">
        <v>687</v>
      </c>
      <c r="S14" s="1143"/>
      <c r="T14" s="1146"/>
      <c r="U14" s="1146"/>
      <c r="V14" s="1146"/>
      <c r="W14" s="1146"/>
      <c r="X14" s="1146"/>
      <c r="Y14" s="1147"/>
      <c r="Z14" s="1143"/>
      <c r="AA14" s="1144"/>
      <c r="AB14" s="1144"/>
      <c r="AC14" s="1144"/>
      <c r="AD14" s="1144"/>
      <c r="AE14" s="1144"/>
      <c r="AF14" s="1145"/>
      <c r="AG14" s="302"/>
      <c r="AH14" s="785"/>
      <c r="AI14" s="786"/>
    </row>
    <row r="15" spans="1:66" ht="21.75" customHeight="1">
      <c r="A15" s="918"/>
      <c r="B15" s="908"/>
      <c r="C15" s="1173"/>
      <c r="D15" s="1171"/>
      <c r="E15" s="1171"/>
      <c r="F15" s="1171"/>
      <c r="G15" s="1171"/>
      <c r="H15" s="1171"/>
      <c r="I15" s="1172"/>
      <c r="J15" s="1179" t="s">
        <v>580</v>
      </c>
      <c r="K15" s="1171"/>
      <c r="L15" s="1171"/>
      <c r="M15" s="1171"/>
      <c r="N15" s="1171"/>
      <c r="O15" s="1171"/>
      <c r="P15" s="1171"/>
      <c r="Q15" s="1169"/>
      <c r="R15" s="908"/>
      <c r="S15" s="1153"/>
      <c r="T15" s="1141"/>
      <c r="U15" s="1141"/>
      <c r="V15" s="1141"/>
      <c r="W15" s="1141"/>
      <c r="X15" s="1141"/>
      <c r="Y15" s="1142"/>
      <c r="Z15" s="1174"/>
      <c r="AA15" s="1175"/>
      <c r="AB15" s="1175"/>
      <c r="AC15" s="1175"/>
      <c r="AD15" s="1175"/>
      <c r="AE15" s="1175"/>
      <c r="AF15" s="1176"/>
      <c r="AG15" s="302"/>
      <c r="AH15" s="785"/>
      <c r="AI15" s="786"/>
    </row>
    <row r="16" spans="1:66" ht="21.75" customHeight="1">
      <c r="A16" s="917">
        <v>45084</v>
      </c>
      <c r="B16" s="919" t="s">
        <v>687</v>
      </c>
      <c r="C16" s="1143"/>
      <c r="D16" s="1144"/>
      <c r="E16" s="1144"/>
      <c r="F16" s="1144"/>
      <c r="G16" s="1144"/>
      <c r="H16" s="1144"/>
      <c r="I16" s="1145"/>
      <c r="J16" s="1162"/>
      <c r="K16" s="1144"/>
      <c r="L16" s="1144"/>
      <c r="M16" s="1144"/>
      <c r="N16" s="1144"/>
      <c r="O16" s="1144"/>
      <c r="P16" s="1144"/>
      <c r="Q16" s="1168">
        <v>45099</v>
      </c>
      <c r="R16" s="919" t="s">
        <v>688</v>
      </c>
      <c r="S16" s="1143"/>
      <c r="T16" s="1146"/>
      <c r="U16" s="1146"/>
      <c r="V16" s="1146"/>
      <c r="W16" s="1146"/>
      <c r="X16" s="1146"/>
      <c r="Y16" s="1147"/>
      <c r="Z16" s="1165"/>
      <c r="AA16" s="1180"/>
      <c r="AB16" s="1180"/>
      <c r="AC16" s="1180"/>
      <c r="AD16" s="1180"/>
      <c r="AE16" s="1180"/>
      <c r="AF16" s="1181"/>
      <c r="AG16" s="302"/>
      <c r="AH16" s="785"/>
      <c r="AI16" s="786"/>
    </row>
    <row r="17" spans="1:35" ht="21.75" customHeight="1">
      <c r="A17" s="918"/>
      <c r="B17" s="908"/>
      <c r="C17" s="1140"/>
      <c r="D17" s="1141"/>
      <c r="E17" s="1141"/>
      <c r="F17" s="1141"/>
      <c r="G17" s="1141"/>
      <c r="H17" s="1141"/>
      <c r="I17" s="1142"/>
      <c r="J17" s="1153"/>
      <c r="K17" s="1141"/>
      <c r="L17" s="1141"/>
      <c r="M17" s="1141"/>
      <c r="N17" s="1141"/>
      <c r="O17" s="1141"/>
      <c r="P17" s="1141"/>
      <c r="Q17" s="1169"/>
      <c r="R17" s="908"/>
      <c r="S17" s="1140"/>
      <c r="T17" s="1141"/>
      <c r="U17" s="1141"/>
      <c r="V17" s="1141"/>
      <c r="W17" s="1141"/>
      <c r="X17" s="1141"/>
      <c r="Y17" s="1142"/>
      <c r="Z17" s="1174"/>
      <c r="AA17" s="1175"/>
      <c r="AB17" s="1175"/>
      <c r="AC17" s="1175"/>
      <c r="AD17" s="1175"/>
      <c r="AE17" s="1175"/>
      <c r="AF17" s="1176"/>
      <c r="AG17" s="302"/>
      <c r="AH17" s="785"/>
      <c r="AI17" s="786"/>
    </row>
    <row r="18" spans="1:35" ht="21.75" customHeight="1">
      <c r="A18" s="917">
        <v>45085</v>
      </c>
      <c r="B18" s="919" t="s">
        <v>688</v>
      </c>
      <c r="C18" s="1143"/>
      <c r="D18" s="1144"/>
      <c r="E18" s="1144"/>
      <c r="F18" s="1144"/>
      <c r="G18" s="1144"/>
      <c r="H18" s="1144"/>
      <c r="I18" s="1145"/>
      <c r="J18" s="1143"/>
      <c r="K18" s="1144"/>
      <c r="L18" s="1144"/>
      <c r="M18" s="1144"/>
      <c r="N18" s="1144"/>
      <c r="O18" s="1144"/>
      <c r="P18" s="1145"/>
      <c r="Q18" s="1168">
        <v>45100</v>
      </c>
      <c r="R18" s="919" t="s">
        <v>689</v>
      </c>
      <c r="S18" s="1143"/>
      <c r="T18" s="1144"/>
      <c r="U18" s="1144"/>
      <c r="V18" s="1144"/>
      <c r="W18" s="1144"/>
      <c r="X18" s="1144"/>
      <c r="Y18" s="1145"/>
      <c r="Z18" s="1165"/>
      <c r="AA18" s="1144"/>
      <c r="AB18" s="1144"/>
      <c r="AC18" s="1144"/>
      <c r="AD18" s="1144"/>
      <c r="AE18" s="1144"/>
      <c r="AF18" s="1145"/>
      <c r="AG18" s="302"/>
      <c r="AH18" s="785"/>
      <c r="AI18" s="786"/>
    </row>
    <row r="19" spans="1:35" ht="21.75" customHeight="1">
      <c r="A19" s="918"/>
      <c r="B19" s="908"/>
      <c r="C19" s="1140"/>
      <c r="D19" s="1141"/>
      <c r="E19" s="1141"/>
      <c r="F19" s="1141"/>
      <c r="G19" s="1141"/>
      <c r="H19" s="1141"/>
      <c r="I19" s="1142"/>
      <c r="J19" s="1153"/>
      <c r="K19" s="1141"/>
      <c r="L19" s="1141"/>
      <c r="M19" s="1141"/>
      <c r="N19" s="1141"/>
      <c r="O19" s="1141"/>
      <c r="P19" s="1142"/>
      <c r="Q19" s="1169"/>
      <c r="R19" s="908"/>
      <c r="S19" s="1173"/>
      <c r="T19" s="1171"/>
      <c r="U19" s="1171"/>
      <c r="V19" s="1171"/>
      <c r="W19" s="1171"/>
      <c r="X19" s="1171"/>
      <c r="Y19" s="1172"/>
      <c r="Z19" s="1173"/>
      <c r="AA19" s="1171"/>
      <c r="AB19" s="1171"/>
      <c r="AC19" s="1171"/>
      <c r="AD19" s="1171"/>
      <c r="AE19" s="1171"/>
      <c r="AF19" s="1172"/>
      <c r="AG19" s="302"/>
      <c r="AH19" s="785"/>
      <c r="AI19" s="786"/>
    </row>
    <row r="20" spans="1:35" ht="21.75" customHeight="1">
      <c r="A20" s="917">
        <v>45086</v>
      </c>
      <c r="B20" s="919" t="s">
        <v>689</v>
      </c>
      <c r="C20" s="1165" t="s">
        <v>711</v>
      </c>
      <c r="D20" s="1144"/>
      <c r="E20" s="1144"/>
      <c r="F20" s="1144"/>
      <c r="G20" s="1144"/>
      <c r="H20" s="1144"/>
      <c r="I20" s="1145"/>
      <c r="J20" s="1165" t="s">
        <v>712</v>
      </c>
      <c r="K20" s="1144"/>
      <c r="L20" s="1144"/>
      <c r="M20" s="1144"/>
      <c r="N20" s="1144"/>
      <c r="O20" s="1144"/>
      <c r="P20" s="1144"/>
      <c r="Q20" s="1182">
        <v>45101</v>
      </c>
      <c r="R20" s="925" t="s">
        <v>690</v>
      </c>
      <c r="S20" s="1143"/>
      <c r="T20" s="1146"/>
      <c r="U20" s="1146"/>
      <c r="V20" s="1146"/>
      <c r="W20" s="1146"/>
      <c r="X20" s="1146"/>
      <c r="Y20" s="1147"/>
      <c r="Z20" s="1143"/>
      <c r="AA20" s="1146"/>
      <c r="AB20" s="1146"/>
      <c r="AC20" s="1146"/>
      <c r="AD20" s="1146"/>
      <c r="AE20" s="1146"/>
      <c r="AF20" s="1147"/>
      <c r="AG20" s="302"/>
      <c r="AH20" s="785"/>
      <c r="AI20" s="786"/>
    </row>
    <row r="21" spans="1:35" ht="21.75" customHeight="1">
      <c r="A21" s="918"/>
      <c r="B21" s="908"/>
      <c r="C21" s="1173"/>
      <c r="D21" s="1171"/>
      <c r="E21" s="1171"/>
      <c r="F21" s="1171"/>
      <c r="G21" s="1171"/>
      <c r="H21" s="1171"/>
      <c r="I21" s="1172"/>
      <c r="J21" s="1173"/>
      <c r="K21" s="1171"/>
      <c r="L21" s="1171"/>
      <c r="M21" s="1171"/>
      <c r="N21" s="1171"/>
      <c r="O21" s="1171"/>
      <c r="P21" s="1171"/>
      <c r="Q21" s="1169"/>
      <c r="R21" s="908"/>
      <c r="S21" s="1153"/>
      <c r="T21" s="1141"/>
      <c r="U21" s="1141"/>
      <c r="V21" s="1141"/>
      <c r="W21" s="1141"/>
      <c r="X21" s="1141"/>
      <c r="Y21" s="1142"/>
      <c r="Z21" s="1153"/>
      <c r="AA21" s="1141"/>
      <c r="AB21" s="1141"/>
      <c r="AC21" s="1141"/>
      <c r="AD21" s="1141"/>
      <c r="AE21" s="1141"/>
      <c r="AF21" s="1142"/>
      <c r="AG21" s="302"/>
      <c r="AH21" s="785"/>
      <c r="AI21" s="784"/>
    </row>
    <row r="22" spans="1:35" ht="21.75" customHeight="1">
      <c r="A22" s="927">
        <v>45087</v>
      </c>
      <c r="B22" s="925" t="s">
        <v>690</v>
      </c>
      <c r="C22" s="1143"/>
      <c r="D22" s="1144"/>
      <c r="E22" s="1144"/>
      <c r="F22" s="1144"/>
      <c r="G22" s="1144"/>
      <c r="H22" s="1144"/>
      <c r="I22" s="1145"/>
      <c r="J22" s="1143"/>
      <c r="K22" s="1144"/>
      <c r="L22" s="1144"/>
      <c r="M22" s="1144"/>
      <c r="N22" s="1144"/>
      <c r="O22" s="1144"/>
      <c r="P22" s="1144"/>
      <c r="Q22" s="1183">
        <v>45102</v>
      </c>
      <c r="R22" s="924" t="s">
        <v>10</v>
      </c>
      <c r="S22" s="1143"/>
      <c r="T22" s="1146"/>
      <c r="U22" s="1146"/>
      <c r="V22" s="1146"/>
      <c r="W22" s="1146"/>
      <c r="X22" s="1146"/>
      <c r="Y22" s="1147"/>
      <c r="Z22" s="1165" t="s">
        <v>667</v>
      </c>
      <c r="AA22" s="1180"/>
      <c r="AB22" s="1180"/>
      <c r="AC22" s="1180"/>
      <c r="AD22" s="1180"/>
      <c r="AE22" s="1180"/>
      <c r="AF22" s="1181"/>
      <c r="AG22" s="302"/>
      <c r="AH22" s="785"/>
      <c r="AI22" s="784"/>
    </row>
    <row r="23" spans="1:35" ht="21.75" customHeight="1">
      <c r="A23" s="918"/>
      <c r="B23" s="908"/>
      <c r="C23" s="1170"/>
      <c r="D23" s="1171"/>
      <c r="E23" s="1171"/>
      <c r="F23" s="1171"/>
      <c r="G23" s="1171"/>
      <c r="H23" s="1171"/>
      <c r="I23" s="1172"/>
      <c r="J23" s="1153"/>
      <c r="K23" s="1141"/>
      <c r="L23" s="1141"/>
      <c r="M23" s="1141"/>
      <c r="N23" s="1141"/>
      <c r="O23" s="1141"/>
      <c r="P23" s="1142"/>
      <c r="Q23" s="1164"/>
      <c r="R23" s="908"/>
      <c r="S23" s="1153"/>
      <c r="T23" s="1141"/>
      <c r="U23" s="1141"/>
      <c r="V23" s="1141"/>
      <c r="W23" s="1141"/>
      <c r="X23" s="1141"/>
      <c r="Y23" s="1142"/>
      <c r="Z23" s="1174"/>
      <c r="AA23" s="1175"/>
      <c r="AB23" s="1175"/>
      <c r="AC23" s="1175"/>
      <c r="AD23" s="1175"/>
      <c r="AE23" s="1175"/>
      <c r="AF23" s="1176"/>
      <c r="AG23" s="302"/>
      <c r="AH23" s="785"/>
      <c r="AI23" s="784"/>
    </row>
    <row r="24" spans="1:35" ht="21.75" customHeight="1">
      <c r="A24" s="923">
        <v>45088</v>
      </c>
      <c r="B24" s="924" t="s">
        <v>10</v>
      </c>
      <c r="C24" s="1143"/>
      <c r="D24" s="1144"/>
      <c r="E24" s="1144"/>
      <c r="F24" s="1144"/>
      <c r="G24" s="1144"/>
      <c r="H24" s="1144"/>
      <c r="I24" s="1145"/>
      <c r="J24" s="1143"/>
      <c r="K24" s="1144"/>
      <c r="L24" s="1144"/>
      <c r="M24" s="1144"/>
      <c r="N24" s="1144"/>
      <c r="O24" s="1144"/>
      <c r="P24" s="1145"/>
      <c r="Q24" s="1164">
        <v>45103</v>
      </c>
      <c r="R24" s="919" t="s">
        <v>685</v>
      </c>
      <c r="S24" s="1143"/>
      <c r="T24" s="1146"/>
      <c r="U24" s="1146"/>
      <c r="V24" s="1146"/>
      <c r="W24" s="1146"/>
      <c r="X24" s="1146"/>
      <c r="Y24" s="1147"/>
      <c r="Z24" s="1143"/>
      <c r="AA24" s="1144"/>
      <c r="AB24" s="1144"/>
      <c r="AC24" s="1144"/>
      <c r="AD24" s="1144"/>
      <c r="AE24" s="1144"/>
      <c r="AF24" s="1145"/>
      <c r="AG24" s="302"/>
      <c r="AH24" s="785"/>
      <c r="AI24" s="784"/>
    </row>
    <row r="25" spans="1:35" ht="21.75" customHeight="1">
      <c r="A25" s="918"/>
      <c r="B25" s="908"/>
      <c r="C25" s="1173"/>
      <c r="D25" s="1171"/>
      <c r="E25" s="1171"/>
      <c r="F25" s="1171"/>
      <c r="G25" s="1171"/>
      <c r="H25" s="1171"/>
      <c r="I25" s="1172"/>
      <c r="J25" s="1153"/>
      <c r="K25" s="1141"/>
      <c r="L25" s="1141"/>
      <c r="M25" s="1141"/>
      <c r="N25" s="1141"/>
      <c r="O25" s="1141"/>
      <c r="P25" s="1142"/>
      <c r="Q25" s="1164"/>
      <c r="R25" s="908"/>
      <c r="S25" s="1140"/>
      <c r="T25" s="1184"/>
      <c r="U25" s="1184"/>
      <c r="V25" s="1184"/>
      <c r="W25" s="1184"/>
      <c r="X25" s="1184"/>
      <c r="Y25" s="1185"/>
      <c r="Z25" s="1153"/>
      <c r="AA25" s="1141"/>
      <c r="AB25" s="1141"/>
      <c r="AC25" s="1141"/>
      <c r="AD25" s="1141"/>
      <c r="AE25" s="1141"/>
      <c r="AF25" s="1142"/>
      <c r="AG25" s="302"/>
      <c r="AH25" s="785"/>
      <c r="AI25" s="784"/>
    </row>
    <row r="26" spans="1:35" ht="21.75" customHeight="1">
      <c r="A26" s="917">
        <v>45089</v>
      </c>
      <c r="B26" s="919" t="s">
        <v>685</v>
      </c>
      <c r="C26" s="1143"/>
      <c r="D26" s="1144"/>
      <c r="E26" s="1144"/>
      <c r="F26" s="1144"/>
      <c r="G26" s="1144"/>
      <c r="H26" s="1144"/>
      <c r="I26" s="1145"/>
      <c r="J26" s="1143"/>
      <c r="K26" s="1144"/>
      <c r="L26" s="1144"/>
      <c r="M26" s="1144"/>
      <c r="N26" s="1144"/>
      <c r="O26" s="1144"/>
      <c r="P26" s="1145"/>
      <c r="Q26" s="1164">
        <v>45104</v>
      </c>
      <c r="R26" s="919" t="s">
        <v>686</v>
      </c>
      <c r="S26" s="1143"/>
      <c r="T26" s="1146"/>
      <c r="U26" s="1146"/>
      <c r="V26" s="1146"/>
      <c r="W26" s="1146"/>
      <c r="X26" s="1146"/>
      <c r="Y26" s="1147"/>
      <c r="Z26" s="1143"/>
      <c r="AA26" s="1144"/>
      <c r="AB26" s="1144"/>
      <c r="AC26" s="1144"/>
      <c r="AD26" s="1144"/>
      <c r="AE26" s="1144"/>
      <c r="AF26" s="1145"/>
      <c r="AG26" s="302"/>
      <c r="AH26" s="785"/>
      <c r="AI26" s="784"/>
    </row>
    <row r="27" spans="1:35" ht="21.75" customHeight="1">
      <c r="A27" s="918"/>
      <c r="B27" s="908"/>
      <c r="C27" s="1173"/>
      <c r="D27" s="1171"/>
      <c r="E27" s="1171"/>
      <c r="F27" s="1171"/>
      <c r="G27" s="1171"/>
      <c r="H27" s="1171"/>
      <c r="I27" s="1172"/>
      <c r="J27" s="1153"/>
      <c r="K27" s="1141"/>
      <c r="L27" s="1141"/>
      <c r="M27" s="1141"/>
      <c r="N27" s="1141"/>
      <c r="O27" s="1141"/>
      <c r="P27" s="1142"/>
      <c r="Q27" s="1164"/>
      <c r="R27" s="908"/>
      <c r="S27" s="1140"/>
      <c r="T27" s="1184"/>
      <c r="U27" s="1184"/>
      <c r="V27" s="1184"/>
      <c r="W27" s="1184"/>
      <c r="X27" s="1184"/>
      <c r="Y27" s="1185"/>
      <c r="Z27" s="1140"/>
      <c r="AA27" s="1141"/>
      <c r="AB27" s="1141"/>
      <c r="AC27" s="1141"/>
      <c r="AD27" s="1141"/>
      <c r="AE27" s="1141"/>
      <c r="AF27" s="1142"/>
      <c r="AG27" s="302"/>
      <c r="AH27" s="785"/>
      <c r="AI27" s="784"/>
    </row>
    <row r="28" spans="1:35" ht="21.75" customHeight="1">
      <c r="A28" s="917">
        <v>45090</v>
      </c>
      <c r="B28" s="919" t="s">
        <v>686</v>
      </c>
      <c r="C28" s="1165" t="s">
        <v>606</v>
      </c>
      <c r="D28" s="1180"/>
      <c r="E28" s="1180"/>
      <c r="F28" s="1180"/>
      <c r="G28" s="1180"/>
      <c r="H28" s="1180"/>
      <c r="I28" s="1181"/>
      <c r="J28" s="1143"/>
      <c r="K28" s="1144"/>
      <c r="L28" s="1144"/>
      <c r="M28" s="1144"/>
      <c r="N28" s="1144"/>
      <c r="O28" s="1144"/>
      <c r="P28" s="1144"/>
      <c r="Q28" s="1164">
        <v>45105</v>
      </c>
      <c r="R28" s="919" t="s">
        <v>687</v>
      </c>
      <c r="S28" s="1143"/>
      <c r="T28" s="1146"/>
      <c r="U28" s="1146"/>
      <c r="V28" s="1146"/>
      <c r="W28" s="1146"/>
      <c r="X28" s="1146"/>
      <c r="Y28" s="1147"/>
      <c r="Z28" s="1143"/>
      <c r="AA28" s="1144"/>
      <c r="AB28" s="1144"/>
      <c r="AC28" s="1144"/>
      <c r="AD28" s="1144"/>
      <c r="AE28" s="1144"/>
      <c r="AF28" s="1145"/>
      <c r="AG28" s="302"/>
      <c r="AH28" s="785"/>
      <c r="AI28" s="784"/>
    </row>
    <row r="29" spans="1:35" ht="21.75" customHeight="1">
      <c r="A29" s="918"/>
      <c r="B29" s="908"/>
      <c r="C29" s="1186"/>
      <c r="D29" s="1141"/>
      <c r="E29" s="1141"/>
      <c r="F29" s="1141"/>
      <c r="G29" s="1141"/>
      <c r="H29" s="1141"/>
      <c r="I29" s="1142"/>
      <c r="J29" s="1173"/>
      <c r="K29" s="1171"/>
      <c r="L29" s="1171"/>
      <c r="M29" s="1171"/>
      <c r="N29" s="1171"/>
      <c r="O29" s="1171"/>
      <c r="P29" s="1171"/>
      <c r="Q29" s="1164"/>
      <c r="R29" s="908"/>
      <c r="S29" s="1153"/>
      <c r="T29" s="1141"/>
      <c r="U29" s="1141"/>
      <c r="V29" s="1141"/>
      <c r="W29" s="1141"/>
      <c r="X29" s="1141"/>
      <c r="Y29" s="1142"/>
      <c r="Z29" s="1174"/>
      <c r="AA29" s="1175"/>
      <c r="AB29" s="1175"/>
      <c r="AC29" s="1175"/>
      <c r="AD29" s="1175"/>
      <c r="AE29" s="1175"/>
      <c r="AF29" s="1176"/>
      <c r="AG29" s="302"/>
      <c r="AH29" s="785"/>
      <c r="AI29" s="784"/>
    </row>
    <row r="30" spans="1:35" ht="21.75" customHeight="1">
      <c r="A30" s="917">
        <v>45091</v>
      </c>
      <c r="B30" s="919" t="s">
        <v>687</v>
      </c>
      <c r="C30" s="1143"/>
      <c r="D30" s="1144"/>
      <c r="E30" s="1144"/>
      <c r="F30" s="1144"/>
      <c r="G30" s="1144"/>
      <c r="H30" s="1145"/>
      <c r="I30" s="1145"/>
      <c r="J30" s="1143"/>
      <c r="K30" s="1144"/>
      <c r="L30" s="1144"/>
      <c r="M30" s="1144"/>
      <c r="N30" s="1144"/>
      <c r="O30" s="1144"/>
      <c r="P30" s="1144"/>
      <c r="Q30" s="1164">
        <v>45106</v>
      </c>
      <c r="R30" s="919" t="s">
        <v>688</v>
      </c>
      <c r="S30" s="1143"/>
      <c r="T30" s="1144"/>
      <c r="U30" s="1144"/>
      <c r="V30" s="1144"/>
      <c r="W30" s="1144"/>
      <c r="X30" s="1145"/>
      <c r="Y30" s="1145"/>
      <c r="Z30" s="1143"/>
      <c r="AA30" s="1144"/>
      <c r="AB30" s="1144"/>
      <c r="AC30" s="1144"/>
      <c r="AD30" s="1144"/>
      <c r="AE30" s="1144"/>
      <c r="AF30" s="1145"/>
      <c r="AG30" s="302"/>
      <c r="AH30" s="785"/>
      <c r="AI30" s="784"/>
    </row>
    <row r="31" spans="1:35" ht="21.75" customHeight="1">
      <c r="A31" s="918"/>
      <c r="B31" s="908"/>
      <c r="C31" s="1153"/>
      <c r="D31" s="1141"/>
      <c r="E31" s="1141"/>
      <c r="F31" s="1141"/>
      <c r="G31" s="1141"/>
      <c r="H31" s="1141"/>
      <c r="I31" s="1142"/>
      <c r="J31" s="1140"/>
      <c r="K31" s="1141"/>
      <c r="L31" s="1141"/>
      <c r="M31" s="1141"/>
      <c r="N31" s="1141"/>
      <c r="O31" s="1141"/>
      <c r="P31" s="1141"/>
      <c r="Q31" s="1164"/>
      <c r="R31" s="908"/>
      <c r="S31" s="1173"/>
      <c r="T31" s="1171"/>
      <c r="U31" s="1171"/>
      <c r="V31" s="1173"/>
      <c r="W31" s="1171"/>
      <c r="X31" s="1172"/>
      <c r="Y31" s="1172"/>
      <c r="Z31" s="1153"/>
      <c r="AA31" s="1141"/>
      <c r="AB31" s="1141"/>
      <c r="AC31" s="1141"/>
      <c r="AD31" s="1141"/>
      <c r="AE31" s="1141"/>
      <c r="AF31" s="1142"/>
      <c r="AG31" s="302"/>
      <c r="AH31" s="785"/>
      <c r="AI31" s="784"/>
    </row>
    <row r="32" spans="1:35" ht="21.75" customHeight="1">
      <c r="A32" s="917">
        <v>45092</v>
      </c>
      <c r="B32" s="919" t="s">
        <v>688</v>
      </c>
      <c r="C32" s="1143"/>
      <c r="D32" s="1144"/>
      <c r="E32" s="1144"/>
      <c r="F32" s="1144"/>
      <c r="G32" s="1144"/>
      <c r="H32" s="1144"/>
      <c r="I32" s="1145"/>
      <c r="J32" s="1143"/>
      <c r="K32" s="1144"/>
      <c r="L32" s="1144"/>
      <c r="M32" s="1144"/>
      <c r="N32" s="1144"/>
      <c r="O32" s="1144"/>
      <c r="P32" s="1144"/>
      <c r="Q32" s="1164">
        <v>45107</v>
      </c>
      <c r="R32" s="919" t="s">
        <v>689</v>
      </c>
      <c r="S32" s="1143"/>
      <c r="T32" s="1144"/>
      <c r="U32" s="1144"/>
      <c r="V32" s="1144"/>
      <c r="W32" s="1144"/>
      <c r="X32" s="1145"/>
      <c r="Y32" s="1145"/>
      <c r="Z32" s="1162"/>
      <c r="AA32" s="1144"/>
      <c r="AB32" s="1144"/>
      <c r="AC32" s="1144"/>
      <c r="AD32" s="1144"/>
      <c r="AE32" s="1144"/>
      <c r="AF32" s="1145"/>
      <c r="AG32" s="302"/>
      <c r="AH32" s="785"/>
      <c r="AI32" s="784"/>
    </row>
    <row r="33" spans="1:35" ht="21.75" customHeight="1">
      <c r="A33" s="918"/>
      <c r="B33" s="908"/>
      <c r="C33" s="1170"/>
      <c r="D33" s="1171"/>
      <c r="E33" s="1171"/>
      <c r="F33" s="1171"/>
      <c r="G33" s="1171"/>
      <c r="H33" s="1171"/>
      <c r="I33" s="1172"/>
      <c r="J33" s="1153"/>
      <c r="K33" s="1141"/>
      <c r="L33" s="1141"/>
      <c r="M33" s="1141"/>
      <c r="N33" s="1141"/>
      <c r="O33" s="1141"/>
      <c r="P33" s="1141"/>
      <c r="Q33" s="1164"/>
      <c r="R33" s="908"/>
      <c r="S33" s="1173"/>
      <c r="T33" s="1171"/>
      <c r="U33" s="1171"/>
      <c r="V33" s="1173"/>
      <c r="W33" s="1171"/>
      <c r="X33" s="1172"/>
      <c r="Y33" s="1172"/>
      <c r="Z33" s="1153"/>
      <c r="AA33" s="1141"/>
      <c r="AB33" s="1141"/>
      <c r="AC33" s="1141"/>
      <c r="AD33" s="1141"/>
      <c r="AE33" s="1141"/>
      <c r="AF33" s="1142"/>
      <c r="AG33" s="302"/>
      <c r="AH33" s="785"/>
      <c r="AI33" s="784"/>
    </row>
    <row r="34" spans="1:35" ht="21.75" customHeight="1">
      <c r="A34" s="1190"/>
      <c r="B34" s="919"/>
      <c r="C34" s="1162"/>
      <c r="D34" s="1144"/>
      <c r="E34" s="1144"/>
      <c r="F34" s="1144"/>
      <c r="G34" s="1144"/>
      <c r="H34" s="1144"/>
      <c r="I34" s="1145"/>
      <c r="J34" s="1162"/>
      <c r="K34" s="1144"/>
      <c r="L34" s="1144"/>
      <c r="M34" s="1144"/>
      <c r="N34" s="1144"/>
      <c r="O34" s="1144"/>
      <c r="P34" s="1144"/>
      <c r="Q34" s="1164"/>
      <c r="R34" s="919"/>
      <c r="S34" s="1143"/>
      <c r="T34" s="1144"/>
      <c r="U34" s="1144"/>
      <c r="V34" s="1162"/>
      <c r="W34" s="1144"/>
      <c r="X34" s="1145"/>
      <c r="Y34" s="1145"/>
      <c r="Z34" s="1143"/>
      <c r="AA34" s="1144"/>
      <c r="AB34" s="1144"/>
      <c r="AC34" s="1144"/>
      <c r="AD34" s="1144"/>
      <c r="AE34" s="1144"/>
      <c r="AF34" s="1145"/>
      <c r="AG34" s="302"/>
      <c r="AH34" s="785"/>
      <c r="AI34" s="784"/>
    </row>
    <row r="35" spans="1:35" ht="21.75" customHeight="1">
      <c r="A35" s="1191"/>
      <c r="B35" s="1102"/>
      <c r="C35" s="1187"/>
      <c r="D35" s="1188"/>
      <c r="E35" s="1188"/>
      <c r="F35" s="1188"/>
      <c r="G35" s="1188"/>
      <c r="H35" s="1188"/>
      <c r="I35" s="1189"/>
      <c r="J35" s="1187"/>
      <c r="K35" s="1188"/>
      <c r="L35" s="1188"/>
      <c r="M35" s="1188"/>
      <c r="N35" s="1188"/>
      <c r="O35" s="1188"/>
      <c r="P35" s="1188"/>
      <c r="Q35" s="1164"/>
      <c r="R35" s="908"/>
      <c r="S35" s="1153"/>
      <c r="T35" s="1141"/>
      <c r="U35" s="1141"/>
      <c r="V35" s="1153"/>
      <c r="W35" s="1141"/>
      <c r="X35" s="1142"/>
      <c r="Y35" s="1142"/>
      <c r="Z35" s="1187"/>
      <c r="AA35" s="1188"/>
      <c r="AB35" s="1188"/>
      <c r="AC35" s="1188"/>
      <c r="AD35" s="1188"/>
      <c r="AE35" s="1188"/>
      <c r="AF35" s="1189"/>
      <c r="AG35" s="302"/>
      <c r="AH35" s="785"/>
      <c r="AI35" s="784"/>
    </row>
    <row r="36" spans="1:35" ht="18" customHeight="1">
      <c r="A36" s="1148" t="s">
        <v>4</v>
      </c>
      <c r="B36" s="289"/>
      <c r="C36" s="290"/>
      <c r="D36" s="291"/>
      <c r="E36" s="291"/>
      <c r="F36" s="291"/>
      <c r="G36" s="291"/>
      <c r="H36" s="291"/>
      <c r="I36" s="291"/>
      <c r="J36" s="291"/>
      <c r="K36" s="291"/>
      <c r="L36" s="291"/>
      <c r="M36" s="291"/>
      <c r="N36" s="291"/>
      <c r="O36" s="291"/>
      <c r="P36" s="291"/>
      <c r="Q36" s="291"/>
      <c r="R36" s="291"/>
      <c r="S36" s="1151"/>
      <c r="T36" s="1151"/>
      <c r="U36" s="1151"/>
      <c r="V36" s="1152"/>
      <c r="W36" s="1151"/>
      <c r="X36" s="1151"/>
      <c r="Y36" s="1151"/>
      <c r="Z36" s="1151"/>
      <c r="AA36" s="1151"/>
      <c r="AB36" s="1151"/>
      <c r="AC36" s="1151"/>
      <c r="AD36" s="1151"/>
      <c r="AE36" s="1151"/>
      <c r="AF36" s="1152"/>
      <c r="AG36" s="292"/>
      <c r="AI36" s="784"/>
    </row>
    <row r="37" spans="1:35" ht="18" customHeight="1">
      <c r="A37" s="1149"/>
      <c r="B37" s="293"/>
      <c r="C37" s="36"/>
      <c r="D37" s="36"/>
      <c r="E37" s="36"/>
      <c r="F37" s="36"/>
      <c r="G37" s="36"/>
      <c r="H37" s="36"/>
      <c r="I37" s="36"/>
      <c r="J37" s="36"/>
      <c r="K37" s="36"/>
      <c r="L37" s="36"/>
      <c r="M37" s="36"/>
      <c r="N37" s="36"/>
      <c r="O37" s="36"/>
      <c r="P37" s="36"/>
      <c r="Q37" s="36"/>
      <c r="R37" s="36"/>
      <c r="S37" s="36"/>
      <c r="T37" s="36"/>
      <c r="U37" s="36"/>
      <c r="V37" s="36"/>
      <c r="W37" s="36"/>
      <c r="X37" s="36"/>
      <c r="Y37" s="36"/>
      <c r="Z37" s="36"/>
      <c r="AA37" s="36"/>
      <c r="AB37" s="36"/>
      <c r="AC37" s="36"/>
      <c r="AD37" s="36"/>
      <c r="AE37" s="36"/>
      <c r="AF37" s="294"/>
      <c r="AG37" s="36"/>
      <c r="AI37" s="784"/>
    </row>
    <row r="38" spans="1:35" ht="18" customHeight="1">
      <c r="A38" s="1149"/>
      <c r="B38" s="293"/>
      <c r="C38" s="36"/>
      <c r="D38" s="36"/>
      <c r="E38" s="36"/>
      <c r="F38" s="36"/>
      <c r="G38" s="36"/>
      <c r="H38" s="36"/>
      <c r="I38" s="36"/>
      <c r="J38" s="36"/>
      <c r="K38" s="36"/>
      <c r="L38" s="36"/>
      <c r="M38" s="36"/>
      <c r="N38" s="36"/>
      <c r="O38" s="36"/>
      <c r="P38" s="36"/>
      <c r="Q38" s="36"/>
      <c r="R38" s="36"/>
      <c r="S38" s="36"/>
      <c r="T38" s="36"/>
      <c r="U38" s="36"/>
      <c r="V38" s="36"/>
      <c r="W38" s="36"/>
      <c r="X38" s="36"/>
      <c r="Y38" s="36"/>
      <c r="Z38" s="36"/>
      <c r="AA38" s="36"/>
      <c r="AB38" s="36"/>
      <c r="AC38" s="36"/>
      <c r="AD38" s="36"/>
      <c r="AE38" s="36"/>
      <c r="AF38" s="294"/>
      <c r="AG38" s="36"/>
      <c r="AI38" s="784"/>
    </row>
    <row r="39" spans="1:35" ht="18" customHeight="1">
      <c r="A39" s="1149"/>
      <c r="B39" s="293"/>
      <c r="C39" s="36"/>
      <c r="D39" s="36"/>
      <c r="E39" s="36"/>
      <c r="F39" s="36"/>
      <c r="G39" s="36"/>
      <c r="H39" s="36"/>
      <c r="I39" s="36"/>
      <c r="J39" s="36"/>
      <c r="K39" s="36"/>
      <c r="L39" s="36"/>
      <c r="M39" s="36"/>
      <c r="N39" s="36"/>
      <c r="O39" s="36"/>
      <c r="P39" s="36"/>
      <c r="Q39" s="36"/>
      <c r="R39" s="36"/>
      <c r="S39" s="36"/>
      <c r="T39" s="36"/>
      <c r="U39" s="36"/>
      <c r="V39" s="36"/>
      <c r="W39" s="36"/>
      <c r="X39" s="36"/>
      <c r="Y39" s="36"/>
      <c r="Z39" s="36"/>
      <c r="AA39" s="36"/>
      <c r="AB39" s="36"/>
      <c r="AC39" s="36"/>
      <c r="AD39" s="36"/>
      <c r="AE39" s="36"/>
      <c r="AF39" s="294"/>
      <c r="AG39" s="36"/>
      <c r="AI39" s="784"/>
    </row>
    <row r="40" spans="1:35" ht="18" customHeight="1">
      <c r="A40" s="1149"/>
      <c r="B40" s="293"/>
      <c r="C40" s="36"/>
      <c r="D40" s="36"/>
      <c r="E40" s="36"/>
      <c r="F40" s="36"/>
      <c r="G40" s="36"/>
      <c r="H40" s="36"/>
      <c r="I40" s="36"/>
      <c r="J40" s="36"/>
      <c r="K40" s="36"/>
      <c r="L40" s="36"/>
      <c r="M40" s="36"/>
      <c r="N40" s="36"/>
      <c r="O40" s="36"/>
      <c r="P40" s="36"/>
      <c r="Q40" s="36"/>
      <c r="R40" s="36"/>
      <c r="S40" s="36"/>
      <c r="T40" s="36"/>
      <c r="U40" s="36"/>
      <c r="V40" s="36"/>
      <c r="W40" s="36"/>
      <c r="X40" s="36"/>
      <c r="Y40" s="36"/>
      <c r="Z40" s="36"/>
      <c r="AA40" s="36"/>
      <c r="AB40" s="36"/>
      <c r="AC40" s="36"/>
      <c r="AD40" s="36"/>
      <c r="AE40" s="36"/>
      <c r="AF40" s="294"/>
      <c r="AG40" s="36"/>
      <c r="AI40" s="784"/>
    </row>
    <row r="41" spans="1:35" ht="18" customHeight="1">
      <c r="A41" s="1150"/>
      <c r="B41" s="295"/>
      <c r="C41" s="296"/>
      <c r="D41" s="296"/>
      <c r="E41" s="296"/>
      <c r="F41" s="296"/>
      <c r="G41" s="296"/>
      <c r="H41" s="296"/>
      <c r="I41" s="296"/>
      <c r="J41" s="296"/>
      <c r="K41" s="296"/>
      <c r="L41" s="296"/>
      <c r="M41" s="296"/>
      <c r="N41" s="296"/>
      <c r="O41" s="296"/>
      <c r="P41" s="296"/>
      <c r="Q41" s="296"/>
      <c r="R41" s="296"/>
      <c r="S41" s="296"/>
      <c r="T41" s="296"/>
      <c r="U41" s="296"/>
      <c r="V41" s="296"/>
      <c r="W41" s="296"/>
      <c r="X41" s="296"/>
      <c r="Y41" s="296"/>
      <c r="Z41" s="296"/>
      <c r="AA41" s="296"/>
      <c r="AB41" s="296"/>
      <c r="AC41" s="296"/>
      <c r="AD41" s="296"/>
      <c r="AE41" s="296"/>
      <c r="AF41" s="297"/>
      <c r="AG41" s="36"/>
      <c r="AI41" s="784"/>
    </row>
    <row r="42" spans="1:35" ht="15.75" customHeight="1">
      <c r="A42" s="298"/>
      <c r="B42" s="298"/>
      <c r="C42" s="298"/>
      <c r="D42" s="299"/>
      <c r="E42" s="299"/>
      <c r="F42" s="299"/>
      <c r="G42" s="299"/>
      <c r="H42" s="299"/>
      <c r="I42" s="299"/>
      <c r="J42" s="299"/>
      <c r="K42" s="299"/>
      <c r="L42" s="298"/>
      <c r="M42" s="298"/>
      <c r="N42" s="298"/>
      <c r="O42" s="298"/>
      <c r="P42" s="298"/>
      <c r="Q42" s="13"/>
      <c r="AI42" s="784"/>
    </row>
    <row r="43" spans="1:35" ht="15.75" customHeight="1">
      <c r="A43" s="298"/>
      <c r="B43" s="298"/>
      <c r="C43" s="298"/>
      <c r="D43" s="299"/>
      <c r="E43" s="299"/>
      <c r="F43" s="299"/>
      <c r="G43" s="299"/>
      <c r="H43" s="299"/>
      <c r="I43" s="299"/>
      <c r="J43" s="299"/>
      <c r="K43" s="299"/>
      <c r="L43" s="298"/>
      <c r="M43" s="298"/>
      <c r="N43" s="298"/>
      <c r="O43" s="298"/>
      <c r="P43" s="298"/>
      <c r="Q43" s="13"/>
    </row>
    <row r="44" spans="1:35" ht="15.75" customHeight="1">
      <c r="A44" s="298"/>
      <c r="B44" s="298"/>
      <c r="C44" s="298"/>
      <c r="D44" s="298"/>
      <c r="E44" s="298"/>
      <c r="F44" s="298"/>
      <c r="G44" s="298"/>
      <c r="H44" s="298"/>
      <c r="I44" s="22"/>
      <c r="J44" s="298"/>
      <c r="K44" s="298"/>
      <c r="L44" s="298"/>
      <c r="M44" s="298"/>
      <c r="N44" s="298"/>
      <c r="O44" s="298"/>
      <c r="P44" s="298"/>
      <c r="Q44" s="13"/>
      <c r="V44"/>
    </row>
    <row r="45" spans="1:35" ht="15.75" customHeight="1">
      <c r="A45" s="298"/>
      <c r="B45" s="298"/>
      <c r="C45" s="298"/>
      <c r="D45" s="298"/>
      <c r="E45" s="298"/>
      <c r="F45" s="298"/>
      <c r="G45" s="298"/>
      <c r="H45" s="298"/>
      <c r="I45" s="22"/>
      <c r="J45" s="298"/>
      <c r="K45" s="298"/>
      <c r="L45" s="298"/>
      <c r="M45" s="298"/>
      <c r="N45" s="298"/>
      <c r="O45" s="298"/>
      <c r="P45" s="298"/>
      <c r="Q45" s="13"/>
    </row>
    <row r="46" spans="1:35" ht="15.75" customHeight="1">
      <c r="A46" s="298"/>
      <c r="B46" s="298"/>
      <c r="C46" s="298"/>
      <c r="D46" s="298"/>
      <c r="E46" s="298"/>
      <c r="F46" s="298"/>
      <c r="G46" s="298"/>
      <c r="H46" s="298"/>
      <c r="I46" s="298"/>
      <c r="J46" s="298"/>
      <c r="K46" s="298"/>
      <c r="L46" s="298"/>
      <c r="M46" s="298"/>
      <c r="N46" s="298"/>
      <c r="O46" s="298"/>
      <c r="P46" s="298"/>
      <c r="Q46" s="13"/>
    </row>
    <row r="47" spans="1:35" ht="15.75" customHeight="1">
      <c r="A47" s="298"/>
      <c r="B47" s="298"/>
      <c r="C47" s="298"/>
      <c r="D47" s="298"/>
      <c r="E47" s="298"/>
      <c r="F47" s="298"/>
      <c r="G47" s="298"/>
      <c r="H47" s="298"/>
      <c r="I47" s="298"/>
      <c r="J47" s="22" t="s">
        <v>608</v>
      </c>
      <c r="K47" s="298"/>
      <c r="L47" s="298"/>
      <c r="M47" s="298"/>
      <c r="N47" s="298"/>
      <c r="O47" s="298"/>
      <c r="P47" s="298"/>
      <c r="Q47" s="23"/>
      <c r="T47" t="s">
        <v>609</v>
      </c>
    </row>
    <row r="48" spans="1:35" ht="13.5" customHeight="1">
      <c r="C48" t="s">
        <v>610</v>
      </c>
      <c r="J48" s="87" t="s">
        <v>580</v>
      </c>
      <c r="T48" t="s">
        <v>611</v>
      </c>
    </row>
    <row r="49" spans="1:23" ht="13.5" customHeight="1">
      <c r="A49" s="20"/>
      <c r="B49" s="269"/>
      <c r="C49" s="82" t="s">
        <v>612</v>
      </c>
      <c r="J49" s="87" t="s">
        <v>581</v>
      </c>
      <c r="T49" t="s">
        <v>613</v>
      </c>
    </row>
    <row r="50" spans="1:23" ht="13.5" customHeight="1">
      <c r="A50" s="20"/>
      <c r="B50" s="269"/>
      <c r="C50" s="82" t="s">
        <v>614</v>
      </c>
      <c r="J50" s="195" t="s">
        <v>582</v>
      </c>
      <c r="T50" t="s">
        <v>615</v>
      </c>
    </row>
    <row r="51" spans="1:23">
      <c r="C51" t="s">
        <v>616</v>
      </c>
      <c r="J51" s="87" t="s">
        <v>583</v>
      </c>
      <c r="T51" t="s">
        <v>601</v>
      </c>
    </row>
    <row r="52" spans="1:23" ht="13.5" customHeight="1">
      <c r="C52" t="s">
        <v>617</v>
      </c>
      <c r="J52" s="87" t="s">
        <v>618</v>
      </c>
      <c r="T52" t="s">
        <v>619</v>
      </c>
    </row>
    <row r="53" spans="1:23">
      <c r="C53" t="s">
        <v>620</v>
      </c>
      <c r="J53" s="87" t="s">
        <v>621</v>
      </c>
      <c r="T53" t="s">
        <v>622</v>
      </c>
    </row>
    <row r="54" spans="1:23">
      <c r="C54" s="87" t="s">
        <v>623</v>
      </c>
      <c r="J54" s="87" t="s">
        <v>624</v>
      </c>
      <c r="T54" s="1128" t="s">
        <v>625</v>
      </c>
      <c r="U54" s="1128"/>
      <c r="V54" s="1128"/>
    </row>
    <row r="55" spans="1:23">
      <c r="C55" t="s">
        <v>626</v>
      </c>
      <c r="J55" s="87" t="s">
        <v>627</v>
      </c>
      <c r="T55" s="1129" t="s">
        <v>131</v>
      </c>
      <c r="U55" s="1130"/>
      <c r="V55" s="1130"/>
    </row>
    <row r="56" spans="1:23">
      <c r="C56" t="s">
        <v>605</v>
      </c>
      <c r="J56" s="87" t="s">
        <v>628</v>
      </c>
      <c r="T56" s="1129" t="s">
        <v>629</v>
      </c>
      <c r="U56" s="1130"/>
      <c r="V56" s="1130"/>
    </row>
    <row r="57" spans="1:23">
      <c r="J57" s="87" t="s">
        <v>607</v>
      </c>
      <c r="T57" s="1131" t="s">
        <v>630</v>
      </c>
      <c r="U57" s="1132"/>
      <c r="V57" s="1132"/>
      <c r="W57" s="1132"/>
    </row>
    <row r="58" spans="1:23">
      <c r="J58" s="87" t="s">
        <v>631</v>
      </c>
      <c r="T58" t="s">
        <v>632</v>
      </c>
    </row>
    <row r="59" spans="1:23">
      <c r="J59" s="87" t="s">
        <v>633</v>
      </c>
      <c r="T59" t="s">
        <v>634</v>
      </c>
    </row>
    <row r="60" spans="1:23">
      <c r="J60" s="803" t="s">
        <v>635</v>
      </c>
      <c r="T60" t="s">
        <v>636</v>
      </c>
    </row>
    <row r="61" spans="1:23">
      <c r="T61" t="s">
        <v>637</v>
      </c>
    </row>
    <row r="62" spans="1:23" ht="13.5" customHeight="1">
      <c r="T62" t="s">
        <v>638</v>
      </c>
    </row>
    <row r="69" ht="13.5" customHeight="1"/>
    <row r="72" ht="13.5" customHeight="1"/>
    <row r="76" ht="13.5" customHeight="1"/>
    <row r="80" ht="13.5" customHeight="1"/>
    <row r="90" ht="13.5" customHeight="1"/>
    <row r="104" ht="13.5" customHeight="1"/>
    <row r="183" ht="13.5" customHeight="1"/>
  </sheetData>
  <mergeCells count="205">
    <mergeCell ref="Z36:AF36"/>
    <mergeCell ref="S34:Y34"/>
    <mergeCell ref="Z34:AF34"/>
    <mergeCell ref="C35:I35"/>
    <mergeCell ref="J35:P35"/>
    <mergeCell ref="S35:Y35"/>
    <mergeCell ref="Z35:AF35"/>
    <mergeCell ref="A34:A35"/>
    <mergeCell ref="B34:B35"/>
    <mergeCell ref="C34:I34"/>
    <mergeCell ref="J34:P34"/>
    <mergeCell ref="Q34:Q35"/>
    <mergeCell ref="R34:R35"/>
    <mergeCell ref="Z32:AF32"/>
    <mergeCell ref="C33:I33"/>
    <mergeCell ref="J33:P33"/>
    <mergeCell ref="S33:Y33"/>
    <mergeCell ref="Z33:AF33"/>
    <mergeCell ref="A32:A33"/>
    <mergeCell ref="B32:B33"/>
    <mergeCell ref="C32:I32"/>
    <mergeCell ref="J32:P32"/>
    <mergeCell ref="Q32:Q33"/>
    <mergeCell ref="R32:R33"/>
    <mergeCell ref="Z30:AF30"/>
    <mergeCell ref="C31:I31"/>
    <mergeCell ref="J31:P31"/>
    <mergeCell ref="S31:Y31"/>
    <mergeCell ref="Z31:AF31"/>
    <mergeCell ref="A30:A31"/>
    <mergeCell ref="B30:B31"/>
    <mergeCell ref="C30:I30"/>
    <mergeCell ref="J30:P30"/>
    <mergeCell ref="Q30:Q31"/>
    <mergeCell ref="R30:R31"/>
    <mergeCell ref="Z28:AF28"/>
    <mergeCell ref="C29:I29"/>
    <mergeCell ref="J29:P29"/>
    <mergeCell ref="S29:Y29"/>
    <mergeCell ref="Z29:AF29"/>
    <mergeCell ref="A28:A29"/>
    <mergeCell ref="B28:B29"/>
    <mergeCell ref="C28:I28"/>
    <mergeCell ref="J28:P28"/>
    <mergeCell ref="Q28:Q29"/>
    <mergeCell ref="R28:R29"/>
    <mergeCell ref="Z26:AF26"/>
    <mergeCell ref="C27:I27"/>
    <mergeCell ref="J27:P27"/>
    <mergeCell ref="S27:Y27"/>
    <mergeCell ref="Z27:AF27"/>
    <mergeCell ref="A26:A27"/>
    <mergeCell ref="B26:B27"/>
    <mergeCell ref="C26:I26"/>
    <mergeCell ref="J26:P26"/>
    <mergeCell ref="Q26:Q27"/>
    <mergeCell ref="R26:R27"/>
    <mergeCell ref="Z24:AF24"/>
    <mergeCell ref="C25:I25"/>
    <mergeCell ref="J25:P25"/>
    <mergeCell ref="S25:Y25"/>
    <mergeCell ref="Z25:AF25"/>
    <mergeCell ref="A24:A25"/>
    <mergeCell ref="B24:B25"/>
    <mergeCell ref="C24:I24"/>
    <mergeCell ref="J24:P24"/>
    <mergeCell ref="Q24:Q25"/>
    <mergeCell ref="R24:R25"/>
    <mergeCell ref="Z22:AF22"/>
    <mergeCell ref="C23:I23"/>
    <mergeCell ref="J23:P23"/>
    <mergeCell ref="S23:Y23"/>
    <mergeCell ref="Z23:AF23"/>
    <mergeCell ref="A22:A23"/>
    <mergeCell ref="B22:B23"/>
    <mergeCell ref="C22:I22"/>
    <mergeCell ref="J22:P22"/>
    <mergeCell ref="Q22:Q23"/>
    <mergeCell ref="R22:R23"/>
    <mergeCell ref="Z20:AF20"/>
    <mergeCell ref="C21:I21"/>
    <mergeCell ref="J21:P21"/>
    <mergeCell ref="S21:Y21"/>
    <mergeCell ref="Z21:AF21"/>
    <mergeCell ref="A20:A21"/>
    <mergeCell ref="B20:B21"/>
    <mergeCell ref="C20:I20"/>
    <mergeCell ref="J20:P20"/>
    <mergeCell ref="Q20:Q21"/>
    <mergeCell ref="R20:R21"/>
    <mergeCell ref="Z18:AF18"/>
    <mergeCell ref="C19:I19"/>
    <mergeCell ref="J19:P19"/>
    <mergeCell ref="S19:Y19"/>
    <mergeCell ref="Z19:AF19"/>
    <mergeCell ref="A18:A19"/>
    <mergeCell ref="B18:B19"/>
    <mergeCell ref="C18:I18"/>
    <mergeCell ref="J18:P18"/>
    <mergeCell ref="Q18:Q19"/>
    <mergeCell ref="R18:R19"/>
    <mergeCell ref="Z16:AF16"/>
    <mergeCell ref="C17:I17"/>
    <mergeCell ref="J17:P17"/>
    <mergeCell ref="S17:Y17"/>
    <mergeCell ref="Z17:AF17"/>
    <mergeCell ref="A16:A17"/>
    <mergeCell ref="B16:B17"/>
    <mergeCell ref="C16:I16"/>
    <mergeCell ref="J16:P16"/>
    <mergeCell ref="Q16:Q17"/>
    <mergeCell ref="R16:R17"/>
    <mergeCell ref="Z14:AF14"/>
    <mergeCell ref="C15:I15"/>
    <mergeCell ref="J15:P15"/>
    <mergeCell ref="S15:Y15"/>
    <mergeCell ref="Z15:AF15"/>
    <mergeCell ref="A14:A15"/>
    <mergeCell ref="B14:B15"/>
    <mergeCell ref="C14:I14"/>
    <mergeCell ref="J14:P14"/>
    <mergeCell ref="Q14:Q15"/>
    <mergeCell ref="R14:R15"/>
    <mergeCell ref="Z12:AF12"/>
    <mergeCell ref="C13:I13"/>
    <mergeCell ref="J13:P13"/>
    <mergeCell ref="S13:Y13"/>
    <mergeCell ref="Z13:AF13"/>
    <mergeCell ref="A12:A13"/>
    <mergeCell ref="B12:B13"/>
    <mergeCell ref="C12:I12"/>
    <mergeCell ref="J12:P12"/>
    <mergeCell ref="Q12:Q13"/>
    <mergeCell ref="R12:R13"/>
    <mergeCell ref="Z8:AF8"/>
    <mergeCell ref="C9:I9"/>
    <mergeCell ref="J9:P9"/>
    <mergeCell ref="S9:Y9"/>
    <mergeCell ref="Z9:AF9"/>
    <mergeCell ref="A8:A9"/>
    <mergeCell ref="B8:B9"/>
    <mergeCell ref="C8:I8"/>
    <mergeCell ref="J8:P8"/>
    <mergeCell ref="Q8:Q9"/>
    <mergeCell ref="R8:R9"/>
    <mergeCell ref="Z7:AF7"/>
    <mergeCell ref="A6:A7"/>
    <mergeCell ref="B6:B7"/>
    <mergeCell ref="C6:I6"/>
    <mergeCell ref="J6:P6"/>
    <mergeCell ref="Q6:Q7"/>
    <mergeCell ref="R6:R7"/>
    <mergeCell ref="S10:Y10"/>
    <mergeCell ref="Z10:AF10"/>
    <mergeCell ref="Q10:Q11"/>
    <mergeCell ref="R10:R11"/>
    <mergeCell ref="S6:Y6"/>
    <mergeCell ref="Z6:AF6"/>
    <mergeCell ref="C7:I7"/>
    <mergeCell ref="J7:P7"/>
    <mergeCell ref="C11:I11"/>
    <mergeCell ref="J11:P11"/>
    <mergeCell ref="S11:Y11"/>
    <mergeCell ref="Z11:AF11"/>
    <mergeCell ref="A10:A11"/>
    <mergeCell ref="B10:B11"/>
    <mergeCell ref="C10:I10"/>
    <mergeCell ref="J10:P10"/>
    <mergeCell ref="S8:Y8"/>
    <mergeCell ref="Z3:AF3"/>
    <mergeCell ref="S4:Y4"/>
    <mergeCell ref="Z4:AF4"/>
    <mergeCell ref="C5:I5"/>
    <mergeCell ref="J5:P5"/>
    <mergeCell ref="S5:Y5"/>
    <mergeCell ref="Z5:AF5"/>
    <mergeCell ref="A4:A5"/>
    <mergeCell ref="B4:B5"/>
    <mergeCell ref="C4:I4"/>
    <mergeCell ref="J4:P4"/>
    <mergeCell ref="Q4:Q5"/>
    <mergeCell ref="R4:R5"/>
    <mergeCell ref="T54:V54"/>
    <mergeCell ref="T55:V55"/>
    <mergeCell ref="T56:V56"/>
    <mergeCell ref="T57:W57"/>
    <mergeCell ref="A1:G1"/>
    <mergeCell ref="A2:D2"/>
    <mergeCell ref="C3:I3"/>
    <mergeCell ref="J3:P3"/>
    <mergeCell ref="S3:Y3"/>
    <mergeCell ref="S7:Y7"/>
    <mergeCell ref="S12:Y12"/>
    <mergeCell ref="S14:Y14"/>
    <mergeCell ref="S16:Y16"/>
    <mergeCell ref="S18:Y18"/>
    <mergeCell ref="S20:Y20"/>
    <mergeCell ref="S22:Y22"/>
    <mergeCell ref="S24:Y24"/>
    <mergeCell ref="S26:Y26"/>
    <mergeCell ref="S28:Y28"/>
    <mergeCell ref="S30:Y30"/>
    <mergeCell ref="S32:Y32"/>
    <mergeCell ref="A36:A41"/>
    <mergeCell ref="S36:Y36"/>
  </mergeCells>
  <phoneticPr fontId="8"/>
  <dataValidations count="1">
    <dataValidation type="list" allowBlank="1" showInputMessage="1" showErrorMessage="1" sqref="B32 B4 B6 B8 B10 B12 B14 B16 B18 B20 B22 B24 B26 B28 B30" xr:uid="{00000000-0002-0000-0900-000000000000}">
      <formula1>"日,月,火,水,木,金,土"</formula1>
    </dataValidation>
  </dataValidations>
  <pageMargins left="0.39370078740157483" right="0.19685039370078741" top="0.78740157480314965" bottom="0.78740157480314965" header="0.51181102362204722" footer="0.51181102362204722"/>
  <pageSetup paperSize="9" scale="61" orientation="landscape"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tabColor rgb="FFFF0000"/>
    <pageSetUpPr fitToPage="1"/>
  </sheetPr>
  <dimension ref="A1:AE33"/>
  <sheetViews>
    <sheetView view="pageBreakPreview" topLeftCell="A4" zoomScale="80" zoomScaleNormal="85" zoomScaleSheetLayoutView="80" workbookViewId="0">
      <selection activeCell="J28" sqref="J28"/>
    </sheetView>
  </sheetViews>
  <sheetFormatPr defaultRowHeight="14.4"/>
  <cols>
    <col min="1" max="1" width="5.88671875" style="34" customWidth="1"/>
    <col min="2" max="2" width="22.77734375" style="34" bestFit="1" customWidth="1"/>
    <col min="3" max="3" width="7.21875" style="34" customWidth="1"/>
    <col min="4" max="27" width="5" style="35" customWidth="1"/>
    <col min="28" max="28" width="25.109375" style="35" customWidth="1"/>
    <col min="29" max="29" width="39.6640625" style="35" customWidth="1"/>
    <col min="30" max="91" width="2.21875" style="34" customWidth="1"/>
    <col min="92" max="227" width="9" style="34"/>
    <col min="228" max="228" width="5.88671875" style="34" customWidth="1"/>
    <col min="229" max="229" width="22.77734375" style="34" bestFit="1" customWidth="1"/>
    <col min="230" max="230" width="7.21875" style="34" customWidth="1"/>
    <col min="231" max="254" width="5" style="34" customWidth="1"/>
    <col min="255" max="255" width="25.109375" style="34" customWidth="1"/>
    <col min="256" max="256" width="39.6640625" style="34" customWidth="1"/>
    <col min="257" max="347" width="2.21875" style="34" customWidth="1"/>
    <col min="348" max="483" width="9" style="34"/>
    <col min="484" max="484" width="5.88671875" style="34" customWidth="1"/>
    <col min="485" max="485" width="22.77734375" style="34" bestFit="1" customWidth="1"/>
    <col min="486" max="486" width="7.21875" style="34" customWidth="1"/>
    <col min="487" max="510" width="5" style="34" customWidth="1"/>
    <col min="511" max="511" width="25.109375" style="34" customWidth="1"/>
    <col min="512" max="512" width="39.6640625" style="34" customWidth="1"/>
    <col min="513" max="603" width="2.21875" style="34" customWidth="1"/>
    <col min="604" max="739" width="9" style="34"/>
    <col min="740" max="740" width="5.88671875" style="34" customWidth="1"/>
    <col min="741" max="741" width="22.77734375" style="34" bestFit="1" customWidth="1"/>
    <col min="742" max="742" width="7.21875" style="34" customWidth="1"/>
    <col min="743" max="766" width="5" style="34" customWidth="1"/>
    <col min="767" max="767" width="25.109375" style="34" customWidth="1"/>
    <col min="768" max="768" width="39.6640625" style="34" customWidth="1"/>
    <col min="769" max="859" width="2.21875" style="34" customWidth="1"/>
    <col min="860" max="995" width="9" style="34"/>
    <col min="996" max="996" width="5.88671875" style="34" customWidth="1"/>
    <col min="997" max="997" width="22.77734375" style="34" bestFit="1" customWidth="1"/>
    <col min="998" max="998" width="7.21875" style="34" customWidth="1"/>
    <col min="999" max="1022" width="5" style="34" customWidth="1"/>
    <col min="1023" max="1023" width="25.109375" style="34" customWidth="1"/>
    <col min="1024" max="1024" width="39.6640625" style="34" customWidth="1"/>
    <col min="1025" max="1115" width="2.21875" style="34" customWidth="1"/>
    <col min="1116" max="1251" width="9" style="34"/>
    <col min="1252" max="1252" width="5.88671875" style="34" customWidth="1"/>
    <col min="1253" max="1253" width="22.77734375" style="34" bestFit="1" customWidth="1"/>
    <col min="1254" max="1254" width="7.21875" style="34" customWidth="1"/>
    <col min="1255" max="1278" width="5" style="34" customWidth="1"/>
    <col min="1279" max="1279" width="25.109375" style="34" customWidth="1"/>
    <col min="1280" max="1280" width="39.6640625" style="34" customWidth="1"/>
    <col min="1281" max="1371" width="2.21875" style="34" customWidth="1"/>
    <col min="1372" max="1507" width="9" style="34"/>
    <col min="1508" max="1508" width="5.88671875" style="34" customWidth="1"/>
    <col min="1509" max="1509" width="22.77734375" style="34" bestFit="1" customWidth="1"/>
    <col min="1510" max="1510" width="7.21875" style="34" customWidth="1"/>
    <col min="1511" max="1534" width="5" style="34" customWidth="1"/>
    <col min="1535" max="1535" width="25.109375" style="34" customWidth="1"/>
    <col min="1536" max="1536" width="39.6640625" style="34" customWidth="1"/>
    <col min="1537" max="1627" width="2.21875" style="34" customWidth="1"/>
    <col min="1628" max="1763" width="9" style="34"/>
    <col min="1764" max="1764" width="5.88671875" style="34" customWidth="1"/>
    <col min="1765" max="1765" width="22.77734375" style="34" bestFit="1" customWidth="1"/>
    <col min="1766" max="1766" width="7.21875" style="34" customWidth="1"/>
    <col min="1767" max="1790" width="5" style="34" customWidth="1"/>
    <col min="1791" max="1791" width="25.109375" style="34" customWidth="1"/>
    <col min="1792" max="1792" width="39.6640625" style="34" customWidth="1"/>
    <col min="1793" max="1883" width="2.21875" style="34" customWidth="1"/>
    <col min="1884" max="2019" width="9" style="34"/>
    <col min="2020" max="2020" width="5.88671875" style="34" customWidth="1"/>
    <col min="2021" max="2021" width="22.77734375" style="34" bestFit="1" customWidth="1"/>
    <col min="2022" max="2022" width="7.21875" style="34" customWidth="1"/>
    <col min="2023" max="2046" width="5" style="34" customWidth="1"/>
    <col min="2047" max="2047" width="25.109375" style="34" customWidth="1"/>
    <col min="2048" max="2048" width="39.6640625" style="34" customWidth="1"/>
    <col min="2049" max="2139" width="2.21875" style="34" customWidth="1"/>
    <col min="2140" max="2275" width="9" style="34"/>
    <col min="2276" max="2276" width="5.88671875" style="34" customWidth="1"/>
    <col min="2277" max="2277" width="22.77734375" style="34" bestFit="1" customWidth="1"/>
    <col min="2278" max="2278" width="7.21875" style="34" customWidth="1"/>
    <col min="2279" max="2302" width="5" style="34" customWidth="1"/>
    <col min="2303" max="2303" width="25.109375" style="34" customWidth="1"/>
    <col min="2304" max="2304" width="39.6640625" style="34" customWidth="1"/>
    <col min="2305" max="2395" width="2.21875" style="34" customWidth="1"/>
    <col min="2396" max="2531" width="9" style="34"/>
    <col min="2532" max="2532" width="5.88671875" style="34" customWidth="1"/>
    <col min="2533" max="2533" width="22.77734375" style="34" bestFit="1" customWidth="1"/>
    <col min="2534" max="2534" width="7.21875" style="34" customWidth="1"/>
    <col min="2535" max="2558" width="5" style="34" customWidth="1"/>
    <col min="2559" max="2559" width="25.109375" style="34" customWidth="1"/>
    <col min="2560" max="2560" width="39.6640625" style="34" customWidth="1"/>
    <col min="2561" max="2651" width="2.21875" style="34" customWidth="1"/>
    <col min="2652" max="2787" width="9" style="34"/>
    <col min="2788" max="2788" width="5.88671875" style="34" customWidth="1"/>
    <col min="2789" max="2789" width="22.77734375" style="34" bestFit="1" customWidth="1"/>
    <col min="2790" max="2790" width="7.21875" style="34" customWidth="1"/>
    <col min="2791" max="2814" width="5" style="34" customWidth="1"/>
    <col min="2815" max="2815" width="25.109375" style="34" customWidth="1"/>
    <col min="2816" max="2816" width="39.6640625" style="34" customWidth="1"/>
    <col min="2817" max="2907" width="2.21875" style="34" customWidth="1"/>
    <col min="2908" max="3043" width="9" style="34"/>
    <col min="3044" max="3044" width="5.88671875" style="34" customWidth="1"/>
    <col min="3045" max="3045" width="22.77734375" style="34" bestFit="1" customWidth="1"/>
    <col min="3046" max="3046" width="7.21875" style="34" customWidth="1"/>
    <col min="3047" max="3070" width="5" style="34" customWidth="1"/>
    <col min="3071" max="3071" width="25.109375" style="34" customWidth="1"/>
    <col min="3072" max="3072" width="39.6640625" style="34" customWidth="1"/>
    <col min="3073" max="3163" width="2.21875" style="34" customWidth="1"/>
    <col min="3164" max="3299" width="9" style="34"/>
    <col min="3300" max="3300" width="5.88671875" style="34" customWidth="1"/>
    <col min="3301" max="3301" width="22.77734375" style="34" bestFit="1" customWidth="1"/>
    <col min="3302" max="3302" width="7.21875" style="34" customWidth="1"/>
    <col min="3303" max="3326" width="5" style="34" customWidth="1"/>
    <col min="3327" max="3327" width="25.109375" style="34" customWidth="1"/>
    <col min="3328" max="3328" width="39.6640625" style="34" customWidth="1"/>
    <col min="3329" max="3419" width="2.21875" style="34" customWidth="1"/>
    <col min="3420" max="3555" width="9" style="34"/>
    <col min="3556" max="3556" width="5.88671875" style="34" customWidth="1"/>
    <col min="3557" max="3557" width="22.77734375" style="34" bestFit="1" customWidth="1"/>
    <col min="3558" max="3558" width="7.21875" style="34" customWidth="1"/>
    <col min="3559" max="3582" width="5" style="34" customWidth="1"/>
    <col min="3583" max="3583" width="25.109375" style="34" customWidth="1"/>
    <col min="3584" max="3584" width="39.6640625" style="34" customWidth="1"/>
    <col min="3585" max="3675" width="2.21875" style="34" customWidth="1"/>
    <col min="3676" max="3811" width="9" style="34"/>
    <col min="3812" max="3812" width="5.88671875" style="34" customWidth="1"/>
    <col min="3813" max="3813" width="22.77734375" style="34" bestFit="1" customWidth="1"/>
    <col min="3814" max="3814" width="7.21875" style="34" customWidth="1"/>
    <col min="3815" max="3838" width="5" style="34" customWidth="1"/>
    <col min="3839" max="3839" width="25.109375" style="34" customWidth="1"/>
    <col min="3840" max="3840" width="39.6640625" style="34" customWidth="1"/>
    <col min="3841" max="3931" width="2.21875" style="34" customWidth="1"/>
    <col min="3932" max="4067" width="9" style="34"/>
    <col min="4068" max="4068" width="5.88671875" style="34" customWidth="1"/>
    <col min="4069" max="4069" width="22.77734375" style="34" bestFit="1" customWidth="1"/>
    <col min="4070" max="4070" width="7.21875" style="34" customWidth="1"/>
    <col min="4071" max="4094" width="5" style="34" customWidth="1"/>
    <col min="4095" max="4095" width="25.109375" style="34" customWidth="1"/>
    <col min="4096" max="4096" width="39.6640625" style="34" customWidth="1"/>
    <col min="4097" max="4187" width="2.21875" style="34" customWidth="1"/>
    <col min="4188" max="4323" width="9" style="34"/>
    <col min="4324" max="4324" width="5.88671875" style="34" customWidth="1"/>
    <col min="4325" max="4325" width="22.77734375" style="34" bestFit="1" customWidth="1"/>
    <col min="4326" max="4326" width="7.21875" style="34" customWidth="1"/>
    <col min="4327" max="4350" width="5" style="34" customWidth="1"/>
    <col min="4351" max="4351" width="25.109375" style="34" customWidth="1"/>
    <col min="4352" max="4352" width="39.6640625" style="34" customWidth="1"/>
    <col min="4353" max="4443" width="2.21875" style="34" customWidth="1"/>
    <col min="4444" max="4579" width="9" style="34"/>
    <col min="4580" max="4580" width="5.88671875" style="34" customWidth="1"/>
    <col min="4581" max="4581" width="22.77734375" style="34" bestFit="1" customWidth="1"/>
    <col min="4582" max="4582" width="7.21875" style="34" customWidth="1"/>
    <col min="4583" max="4606" width="5" style="34" customWidth="1"/>
    <col min="4607" max="4607" width="25.109375" style="34" customWidth="1"/>
    <col min="4608" max="4608" width="39.6640625" style="34" customWidth="1"/>
    <col min="4609" max="4699" width="2.21875" style="34" customWidth="1"/>
    <col min="4700" max="4835" width="9" style="34"/>
    <col min="4836" max="4836" width="5.88671875" style="34" customWidth="1"/>
    <col min="4837" max="4837" width="22.77734375" style="34" bestFit="1" customWidth="1"/>
    <col min="4838" max="4838" width="7.21875" style="34" customWidth="1"/>
    <col min="4839" max="4862" width="5" style="34" customWidth="1"/>
    <col min="4863" max="4863" width="25.109375" style="34" customWidth="1"/>
    <col min="4864" max="4864" width="39.6640625" style="34" customWidth="1"/>
    <col min="4865" max="4955" width="2.21875" style="34" customWidth="1"/>
    <col min="4956" max="5091" width="9" style="34"/>
    <col min="5092" max="5092" width="5.88671875" style="34" customWidth="1"/>
    <col min="5093" max="5093" width="22.77734375" style="34" bestFit="1" customWidth="1"/>
    <col min="5094" max="5094" width="7.21875" style="34" customWidth="1"/>
    <col min="5095" max="5118" width="5" style="34" customWidth="1"/>
    <col min="5119" max="5119" width="25.109375" style="34" customWidth="1"/>
    <col min="5120" max="5120" width="39.6640625" style="34" customWidth="1"/>
    <col min="5121" max="5211" width="2.21875" style="34" customWidth="1"/>
    <col min="5212" max="5347" width="9" style="34"/>
    <col min="5348" max="5348" width="5.88671875" style="34" customWidth="1"/>
    <col min="5349" max="5349" width="22.77734375" style="34" bestFit="1" customWidth="1"/>
    <col min="5350" max="5350" width="7.21875" style="34" customWidth="1"/>
    <col min="5351" max="5374" width="5" style="34" customWidth="1"/>
    <col min="5375" max="5375" width="25.109375" style="34" customWidth="1"/>
    <col min="5376" max="5376" width="39.6640625" style="34" customWidth="1"/>
    <col min="5377" max="5467" width="2.21875" style="34" customWidth="1"/>
    <col min="5468" max="5603" width="9" style="34"/>
    <col min="5604" max="5604" width="5.88671875" style="34" customWidth="1"/>
    <col min="5605" max="5605" width="22.77734375" style="34" bestFit="1" customWidth="1"/>
    <col min="5606" max="5606" width="7.21875" style="34" customWidth="1"/>
    <col min="5607" max="5630" width="5" style="34" customWidth="1"/>
    <col min="5631" max="5631" width="25.109375" style="34" customWidth="1"/>
    <col min="5632" max="5632" width="39.6640625" style="34" customWidth="1"/>
    <col min="5633" max="5723" width="2.21875" style="34" customWidth="1"/>
    <col min="5724" max="5859" width="9" style="34"/>
    <col min="5860" max="5860" width="5.88671875" style="34" customWidth="1"/>
    <col min="5861" max="5861" width="22.77734375" style="34" bestFit="1" customWidth="1"/>
    <col min="5862" max="5862" width="7.21875" style="34" customWidth="1"/>
    <col min="5863" max="5886" width="5" style="34" customWidth="1"/>
    <col min="5887" max="5887" width="25.109375" style="34" customWidth="1"/>
    <col min="5888" max="5888" width="39.6640625" style="34" customWidth="1"/>
    <col min="5889" max="5979" width="2.21875" style="34" customWidth="1"/>
    <col min="5980" max="6115" width="9" style="34"/>
    <col min="6116" max="6116" width="5.88671875" style="34" customWidth="1"/>
    <col min="6117" max="6117" width="22.77734375" style="34" bestFit="1" customWidth="1"/>
    <col min="6118" max="6118" width="7.21875" style="34" customWidth="1"/>
    <col min="6119" max="6142" width="5" style="34" customWidth="1"/>
    <col min="6143" max="6143" width="25.109375" style="34" customWidth="1"/>
    <col min="6144" max="6144" width="39.6640625" style="34" customWidth="1"/>
    <col min="6145" max="6235" width="2.21875" style="34" customWidth="1"/>
    <col min="6236" max="6371" width="9" style="34"/>
    <col min="6372" max="6372" width="5.88671875" style="34" customWidth="1"/>
    <col min="6373" max="6373" width="22.77734375" style="34" bestFit="1" customWidth="1"/>
    <col min="6374" max="6374" width="7.21875" style="34" customWidth="1"/>
    <col min="6375" max="6398" width="5" style="34" customWidth="1"/>
    <col min="6399" max="6399" width="25.109375" style="34" customWidth="1"/>
    <col min="6400" max="6400" width="39.6640625" style="34" customWidth="1"/>
    <col min="6401" max="6491" width="2.21875" style="34" customWidth="1"/>
    <col min="6492" max="6627" width="9" style="34"/>
    <col min="6628" max="6628" width="5.88671875" style="34" customWidth="1"/>
    <col min="6629" max="6629" width="22.77734375" style="34" bestFit="1" customWidth="1"/>
    <col min="6630" max="6630" width="7.21875" style="34" customWidth="1"/>
    <col min="6631" max="6654" width="5" style="34" customWidth="1"/>
    <col min="6655" max="6655" width="25.109375" style="34" customWidth="1"/>
    <col min="6656" max="6656" width="39.6640625" style="34" customWidth="1"/>
    <col min="6657" max="6747" width="2.21875" style="34" customWidth="1"/>
    <col min="6748" max="6883" width="9" style="34"/>
    <col min="6884" max="6884" width="5.88671875" style="34" customWidth="1"/>
    <col min="6885" max="6885" width="22.77734375" style="34" bestFit="1" customWidth="1"/>
    <col min="6886" max="6886" width="7.21875" style="34" customWidth="1"/>
    <col min="6887" max="6910" width="5" style="34" customWidth="1"/>
    <col min="6911" max="6911" width="25.109375" style="34" customWidth="1"/>
    <col min="6912" max="6912" width="39.6640625" style="34" customWidth="1"/>
    <col min="6913" max="7003" width="2.21875" style="34" customWidth="1"/>
    <col min="7004" max="7139" width="9" style="34"/>
    <col min="7140" max="7140" width="5.88671875" style="34" customWidth="1"/>
    <col min="7141" max="7141" width="22.77734375" style="34" bestFit="1" customWidth="1"/>
    <col min="7142" max="7142" width="7.21875" style="34" customWidth="1"/>
    <col min="7143" max="7166" width="5" style="34" customWidth="1"/>
    <col min="7167" max="7167" width="25.109375" style="34" customWidth="1"/>
    <col min="7168" max="7168" width="39.6640625" style="34" customWidth="1"/>
    <col min="7169" max="7259" width="2.21875" style="34" customWidth="1"/>
    <col min="7260" max="7395" width="9" style="34"/>
    <col min="7396" max="7396" width="5.88671875" style="34" customWidth="1"/>
    <col min="7397" max="7397" width="22.77734375" style="34" bestFit="1" customWidth="1"/>
    <col min="7398" max="7398" width="7.21875" style="34" customWidth="1"/>
    <col min="7399" max="7422" width="5" style="34" customWidth="1"/>
    <col min="7423" max="7423" width="25.109375" style="34" customWidth="1"/>
    <col min="7424" max="7424" width="39.6640625" style="34" customWidth="1"/>
    <col min="7425" max="7515" width="2.21875" style="34" customWidth="1"/>
    <col min="7516" max="7651" width="9" style="34"/>
    <col min="7652" max="7652" width="5.88671875" style="34" customWidth="1"/>
    <col min="7653" max="7653" width="22.77734375" style="34" bestFit="1" customWidth="1"/>
    <col min="7654" max="7654" width="7.21875" style="34" customWidth="1"/>
    <col min="7655" max="7678" width="5" style="34" customWidth="1"/>
    <col min="7679" max="7679" width="25.109375" style="34" customWidth="1"/>
    <col min="7680" max="7680" width="39.6640625" style="34" customWidth="1"/>
    <col min="7681" max="7771" width="2.21875" style="34" customWidth="1"/>
    <col min="7772" max="7907" width="9" style="34"/>
    <col min="7908" max="7908" width="5.88671875" style="34" customWidth="1"/>
    <col min="7909" max="7909" width="22.77734375" style="34" bestFit="1" customWidth="1"/>
    <col min="7910" max="7910" width="7.21875" style="34" customWidth="1"/>
    <col min="7911" max="7934" width="5" style="34" customWidth="1"/>
    <col min="7935" max="7935" width="25.109375" style="34" customWidth="1"/>
    <col min="7936" max="7936" width="39.6640625" style="34" customWidth="1"/>
    <col min="7937" max="8027" width="2.21875" style="34" customWidth="1"/>
    <col min="8028" max="8163" width="9" style="34"/>
    <col min="8164" max="8164" width="5.88671875" style="34" customWidth="1"/>
    <col min="8165" max="8165" width="22.77734375" style="34" bestFit="1" customWidth="1"/>
    <col min="8166" max="8166" width="7.21875" style="34" customWidth="1"/>
    <col min="8167" max="8190" width="5" style="34" customWidth="1"/>
    <col min="8191" max="8191" width="25.109375" style="34" customWidth="1"/>
    <col min="8192" max="8192" width="39.6640625" style="34" customWidth="1"/>
    <col min="8193" max="8283" width="2.21875" style="34" customWidth="1"/>
    <col min="8284" max="8419" width="9" style="34"/>
    <col min="8420" max="8420" width="5.88671875" style="34" customWidth="1"/>
    <col min="8421" max="8421" width="22.77734375" style="34" bestFit="1" customWidth="1"/>
    <col min="8422" max="8422" width="7.21875" style="34" customWidth="1"/>
    <col min="8423" max="8446" width="5" style="34" customWidth="1"/>
    <col min="8447" max="8447" width="25.109375" style="34" customWidth="1"/>
    <col min="8448" max="8448" width="39.6640625" style="34" customWidth="1"/>
    <col min="8449" max="8539" width="2.21875" style="34" customWidth="1"/>
    <col min="8540" max="8675" width="9" style="34"/>
    <col min="8676" max="8676" width="5.88671875" style="34" customWidth="1"/>
    <col min="8677" max="8677" width="22.77734375" style="34" bestFit="1" customWidth="1"/>
    <col min="8678" max="8678" width="7.21875" style="34" customWidth="1"/>
    <col min="8679" max="8702" width="5" style="34" customWidth="1"/>
    <col min="8703" max="8703" width="25.109375" style="34" customWidth="1"/>
    <col min="8704" max="8704" width="39.6640625" style="34" customWidth="1"/>
    <col min="8705" max="8795" width="2.21875" style="34" customWidth="1"/>
    <col min="8796" max="8931" width="9" style="34"/>
    <col min="8932" max="8932" width="5.88671875" style="34" customWidth="1"/>
    <col min="8933" max="8933" width="22.77734375" style="34" bestFit="1" customWidth="1"/>
    <col min="8934" max="8934" width="7.21875" style="34" customWidth="1"/>
    <col min="8935" max="8958" width="5" style="34" customWidth="1"/>
    <col min="8959" max="8959" width="25.109375" style="34" customWidth="1"/>
    <col min="8960" max="8960" width="39.6640625" style="34" customWidth="1"/>
    <col min="8961" max="9051" width="2.21875" style="34" customWidth="1"/>
    <col min="9052" max="9187" width="9" style="34"/>
    <col min="9188" max="9188" width="5.88671875" style="34" customWidth="1"/>
    <col min="9189" max="9189" width="22.77734375" style="34" bestFit="1" customWidth="1"/>
    <col min="9190" max="9190" width="7.21875" style="34" customWidth="1"/>
    <col min="9191" max="9214" width="5" style="34" customWidth="1"/>
    <col min="9215" max="9215" width="25.109375" style="34" customWidth="1"/>
    <col min="9216" max="9216" width="39.6640625" style="34" customWidth="1"/>
    <col min="9217" max="9307" width="2.21875" style="34" customWidth="1"/>
    <col min="9308" max="9443" width="9" style="34"/>
    <col min="9444" max="9444" width="5.88671875" style="34" customWidth="1"/>
    <col min="9445" max="9445" width="22.77734375" style="34" bestFit="1" customWidth="1"/>
    <col min="9446" max="9446" width="7.21875" style="34" customWidth="1"/>
    <col min="9447" max="9470" width="5" style="34" customWidth="1"/>
    <col min="9471" max="9471" width="25.109375" style="34" customWidth="1"/>
    <col min="9472" max="9472" width="39.6640625" style="34" customWidth="1"/>
    <col min="9473" max="9563" width="2.21875" style="34" customWidth="1"/>
    <col min="9564" max="9699" width="9" style="34"/>
    <col min="9700" max="9700" width="5.88671875" style="34" customWidth="1"/>
    <col min="9701" max="9701" width="22.77734375" style="34" bestFit="1" customWidth="1"/>
    <col min="9702" max="9702" width="7.21875" style="34" customWidth="1"/>
    <col min="9703" max="9726" width="5" style="34" customWidth="1"/>
    <col min="9727" max="9727" width="25.109375" style="34" customWidth="1"/>
    <col min="9728" max="9728" width="39.6640625" style="34" customWidth="1"/>
    <col min="9729" max="9819" width="2.21875" style="34" customWidth="1"/>
    <col min="9820" max="9955" width="9" style="34"/>
    <col min="9956" max="9956" width="5.88671875" style="34" customWidth="1"/>
    <col min="9957" max="9957" width="22.77734375" style="34" bestFit="1" customWidth="1"/>
    <col min="9958" max="9958" width="7.21875" style="34" customWidth="1"/>
    <col min="9959" max="9982" width="5" style="34" customWidth="1"/>
    <col min="9983" max="9983" width="25.109375" style="34" customWidth="1"/>
    <col min="9984" max="9984" width="39.6640625" style="34" customWidth="1"/>
    <col min="9985" max="10075" width="2.21875" style="34" customWidth="1"/>
    <col min="10076" max="10211" width="9" style="34"/>
    <col min="10212" max="10212" width="5.88671875" style="34" customWidth="1"/>
    <col min="10213" max="10213" width="22.77734375" style="34" bestFit="1" customWidth="1"/>
    <col min="10214" max="10214" width="7.21875" style="34" customWidth="1"/>
    <col min="10215" max="10238" width="5" style="34" customWidth="1"/>
    <col min="10239" max="10239" width="25.109375" style="34" customWidth="1"/>
    <col min="10240" max="10240" width="39.6640625" style="34" customWidth="1"/>
    <col min="10241" max="10331" width="2.21875" style="34" customWidth="1"/>
    <col min="10332" max="10467" width="9" style="34"/>
    <col min="10468" max="10468" width="5.88671875" style="34" customWidth="1"/>
    <col min="10469" max="10469" width="22.77734375" style="34" bestFit="1" customWidth="1"/>
    <col min="10470" max="10470" width="7.21875" style="34" customWidth="1"/>
    <col min="10471" max="10494" width="5" style="34" customWidth="1"/>
    <col min="10495" max="10495" width="25.109375" style="34" customWidth="1"/>
    <col min="10496" max="10496" width="39.6640625" style="34" customWidth="1"/>
    <col min="10497" max="10587" width="2.21875" style="34" customWidth="1"/>
    <col min="10588" max="10723" width="9" style="34"/>
    <col min="10724" max="10724" width="5.88671875" style="34" customWidth="1"/>
    <col min="10725" max="10725" width="22.77734375" style="34" bestFit="1" customWidth="1"/>
    <col min="10726" max="10726" width="7.21875" style="34" customWidth="1"/>
    <col min="10727" max="10750" width="5" style="34" customWidth="1"/>
    <col min="10751" max="10751" width="25.109375" style="34" customWidth="1"/>
    <col min="10752" max="10752" width="39.6640625" style="34" customWidth="1"/>
    <col min="10753" max="10843" width="2.21875" style="34" customWidth="1"/>
    <col min="10844" max="10979" width="9" style="34"/>
    <col min="10980" max="10980" width="5.88671875" style="34" customWidth="1"/>
    <col min="10981" max="10981" width="22.77734375" style="34" bestFit="1" customWidth="1"/>
    <col min="10982" max="10982" width="7.21875" style="34" customWidth="1"/>
    <col min="10983" max="11006" width="5" style="34" customWidth="1"/>
    <col min="11007" max="11007" width="25.109375" style="34" customWidth="1"/>
    <col min="11008" max="11008" width="39.6640625" style="34" customWidth="1"/>
    <col min="11009" max="11099" width="2.21875" style="34" customWidth="1"/>
    <col min="11100" max="11235" width="9" style="34"/>
    <col min="11236" max="11236" width="5.88671875" style="34" customWidth="1"/>
    <col min="11237" max="11237" width="22.77734375" style="34" bestFit="1" customWidth="1"/>
    <col min="11238" max="11238" width="7.21875" style="34" customWidth="1"/>
    <col min="11239" max="11262" width="5" style="34" customWidth="1"/>
    <col min="11263" max="11263" width="25.109375" style="34" customWidth="1"/>
    <col min="11264" max="11264" width="39.6640625" style="34" customWidth="1"/>
    <col min="11265" max="11355" width="2.21875" style="34" customWidth="1"/>
    <col min="11356" max="11491" width="9" style="34"/>
    <col min="11492" max="11492" width="5.88671875" style="34" customWidth="1"/>
    <col min="11493" max="11493" width="22.77734375" style="34" bestFit="1" customWidth="1"/>
    <col min="11494" max="11494" width="7.21875" style="34" customWidth="1"/>
    <col min="11495" max="11518" width="5" style="34" customWidth="1"/>
    <col min="11519" max="11519" width="25.109375" style="34" customWidth="1"/>
    <col min="11520" max="11520" width="39.6640625" style="34" customWidth="1"/>
    <col min="11521" max="11611" width="2.21875" style="34" customWidth="1"/>
    <col min="11612" max="11747" width="9" style="34"/>
    <col min="11748" max="11748" width="5.88671875" style="34" customWidth="1"/>
    <col min="11749" max="11749" width="22.77734375" style="34" bestFit="1" customWidth="1"/>
    <col min="11750" max="11750" width="7.21875" style="34" customWidth="1"/>
    <col min="11751" max="11774" width="5" style="34" customWidth="1"/>
    <col min="11775" max="11775" width="25.109375" style="34" customWidth="1"/>
    <col min="11776" max="11776" width="39.6640625" style="34" customWidth="1"/>
    <col min="11777" max="11867" width="2.21875" style="34" customWidth="1"/>
    <col min="11868" max="12003" width="9" style="34"/>
    <col min="12004" max="12004" width="5.88671875" style="34" customWidth="1"/>
    <col min="12005" max="12005" width="22.77734375" style="34" bestFit="1" customWidth="1"/>
    <col min="12006" max="12006" width="7.21875" style="34" customWidth="1"/>
    <col min="12007" max="12030" width="5" style="34" customWidth="1"/>
    <col min="12031" max="12031" width="25.109375" style="34" customWidth="1"/>
    <col min="12032" max="12032" width="39.6640625" style="34" customWidth="1"/>
    <col min="12033" max="12123" width="2.21875" style="34" customWidth="1"/>
    <col min="12124" max="12259" width="9" style="34"/>
    <col min="12260" max="12260" width="5.88671875" style="34" customWidth="1"/>
    <col min="12261" max="12261" width="22.77734375" style="34" bestFit="1" customWidth="1"/>
    <col min="12262" max="12262" width="7.21875" style="34" customWidth="1"/>
    <col min="12263" max="12286" width="5" style="34" customWidth="1"/>
    <col min="12287" max="12287" width="25.109375" style="34" customWidth="1"/>
    <col min="12288" max="12288" width="39.6640625" style="34" customWidth="1"/>
    <col min="12289" max="12379" width="2.21875" style="34" customWidth="1"/>
    <col min="12380" max="12515" width="9" style="34"/>
    <col min="12516" max="12516" width="5.88671875" style="34" customWidth="1"/>
    <col min="12517" max="12517" width="22.77734375" style="34" bestFit="1" customWidth="1"/>
    <col min="12518" max="12518" width="7.21875" style="34" customWidth="1"/>
    <col min="12519" max="12542" width="5" style="34" customWidth="1"/>
    <col min="12543" max="12543" width="25.109375" style="34" customWidth="1"/>
    <col min="12544" max="12544" width="39.6640625" style="34" customWidth="1"/>
    <col min="12545" max="12635" width="2.21875" style="34" customWidth="1"/>
    <col min="12636" max="12771" width="9" style="34"/>
    <col min="12772" max="12772" width="5.88671875" style="34" customWidth="1"/>
    <col min="12773" max="12773" width="22.77734375" style="34" bestFit="1" customWidth="1"/>
    <col min="12774" max="12774" width="7.21875" style="34" customWidth="1"/>
    <col min="12775" max="12798" width="5" style="34" customWidth="1"/>
    <col min="12799" max="12799" width="25.109375" style="34" customWidth="1"/>
    <col min="12800" max="12800" width="39.6640625" style="34" customWidth="1"/>
    <col min="12801" max="12891" width="2.21875" style="34" customWidth="1"/>
    <col min="12892" max="13027" width="9" style="34"/>
    <col min="13028" max="13028" width="5.88671875" style="34" customWidth="1"/>
    <col min="13029" max="13029" width="22.77734375" style="34" bestFit="1" customWidth="1"/>
    <col min="13030" max="13030" width="7.21875" style="34" customWidth="1"/>
    <col min="13031" max="13054" width="5" style="34" customWidth="1"/>
    <col min="13055" max="13055" width="25.109375" style="34" customWidth="1"/>
    <col min="13056" max="13056" width="39.6640625" style="34" customWidth="1"/>
    <col min="13057" max="13147" width="2.21875" style="34" customWidth="1"/>
    <col min="13148" max="13283" width="9" style="34"/>
    <col min="13284" max="13284" width="5.88671875" style="34" customWidth="1"/>
    <col min="13285" max="13285" width="22.77734375" style="34" bestFit="1" customWidth="1"/>
    <col min="13286" max="13286" width="7.21875" style="34" customWidth="1"/>
    <col min="13287" max="13310" width="5" style="34" customWidth="1"/>
    <col min="13311" max="13311" width="25.109375" style="34" customWidth="1"/>
    <col min="13312" max="13312" width="39.6640625" style="34" customWidth="1"/>
    <col min="13313" max="13403" width="2.21875" style="34" customWidth="1"/>
    <col min="13404" max="13539" width="9" style="34"/>
    <col min="13540" max="13540" width="5.88671875" style="34" customWidth="1"/>
    <col min="13541" max="13541" width="22.77734375" style="34" bestFit="1" customWidth="1"/>
    <col min="13542" max="13542" width="7.21875" style="34" customWidth="1"/>
    <col min="13543" max="13566" width="5" style="34" customWidth="1"/>
    <col min="13567" max="13567" width="25.109375" style="34" customWidth="1"/>
    <col min="13568" max="13568" width="39.6640625" style="34" customWidth="1"/>
    <col min="13569" max="13659" width="2.21875" style="34" customWidth="1"/>
    <col min="13660" max="13795" width="9" style="34"/>
    <col min="13796" max="13796" width="5.88671875" style="34" customWidth="1"/>
    <col min="13797" max="13797" width="22.77734375" style="34" bestFit="1" customWidth="1"/>
    <col min="13798" max="13798" width="7.21875" style="34" customWidth="1"/>
    <col min="13799" max="13822" width="5" style="34" customWidth="1"/>
    <col min="13823" max="13823" width="25.109375" style="34" customWidth="1"/>
    <col min="13824" max="13824" width="39.6640625" style="34" customWidth="1"/>
    <col min="13825" max="13915" width="2.21875" style="34" customWidth="1"/>
    <col min="13916" max="14051" width="9" style="34"/>
    <col min="14052" max="14052" width="5.88671875" style="34" customWidth="1"/>
    <col min="14053" max="14053" width="22.77734375" style="34" bestFit="1" customWidth="1"/>
    <col min="14054" max="14054" width="7.21875" style="34" customWidth="1"/>
    <col min="14055" max="14078" width="5" style="34" customWidth="1"/>
    <col min="14079" max="14079" width="25.109375" style="34" customWidth="1"/>
    <col min="14080" max="14080" width="39.6640625" style="34" customWidth="1"/>
    <col min="14081" max="14171" width="2.21875" style="34" customWidth="1"/>
    <col min="14172" max="14307" width="9" style="34"/>
    <col min="14308" max="14308" width="5.88671875" style="34" customWidth="1"/>
    <col min="14309" max="14309" width="22.77734375" style="34" bestFit="1" customWidth="1"/>
    <col min="14310" max="14310" width="7.21875" style="34" customWidth="1"/>
    <col min="14311" max="14334" width="5" style="34" customWidth="1"/>
    <col min="14335" max="14335" width="25.109375" style="34" customWidth="1"/>
    <col min="14336" max="14336" width="39.6640625" style="34" customWidth="1"/>
    <col min="14337" max="14427" width="2.21875" style="34" customWidth="1"/>
    <col min="14428" max="14563" width="9" style="34"/>
    <col min="14564" max="14564" width="5.88671875" style="34" customWidth="1"/>
    <col min="14565" max="14565" width="22.77734375" style="34" bestFit="1" customWidth="1"/>
    <col min="14566" max="14566" width="7.21875" style="34" customWidth="1"/>
    <col min="14567" max="14590" width="5" style="34" customWidth="1"/>
    <col min="14591" max="14591" width="25.109375" style="34" customWidth="1"/>
    <col min="14592" max="14592" width="39.6640625" style="34" customWidth="1"/>
    <col min="14593" max="14683" width="2.21875" style="34" customWidth="1"/>
    <col min="14684" max="14819" width="9" style="34"/>
    <col min="14820" max="14820" width="5.88671875" style="34" customWidth="1"/>
    <col min="14821" max="14821" width="22.77734375" style="34" bestFit="1" customWidth="1"/>
    <col min="14822" max="14822" width="7.21875" style="34" customWidth="1"/>
    <col min="14823" max="14846" width="5" style="34" customWidth="1"/>
    <col min="14847" max="14847" width="25.109375" style="34" customWidth="1"/>
    <col min="14848" max="14848" width="39.6640625" style="34" customWidth="1"/>
    <col min="14849" max="14939" width="2.21875" style="34" customWidth="1"/>
    <col min="14940" max="15075" width="9" style="34"/>
    <col min="15076" max="15076" width="5.88671875" style="34" customWidth="1"/>
    <col min="15077" max="15077" width="22.77734375" style="34" bestFit="1" customWidth="1"/>
    <col min="15078" max="15078" width="7.21875" style="34" customWidth="1"/>
    <col min="15079" max="15102" width="5" style="34" customWidth="1"/>
    <col min="15103" max="15103" width="25.109375" style="34" customWidth="1"/>
    <col min="15104" max="15104" width="39.6640625" style="34" customWidth="1"/>
    <col min="15105" max="15195" width="2.21875" style="34" customWidth="1"/>
    <col min="15196" max="15331" width="9" style="34"/>
    <col min="15332" max="15332" width="5.88671875" style="34" customWidth="1"/>
    <col min="15333" max="15333" width="22.77734375" style="34" bestFit="1" customWidth="1"/>
    <col min="15334" max="15334" width="7.21875" style="34" customWidth="1"/>
    <col min="15335" max="15358" width="5" style="34" customWidth="1"/>
    <col min="15359" max="15359" width="25.109375" style="34" customWidth="1"/>
    <col min="15360" max="15360" width="39.6640625" style="34" customWidth="1"/>
    <col min="15361" max="15451" width="2.21875" style="34" customWidth="1"/>
    <col min="15452" max="15587" width="9" style="34"/>
    <col min="15588" max="15588" width="5.88671875" style="34" customWidth="1"/>
    <col min="15589" max="15589" width="22.77734375" style="34" bestFit="1" customWidth="1"/>
    <col min="15590" max="15590" width="7.21875" style="34" customWidth="1"/>
    <col min="15591" max="15614" width="5" style="34" customWidth="1"/>
    <col min="15615" max="15615" width="25.109375" style="34" customWidth="1"/>
    <col min="15616" max="15616" width="39.6640625" style="34" customWidth="1"/>
    <col min="15617" max="15707" width="2.21875" style="34" customWidth="1"/>
    <col min="15708" max="15843" width="9" style="34"/>
    <col min="15844" max="15844" width="5.88671875" style="34" customWidth="1"/>
    <col min="15845" max="15845" width="22.77734375" style="34" bestFit="1" customWidth="1"/>
    <col min="15846" max="15846" width="7.21875" style="34" customWidth="1"/>
    <col min="15847" max="15870" width="5" style="34" customWidth="1"/>
    <col min="15871" max="15871" width="25.109375" style="34" customWidth="1"/>
    <col min="15872" max="15872" width="39.6640625" style="34" customWidth="1"/>
    <col min="15873" max="15963" width="2.21875" style="34" customWidth="1"/>
    <col min="15964" max="16099" width="9" style="34"/>
    <col min="16100" max="16100" width="5.88671875" style="34" customWidth="1"/>
    <col min="16101" max="16101" width="22.77734375" style="34" bestFit="1" customWidth="1"/>
    <col min="16102" max="16102" width="7.21875" style="34" customWidth="1"/>
    <col min="16103" max="16126" width="5" style="34" customWidth="1"/>
    <col min="16127" max="16127" width="25.109375" style="34" customWidth="1"/>
    <col min="16128" max="16128" width="39.6640625" style="34" customWidth="1"/>
    <col min="16129" max="16219" width="2.21875" style="34" customWidth="1"/>
    <col min="16220" max="16384" width="9" style="34"/>
  </cols>
  <sheetData>
    <row r="1" spans="1:31" s="33" customFormat="1" ht="30" customHeight="1">
      <c r="A1" s="1192" t="s">
        <v>205</v>
      </c>
      <c r="B1" s="1193"/>
      <c r="C1" s="1193"/>
      <c r="D1" s="1193"/>
      <c r="E1" s="1193"/>
      <c r="F1" s="1193"/>
      <c r="G1" s="1193"/>
      <c r="H1" s="1193"/>
      <c r="I1" s="1193"/>
      <c r="J1" s="1193"/>
      <c r="K1" s="1193"/>
      <c r="L1" s="1193"/>
      <c r="M1" s="1193"/>
      <c r="N1" s="1193"/>
      <c r="O1" s="1193"/>
      <c r="P1" s="1193"/>
      <c r="Q1" s="1193"/>
      <c r="R1" s="1193"/>
      <c r="S1" s="1193"/>
      <c r="T1" s="1193"/>
      <c r="U1" s="1193"/>
      <c r="V1" s="1193"/>
      <c r="W1" s="1193"/>
      <c r="X1" s="1193"/>
      <c r="Y1" s="1193"/>
      <c r="Z1" s="1193"/>
      <c r="AA1" s="1193"/>
      <c r="AB1" s="1193"/>
      <c r="AC1" s="1193"/>
    </row>
    <row r="2" spans="1:31" s="33" customFormat="1" ht="21" customHeight="1">
      <c r="A2" s="34"/>
      <c r="B2" s="34"/>
      <c r="C2" s="34"/>
      <c r="D2" s="35"/>
      <c r="E2" s="35"/>
      <c r="F2" s="35"/>
      <c r="G2" s="35"/>
      <c r="H2" s="35"/>
      <c r="I2" s="35"/>
      <c r="J2" s="35"/>
      <c r="K2" s="35"/>
      <c r="L2" s="35"/>
      <c r="M2" s="35"/>
      <c r="N2" s="35"/>
      <c r="O2" s="35"/>
      <c r="P2" s="35"/>
      <c r="Q2" s="35"/>
      <c r="R2" s="35"/>
      <c r="S2" s="35"/>
      <c r="T2" s="35"/>
      <c r="U2" s="35"/>
      <c r="V2" s="35"/>
      <c r="W2" s="35"/>
      <c r="X2" s="35"/>
      <c r="Y2" s="35"/>
      <c r="Z2" s="35"/>
      <c r="AA2" s="35"/>
      <c r="AB2" s="35"/>
      <c r="AC2" s="35"/>
    </row>
    <row r="3" spans="1:31" s="33" customFormat="1" ht="25.5" customHeight="1">
      <c r="A3" s="1194" t="s">
        <v>646</v>
      </c>
      <c r="B3" s="1195"/>
      <c r="C3" s="1195"/>
      <c r="D3" s="1195"/>
      <c r="E3" s="1195"/>
      <c r="F3" s="1195"/>
      <c r="G3" s="1195"/>
      <c r="H3" s="1195"/>
      <c r="I3" s="1195"/>
      <c r="J3" s="1195"/>
      <c r="K3" s="1195"/>
      <c r="L3" s="1195"/>
      <c r="M3" s="1195"/>
      <c r="N3" s="1195"/>
      <c r="O3" s="1195"/>
      <c r="P3" s="1195"/>
      <c r="Q3" s="1195"/>
      <c r="R3" s="1195"/>
      <c r="S3" s="1195"/>
      <c r="T3" s="1195"/>
      <c r="U3" s="1195"/>
      <c r="V3" s="1195"/>
      <c r="W3" s="1195"/>
      <c r="X3" s="1195"/>
      <c r="Y3" s="1195"/>
      <c r="Z3" s="1195"/>
      <c r="AA3" s="1195"/>
      <c r="AB3" s="1195"/>
      <c r="AC3" s="37"/>
    </row>
    <row r="4" spans="1:31" s="42" customFormat="1" ht="13.5" customHeight="1">
      <c r="A4" s="38"/>
      <c r="B4" s="39"/>
      <c r="C4" s="37"/>
      <c r="D4" s="37"/>
      <c r="E4" s="37"/>
      <c r="F4" s="37"/>
      <c r="G4" s="37"/>
      <c r="H4" s="40"/>
      <c r="I4" s="37"/>
      <c r="J4" s="40"/>
      <c r="K4" s="40"/>
      <c r="L4" s="37"/>
      <c r="M4" s="41"/>
      <c r="N4" s="41"/>
      <c r="O4" s="41"/>
      <c r="P4" s="41"/>
      <c r="Q4" s="41"/>
      <c r="R4" s="41"/>
      <c r="S4" s="41"/>
      <c r="T4" s="41"/>
      <c r="U4" s="41"/>
      <c r="V4" s="41"/>
      <c r="W4" s="41"/>
      <c r="X4" s="40"/>
      <c r="Y4" s="37"/>
      <c r="Z4" s="40"/>
      <c r="AA4" s="37"/>
      <c r="AB4" s="40"/>
      <c r="AC4" s="37"/>
      <c r="AD4" s="40"/>
      <c r="AE4" s="40"/>
    </row>
    <row r="5" spans="1:31" ht="19.8" thickBot="1">
      <c r="B5" s="43"/>
    </row>
    <row r="6" spans="1:31" ht="23.25" customHeight="1">
      <c r="A6" s="1196"/>
      <c r="B6" s="1198" t="s">
        <v>25</v>
      </c>
      <c r="C6" s="1200" t="s">
        <v>174</v>
      </c>
      <c r="D6" s="1202" t="s">
        <v>175</v>
      </c>
      <c r="E6" s="1203"/>
      <c r="F6" s="1202" t="s">
        <v>122</v>
      </c>
      <c r="G6" s="1203"/>
      <c r="H6" s="1202" t="s">
        <v>123</v>
      </c>
      <c r="I6" s="1203"/>
      <c r="J6" s="1202" t="s">
        <v>124</v>
      </c>
      <c r="K6" s="1203"/>
      <c r="L6" s="1202" t="s">
        <v>125</v>
      </c>
      <c r="M6" s="1203"/>
      <c r="N6" s="1202" t="s">
        <v>126</v>
      </c>
      <c r="O6" s="1203"/>
      <c r="P6" s="1202" t="s">
        <v>26</v>
      </c>
      <c r="Q6" s="1203"/>
      <c r="R6" s="1202" t="s">
        <v>27</v>
      </c>
      <c r="S6" s="1203"/>
      <c r="T6" s="1202" t="s">
        <v>28</v>
      </c>
      <c r="U6" s="1203"/>
      <c r="V6" s="1216" t="s">
        <v>647</v>
      </c>
      <c r="W6" s="1203"/>
      <c r="X6" s="1202" t="s">
        <v>127</v>
      </c>
      <c r="Y6" s="1203"/>
      <c r="Z6" s="1202" t="s">
        <v>128</v>
      </c>
      <c r="AA6" s="1209"/>
      <c r="AB6" s="321" t="s">
        <v>176</v>
      </c>
      <c r="AC6" s="1210" t="s">
        <v>29</v>
      </c>
    </row>
    <row r="7" spans="1:31" ht="23.25" customHeight="1" thickBot="1">
      <c r="A7" s="1197"/>
      <c r="B7" s="1199"/>
      <c r="C7" s="1201"/>
      <c r="D7" s="93" t="s">
        <v>30</v>
      </c>
      <c r="E7" s="94" t="s">
        <v>31</v>
      </c>
      <c r="F7" s="93" t="s">
        <v>30</v>
      </c>
      <c r="G7" s="94" t="s">
        <v>31</v>
      </c>
      <c r="H7" s="93" t="s">
        <v>30</v>
      </c>
      <c r="I7" s="94" t="s">
        <v>31</v>
      </c>
      <c r="J7" s="93" t="s">
        <v>30</v>
      </c>
      <c r="K7" s="94" t="s">
        <v>31</v>
      </c>
      <c r="L7" s="93" t="s">
        <v>30</v>
      </c>
      <c r="M7" s="94" t="s">
        <v>31</v>
      </c>
      <c r="N7" s="93" t="s">
        <v>30</v>
      </c>
      <c r="O7" s="94" t="s">
        <v>31</v>
      </c>
      <c r="P7" s="93" t="s">
        <v>30</v>
      </c>
      <c r="Q7" s="94" t="s">
        <v>31</v>
      </c>
      <c r="R7" s="93" t="s">
        <v>30</v>
      </c>
      <c r="S7" s="94" t="s">
        <v>31</v>
      </c>
      <c r="T7" s="93" t="s">
        <v>30</v>
      </c>
      <c r="U7" s="94" t="s">
        <v>31</v>
      </c>
      <c r="V7" s="93" t="s">
        <v>30</v>
      </c>
      <c r="W7" s="94" t="s">
        <v>31</v>
      </c>
      <c r="X7" s="93" t="s">
        <v>30</v>
      </c>
      <c r="Y7" s="94" t="s">
        <v>31</v>
      </c>
      <c r="Z7" s="93" t="s">
        <v>30</v>
      </c>
      <c r="AA7" s="95" t="s">
        <v>31</v>
      </c>
      <c r="AB7" s="322" t="s">
        <v>32</v>
      </c>
      <c r="AC7" s="1211"/>
    </row>
    <row r="8" spans="1:31" ht="23.25" customHeight="1">
      <c r="A8" s="1204" t="s">
        <v>102</v>
      </c>
      <c r="B8" s="96" t="s">
        <v>103</v>
      </c>
      <c r="C8" s="97" t="s">
        <v>33</v>
      </c>
      <c r="D8" s="98" t="s">
        <v>327</v>
      </c>
      <c r="E8" s="99" t="s">
        <v>347</v>
      </c>
      <c r="F8" s="98" t="s">
        <v>327</v>
      </c>
      <c r="G8" s="99" t="s">
        <v>347</v>
      </c>
      <c r="H8" s="98" t="s">
        <v>327</v>
      </c>
      <c r="I8" s="99"/>
      <c r="J8" s="98" t="s">
        <v>327</v>
      </c>
      <c r="K8" s="99"/>
      <c r="L8" s="98" t="s">
        <v>327</v>
      </c>
      <c r="M8" s="99"/>
      <c r="N8" s="98" t="s">
        <v>327</v>
      </c>
      <c r="O8" s="99"/>
      <c r="P8" s="98" t="s">
        <v>327</v>
      </c>
      <c r="Q8" s="99"/>
      <c r="R8" s="98" t="s">
        <v>327</v>
      </c>
      <c r="S8" s="99"/>
      <c r="T8" s="98" t="s">
        <v>34</v>
      </c>
      <c r="U8" s="99"/>
      <c r="V8" s="98" t="s">
        <v>34</v>
      </c>
      <c r="W8" s="99"/>
      <c r="X8" s="98" t="s">
        <v>34</v>
      </c>
      <c r="Y8" s="99"/>
      <c r="Z8" s="98" t="s">
        <v>34</v>
      </c>
      <c r="AA8" s="99"/>
      <c r="AB8" s="100" t="s">
        <v>204</v>
      </c>
      <c r="AC8" s="101"/>
      <c r="AD8" s="65"/>
      <c r="AE8" s="66"/>
    </row>
    <row r="9" spans="1:31" ht="23.25" customHeight="1">
      <c r="A9" s="1212"/>
      <c r="B9" s="102" t="s">
        <v>104</v>
      </c>
      <c r="C9" s="103" t="s">
        <v>33</v>
      </c>
      <c r="D9" s="104" t="s">
        <v>327</v>
      </c>
      <c r="E9" s="105" t="s">
        <v>347</v>
      </c>
      <c r="F9" s="104" t="s">
        <v>327</v>
      </c>
      <c r="G9" s="105" t="s">
        <v>347</v>
      </c>
      <c r="H9" s="104" t="s">
        <v>327</v>
      </c>
      <c r="I9" s="105"/>
      <c r="J9" s="104" t="s">
        <v>327</v>
      </c>
      <c r="K9" s="105"/>
      <c r="L9" s="104" t="s">
        <v>327</v>
      </c>
      <c r="M9" s="105"/>
      <c r="N9" s="104" t="s">
        <v>327</v>
      </c>
      <c r="O9" s="105"/>
      <c r="P9" s="104" t="s">
        <v>327</v>
      </c>
      <c r="Q9" s="105"/>
      <c r="R9" s="104" t="s">
        <v>327</v>
      </c>
      <c r="S9" s="105"/>
      <c r="T9" s="104" t="s">
        <v>34</v>
      </c>
      <c r="U9" s="105"/>
      <c r="V9" s="104" t="s">
        <v>34</v>
      </c>
      <c r="W9" s="105"/>
      <c r="X9" s="104" t="s">
        <v>34</v>
      </c>
      <c r="Y9" s="105"/>
      <c r="Z9" s="104" t="s">
        <v>34</v>
      </c>
      <c r="AA9" s="105"/>
      <c r="AB9" s="106" t="s">
        <v>203</v>
      </c>
      <c r="AC9" s="107"/>
      <c r="AD9" s="798"/>
    </row>
    <row r="10" spans="1:31" ht="23.25" customHeight="1">
      <c r="A10" s="1212"/>
      <c r="B10" s="102" t="s">
        <v>35</v>
      </c>
      <c r="C10" s="103" t="s">
        <v>33</v>
      </c>
      <c r="D10" s="104" t="s">
        <v>327</v>
      </c>
      <c r="E10" s="105" t="s">
        <v>347</v>
      </c>
      <c r="F10" s="104" t="s">
        <v>327</v>
      </c>
      <c r="G10" s="105" t="s">
        <v>347</v>
      </c>
      <c r="H10" s="104" t="s">
        <v>327</v>
      </c>
      <c r="I10" s="105"/>
      <c r="J10" s="104" t="s">
        <v>327</v>
      </c>
      <c r="K10" s="105"/>
      <c r="L10" s="104" t="s">
        <v>327</v>
      </c>
      <c r="M10" s="105"/>
      <c r="N10" s="104" t="s">
        <v>327</v>
      </c>
      <c r="O10" s="105"/>
      <c r="P10" s="104" t="s">
        <v>327</v>
      </c>
      <c r="Q10" s="105"/>
      <c r="R10" s="104" t="s">
        <v>327</v>
      </c>
      <c r="S10" s="105"/>
      <c r="T10" s="104" t="s">
        <v>34</v>
      </c>
      <c r="U10" s="105"/>
      <c r="V10" s="104" t="s">
        <v>34</v>
      </c>
      <c r="W10" s="105"/>
      <c r="X10" s="104" t="s">
        <v>34</v>
      </c>
      <c r="Y10" s="105"/>
      <c r="Z10" s="104" t="s">
        <v>34</v>
      </c>
      <c r="AA10" s="105"/>
      <c r="AB10" s="106" t="s">
        <v>177</v>
      </c>
      <c r="AC10" s="108" t="s">
        <v>36</v>
      </c>
      <c r="AD10" s="65"/>
      <c r="AE10" s="66"/>
    </row>
    <row r="11" spans="1:31" ht="23.25" customHeight="1" thickBot="1">
      <c r="A11" s="1205"/>
      <c r="B11" s="109" t="s">
        <v>105</v>
      </c>
      <c r="C11" s="110" t="s">
        <v>33</v>
      </c>
      <c r="D11" s="111" t="s">
        <v>327</v>
      </c>
      <c r="E11" s="112" t="s">
        <v>347</v>
      </c>
      <c r="F11" s="111" t="s">
        <v>327</v>
      </c>
      <c r="G11" s="112" t="s">
        <v>347</v>
      </c>
      <c r="H11" s="111" t="s">
        <v>327</v>
      </c>
      <c r="I11" s="112"/>
      <c r="J11" s="111" t="s">
        <v>327</v>
      </c>
      <c r="K11" s="112"/>
      <c r="L11" s="111" t="s">
        <v>327</v>
      </c>
      <c r="M11" s="112"/>
      <c r="N11" s="111" t="s">
        <v>327</v>
      </c>
      <c r="O11" s="112"/>
      <c r="P11" s="111" t="s">
        <v>327</v>
      </c>
      <c r="Q11" s="112"/>
      <c r="R11" s="111" t="s">
        <v>327</v>
      </c>
      <c r="S11" s="112"/>
      <c r="T11" s="111" t="s">
        <v>34</v>
      </c>
      <c r="U11" s="112"/>
      <c r="V11" s="111" t="s">
        <v>34</v>
      </c>
      <c r="W11" s="112"/>
      <c r="X11" s="111" t="s">
        <v>34</v>
      </c>
      <c r="Y11" s="112"/>
      <c r="Z11" s="111" t="s">
        <v>34</v>
      </c>
      <c r="AA11" s="112"/>
      <c r="AB11" s="113" t="s">
        <v>190</v>
      </c>
      <c r="AC11" s="114"/>
      <c r="AD11" s="66"/>
      <c r="AE11" s="66"/>
    </row>
    <row r="12" spans="1:31" ht="23.25" customHeight="1">
      <c r="A12" s="1213" t="s">
        <v>37</v>
      </c>
      <c r="B12" s="115" t="s">
        <v>38</v>
      </c>
      <c r="C12" s="103" t="s">
        <v>331</v>
      </c>
      <c r="D12" s="117" t="s">
        <v>653</v>
      </c>
      <c r="E12" s="118" t="s">
        <v>652</v>
      </c>
      <c r="F12" s="117"/>
      <c r="G12" s="118"/>
      <c r="H12" s="117"/>
      <c r="I12" s="118"/>
      <c r="J12" s="117"/>
      <c r="K12" s="118"/>
      <c r="L12" s="117"/>
      <c r="M12" s="118"/>
      <c r="N12" s="98"/>
      <c r="O12" s="118"/>
      <c r="P12" s="98"/>
      <c r="Q12" s="118"/>
      <c r="R12" s="98"/>
      <c r="S12" s="118"/>
      <c r="T12" s="117"/>
      <c r="U12" s="118"/>
      <c r="V12" s="98"/>
      <c r="W12" s="118"/>
      <c r="X12" s="117"/>
      <c r="Y12" s="118"/>
      <c r="Z12" s="117"/>
      <c r="AA12" s="118"/>
      <c r="AB12" s="119" t="s">
        <v>181</v>
      </c>
      <c r="AC12" s="120" t="s">
        <v>195</v>
      </c>
    </row>
    <row r="13" spans="1:31" ht="23.25" customHeight="1">
      <c r="A13" s="1214"/>
      <c r="B13" s="121" t="s">
        <v>198</v>
      </c>
      <c r="C13" s="144" t="s">
        <v>336</v>
      </c>
      <c r="D13" s="104"/>
      <c r="E13" s="105"/>
      <c r="F13" s="104"/>
      <c r="G13" s="105"/>
      <c r="H13" s="104"/>
      <c r="I13" s="105"/>
      <c r="J13" s="104"/>
      <c r="K13" s="105"/>
      <c r="L13" s="104"/>
      <c r="M13" s="105"/>
      <c r="N13" s="104"/>
      <c r="O13" s="105"/>
      <c r="P13" s="117"/>
      <c r="Q13" s="118"/>
      <c r="R13" s="104"/>
      <c r="S13" s="105"/>
      <c r="T13" s="104"/>
      <c r="U13" s="105"/>
      <c r="V13" s="104"/>
      <c r="W13" s="105"/>
      <c r="X13" s="104"/>
      <c r="Y13" s="105"/>
      <c r="Z13" s="104"/>
      <c r="AA13" s="105"/>
      <c r="AB13" s="106" t="s">
        <v>181</v>
      </c>
      <c r="AC13" s="120" t="s">
        <v>197</v>
      </c>
    </row>
    <row r="14" spans="1:31" ht="23.25" customHeight="1">
      <c r="A14" s="1214"/>
      <c r="B14" s="122" t="s">
        <v>90</v>
      </c>
      <c r="C14" s="103" t="s">
        <v>331</v>
      </c>
      <c r="D14" s="104" t="s">
        <v>327</v>
      </c>
      <c r="E14" s="118" t="s">
        <v>652</v>
      </c>
      <c r="F14" s="117"/>
      <c r="G14" s="118"/>
      <c r="H14" s="123"/>
      <c r="I14" s="124"/>
      <c r="J14" s="117"/>
      <c r="K14" s="313"/>
      <c r="L14" s="117"/>
      <c r="M14" s="124"/>
      <c r="N14" s="117"/>
      <c r="O14" s="118"/>
      <c r="P14" s="117"/>
      <c r="Q14" s="118"/>
      <c r="R14" s="117"/>
      <c r="S14" s="118"/>
      <c r="T14" s="123"/>
      <c r="U14" s="118"/>
      <c r="V14" s="117"/>
      <c r="W14" s="118"/>
      <c r="X14" s="117"/>
      <c r="Y14" s="118"/>
      <c r="Z14" s="104"/>
      <c r="AA14" s="105"/>
      <c r="AB14" s="106" t="s">
        <v>181</v>
      </c>
      <c r="AC14" s="120" t="s">
        <v>196</v>
      </c>
    </row>
    <row r="15" spans="1:31" ht="23.25" customHeight="1" thickBot="1">
      <c r="A15" s="1214"/>
      <c r="B15" s="121" t="s">
        <v>39</v>
      </c>
      <c r="C15" s="103" t="s">
        <v>188</v>
      </c>
      <c r="D15" s="104"/>
      <c r="E15" s="105"/>
      <c r="F15" s="104"/>
      <c r="G15" s="105"/>
      <c r="H15" s="104"/>
      <c r="I15" s="105"/>
      <c r="J15" s="126"/>
      <c r="K15" s="105"/>
      <c r="L15" s="104" t="s">
        <v>327</v>
      </c>
      <c r="M15" s="105"/>
      <c r="N15" s="804"/>
      <c r="O15" s="105"/>
      <c r="P15" s="126"/>
      <c r="Q15" s="127"/>
      <c r="R15" s="104"/>
      <c r="S15" s="105"/>
      <c r="T15" s="104"/>
      <c r="U15" s="105"/>
      <c r="V15" s="126"/>
      <c r="W15" s="127"/>
      <c r="X15" s="104" t="s">
        <v>327</v>
      </c>
      <c r="Y15" s="105"/>
      <c r="Z15" s="104"/>
      <c r="AA15" s="105"/>
      <c r="AB15" s="106" t="s">
        <v>182</v>
      </c>
      <c r="AC15" s="107"/>
    </row>
    <row r="16" spans="1:31" ht="23.25" customHeight="1">
      <c r="A16" s="1214"/>
      <c r="B16" s="121" t="s">
        <v>40</v>
      </c>
      <c r="C16" s="144" t="s">
        <v>335</v>
      </c>
      <c r="D16" s="104" t="s">
        <v>334</v>
      </c>
      <c r="E16" s="805" t="s">
        <v>562</v>
      </c>
      <c r="F16" s="104" t="s">
        <v>334</v>
      </c>
      <c r="G16" s="805" t="s">
        <v>562</v>
      </c>
      <c r="H16" s="104" t="s">
        <v>327</v>
      </c>
      <c r="I16" s="128"/>
      <c r="J16" s="104" t="s">
        <v>334</v>
      </c>
      <c r="K16" s="128"/>
      <c r="L16" s="104" t="s">
        <v>334</v>
      </c>
      <c r="M16" s="805"/>
      <c r="N16" s="104" t="s">
        <v>297</v>
      </c>
      <c r="O16" s="805"/>
      <c r="P16" s="104" t="s">
        <v>334</v>
      </c>
      <c r="Q16" s="105"/>
      <c r="R16" s="98" t="s">
        <v>327</v>
      </c>
      <c r="S16" s="105"/>
      <c r="T16" s="98" t="s">
        <v>327</v>
      </c>
      <c r="U16" s="105"/>
      <c r="V16" s="104" t="s">
        <v>334</v>
      </c>
      <c r="W16" s="805"/>
      <c r="X16" s="104" t="s">
        <v>334</v>
      </c>
      <c r="Y16" s="805"/>
      <c r="Z16" s="806" t="s">
        <v>327</v>
      </c>
      <c r="AA16" s="805"/>
      <c r="AB16" s="106" t="s">
        <v>670</v>
      </c>
      <c r="AC16" s="125" t="s">
        <v>333</v>
      </c>
    </row>
    <row r="17" spans="1:31" ht="23.25" customHeight="1" thickBot="1">
      <c r="A17" s="1215"/>
      <c r="B17" s="130"/>
      <c r="C17" s="103"/>
      <c r="D17" s="111"/>
      <c r="E17" s="112"/>
      <c r="F17" s="111"/>
      <c r="G17" s="112"/>
      <c r="H17" s="111"/>
      <c r="I17" s="112"/>
      <c r="J17" s="111"/>
      <c r="K17" s="112"/>
      <c r="L17" s="111"/>
      <c r="M17" s="112"/>
      <c r="N17" s="111"/>
      <c r="O17" s="112"/>
      <c r="P17" s="111"/>
      <c r="Q17" s="112"/>
      <c r="R17" s="111"/>
      <c r="S17" s="112"/>
      <c r="T17" s="111"/>
      <c r="U17" s="112"/>
      <c r="V17" s="111"/>
      <c r="W17" s="112"/>
      <c r="X17" s="111"/>
      <c r="Y17" s="112"/>
      <c r="Z17" s="111"/>
      <c r="AA17" s="131"/>
      <c r="AB17" s="132"/>
      <c r="AC17" s="133"/>
    </row>
    <row r="18" spans="1:31" ht="23.25" customHeight="1">
      <c r="A18" s="1204" t="s">
        <v>41</v>
      </c>
      <c r="B18" s="134" t="s">
        <v>42</v>
      </c>
      <c r="C18" s="97" t="s">
        <v>339</v>
      </c>
      <c r="D18" s="98" t="s">
        <v>327</v>
      </c>
      <c r="E18" s="99" t="s">
        <v>649</v>
      </c>
      <c r="F18" s="98"/>
      <c r="G18" s="99"/>
      <c r="H18" s="98" t="s">
        <v>327</v>
      </c>
      <c r="I18" s="99"/>
      <c r="J18" s="98"/>
      <c r="K18" s="99"/>
      <c r="L18" s="98" t="s">
        <v>297</v>
      </c>
      <c r="M18" s="99"/>
      <c r="N18" s="98"/>
      <c r="O18" s="99"/>
      <c r="P18" s="98" t="s">
        <v>327</v>
      </c>
      <c r="Q18" s="99"/>
      <c r="R18" s="98"/>
      <c r="S18" s="99"/>
      <c r="T18" s="98" t="s">
        <v>173</v>
      </c>
      <c r="U18" s="99"/>
      <c r="V18" s="98"/>
      <c r="W18" s="99"/>
      <c r="X18" s="98" t="s">
        <v>173</v>
      </c>
      <c r="Y18" s="99"/>
      <c r="Z18" s="98"/>
      <c r="AA18" s="99"/>
      <c r="AB18" s="100" t="s">
        <v>108</v>
      </c>
      <c r="AC18" s="135" t="s">
        <v>215</v>
      </c>
    </row>
    <row r="19" spans="1:31" ht="23.25" customHeight="1" thickBot="1">
      <c r="A19" s="1205"/>
      <c r="B19" s="136"/>
      <c r="C19" s="137"/>
      <c r="D19" s="129"/>
      <c r="E19" s="124"/>
      <c r="F19" s="129"/>
      <c r="G19" s="124"/>
      <c r="H19" s="138"/>
      <c r="I19" s="124"/>
      <c r="J19" s="138"/>
      <c r="K19" s="124"/>
      <c r="L19" s="138"/>
      <c r="M19" s="124"/>
      <c r="N19" s="138"/>
      <c r="O19" s="124"/>
      <c r="P19" s="138"/>
      <c r="Q19" s="124"/>
      <c r="R19" s="138"/>
      <c r="S19" s="124"/>
      <c r="T19" s="138"/>
      <c r="U19" s="124"/>
      <c r="V19" s="138"/>
      <c r="W19" s="124"/>
      <c r="X19" s="138"/>
      <c r="Y19" s="124"/>
      <c r="Z19" s="138"/>
      <c r="AA19" s="124"/>
      <c r="AB19" s="139"/>
      <c r="AC19" s="140" t="s">
        <v>211</v>
      </c>
    </row>
    <row r="20" spans="1:31" ht="23.25" customHeight="1">
      <c r="A20" s="1204" t="s">
        <v>22</v>
      </c>
      <c r="B20" s="134" t="s">
        <v>43</v>
      </c>
      <c r="C20" s="97" t="s">
        <v>330</v>
      </c>
      <c r="D20" s="98" t="s">
        <v>327</v>
      </c>
      <c r="E20" s="99" t="s">
        <v>347</v>
      </c>
      <c r="F20" s="98" t="s">
        <v>297</v>
      </c>
      <c r="G20" s="99" t="s">
        <v>715</v>
      </c>
      <c r="H20" s="98" t="s">
        <v>327</v>
      </c>
      <c r="I20" s="99"/>
      <c r="J20" s="98" t="s">
        <v>327</v>
      </c>
      <c r="K20" s="99"/>
      <c r="L20" s="98" t="s">
        <v>327</v>
      </c>
      <c r="M20" s="99"/>
      <c r="N20" s="98" t="s">
        <v>327</v>
      </c>
      <c r="O20" s="99"/>
      <c r="P20" s="98" t="s">
        <v>327</v>
      </c>
      <c r="Q20" s="99"/>
      <c r="R20" s="98" t="s">
        <v>297</v>
      </c>
      <c r="S20" s="99"/>
      <c r="T20" s="98" t="s">
        <v>327</v>
      </c>
      <c r="U20" s="99"/>
      <c r="V20" s="98" t="s">
        <v>327</v>
      </c>
      <c r="W20" s="99"/>
      <c r="X20" s="98" t="s">
        <v>327</v>
      </c>
      <c r="Y20" s="99"/>
      <c r="Z20" s="98" t="s">
        <v>327</v>
      </c>
      <c r="AA20" s="99"/>
      <c r="AB20" s="100" t="s">
        <v>183</v>
      </c>
      <c r="AC20" s="141" t="s">
        <v>212</v>
      </c>
    </row>
    <row r="21" spans="1:31" ht="23.25" customHeight="1">
      <c r="A21" s="1212"/>
      <c r="B21" s="136" t="s">
        <v>44</v>
      </c>
      <c r="C21" s="137" t="s">
        <v>329</v>
      </c>
      <c r="D21" s="138" t="s">
        <v>327</v>
      </c>
      <c r="E21" s="124" t="s">
        <v>650</v>
      </c>
      <c r="F21" s="138"/>
      <c r="G21" s="124"/>
      <c r="H21" s="117"/>
      <c r="I21" s="118"/>
      <c r="J21" s="138" t="s">
        <v>327</v>
      </c>
      <c r="K21" s="142"/>
      <c r="L21" s="117"/>
      <c r="M21" s="118"/>
      <c r="N21" s="117"/>
      <c r="O21" s="118"/>
      <c r="P21" s="138" t="s">
        <v>327</v>
      </c>
      <c r="Q21" s="142"/>
      <c r="R21" s="806"/>
      <c r="S21" s="118"/>
      <c r="T21" s="117"/>
      <c r="U21" s="118"/>
      <c r="V21" s="806" t="s">
        <v>327</v>
      </c>
      <c r="W21" s="142"/>
      <c r="X21" s="806"/>
      <c r="Y21" s="124"/>
      <c r="Z21" s="138"/>
      <c r="AA21" s="124"/>
      <c r="AB21" s="119" t="s">
        <v>587</v>
      </c>
      <c r="AC21" s="145" t="s">
        <v>213</v>
      </c>
    </row>
    <row r="22" spans="1:31" ht="23.25" customHeight="1">
      <c r="A22" s="1212"/>
      <c r="B22" s="143" t="s">
        <v>178</v>
      </c>
      <c r="C22" s="144" t="s">
        <v>300</v>
      </c>
      <c r="D22" s="129"/>
      <c r="E22" s="128"/>
      <c r="F22" s="129" t="s">
        <v>327</v>
      </c>
      <c r="G22" s="128"/>
      <c r="H22" s="104"/>
      <c r="I22" s="128"/>
      <c r="J22" s="129" t="s">
        <v>327</v>
      </c>
      <c r="K22" s="128"/>
      <c r="L22" s="806"/>
      <c r="M22" s="805"/>
      <c r="N22" s="806" t="s">
        <v>327</v>
      </c>
      <c r="O22" s="805"/>
      <c r="P22" s="806"/>
      <c r="Q22" s="807"/>
      <c r="R22" s="806" t="s">
        <v>34</v>
      </c>
      <c r="S22" s="805"/>
      <c r="T22" s="806"/>
      <c r="U22" s="805"/>
      <c r="V22" s="806" t="s">
        <v>34</v>
      </c>
      <c r="W22" s="807"/>
      <c r="X22" s="806"/>
      <c r="Y22" s="805"/>
      <c r="Z22" s="806" t="s">
        <v>34</v>
      </c>
      <c r="AA22" s="805"/>
      <c r="AB22" s="132" t="s">
        <v>206</v>
      </c>
      <c r="AC22" s="145"/>
    </row>
    <row r="23" spans="1:31" ht="23.25" customHeight="1" thickBot="1">
      <c r="A23" s="1205"/>
      <c r="B23" s="816" t="s">
        <v>110</v>
      </c>
      <c r="C23" s="817" t="s">
        <v>209</v>
      </c>
      <c r="D23" s="818"/>
      <c r="E23" s="819"/>
      <c r="F23" s="818"/>
      <c r="G23" s="819"/>
      <c r="H23" s="818"/>
      <c r="I23" s="819"/>
      <c r="J23" s="818"/>
      <c r="K23" s="819"/>
      <c r="L23" s="818" t="s">
        <v>337</v>
      </c>
      <c r="M23" s="819"/>
      <c r="N23" s="818"/>
      <c r="O23" s="819"/>
      <c r="P23" s="818"/>
      <c r="Q23" s="820"/>
      <c r="R23" s="818"/>
      <c r="S23" s="819"/>
      <c r="T23" s="818"/>
      <c r="U23" s="819"/>
      <c r="V23" s="818"/>
      <c r="W23" s="820"/>
      <c r="X23" s="818"/>
      <c r="Y23" s="819"/>
      <c r="Z23" s="818"/>
      <c r="AA23" s="819"/>
      <c r="AB23" s="821" t="s">
        <v>187</v>
      </c>
      <c r="AC23" s="822" t="s">
        <v>214</v>
      </c>
    </row>
    <row r="24" spans="1:31" ht="23.25" customHeight="1">
      <c r="A24" s="1204" t="s">
        <v>91</v>
      </c>
      <c r="B24" s="134" t="s">
        <v>89</v>
      </c>
      <c r="C24" s="97" t="s">
        <v>331</v>
      </c>
      <c r="D24" s="98"/>
      <c r="E24" s="99"/>
      <c r="F24" s="98"/>
      <c r="G24" s="99"/>
      <c r="H24" s="98"/>
      <c r="I24" s="99"/>
      <c r="J24" s="98"/>
      <c r="K24" s="99"/>
      <c r="L24" s="98"/>
      <c r="M24" s="99"/>
      <c r="N24" s="98"/>
      <c r="O24" s="99"/>
      <c r="P24" s="98" t="s">
        <v>327</v>
      </c>
      <c r="Q24" s="99"/>
      <c r="R24" s="98"/>
      <c r="S24" s="99"/>
      <c r="T24" s="98"/>
      <c r="U24" s="99"/>
      <c r="V24" s="98"/>
      <c r="W24" s="99"/>
      <c r="X24" s="98"/>
      <c r="Y24" s="99"/>
      <c r="Z24" s="98"/>
      <c r="AA24" s="99"/>
      <c r="AB24" s="100" t="s">
        <v>184</v>
      </c>
      <c r="AC24" s="135" t="s">
        <v>208</v>
      </c>
    </row>
    <row r="25" spans="1:31" ht="23.25" customHeight="1" thickBot="1">
      <c r="A25" s="1205"/>
      <c r="B25" s="109"/>
      <c r="C25" s="110"/>
      <c r="D25" s="111"/>
      <c r="E25" s="112"/>
      <c r="F25" s="111"/>
      <c r="G25" s="112"/>
      <c r="H25" s="111"/>
      <c r="I25" s="112"/>
      <c r="J25" s="111"/>
      <c r="K25" s="112"/>
      <c r="L25" s="111"/>
      <c r="M25" s="112"/>
      <c r="N25" s="111"/>
      <c r="O25" s="112"/>
      <c r="P25" s="111"/>
      <c r="Q25" s="112"/>
      <c r="R25" s="111"/>
      <c r="S25" s="112"/>
      <c r="T25" s="111"/>
      <c r="U25" s="112"/>
      <c r="V25" s="111"/>
      <c r="W25" s="112"/>
      <c r="X25" s="111"/>
      <c r="Y25" s="112"/>
      <c r="Z25" s="111"/>
      <c r="AA25" s="112"/>
      <c r="AB25" s="113"/>
      <c r="AC25" s="147"/>
    </row>
    <row r="26" spans="1:31" ht="23.25" customHeight="1">
      <c r="A26" s="1204" t="s">
        <v>24</v>
      </c>
      <c r="B26" s="134" t="s">
        <v>45</v>
      </c>
      <c r="C26" s="97" t="s">
        <v>188</v>
      </c>
      <c r="D26" s="98" t="s">
        <v>327</v>
      </c>
      <c r="E26" s="99" t="s">
        <v>651</v>
      </c>
      <c r="F26" s="98"/>
      <c r="G26" s="99"/>
      <c r="H26" s="98"/>
      <c r="I26" s="99"/>
      <c r="J26" s="98"/>
      <c r="K26" s="99"/>
      <c r="L26" s="98"/>
      <c r="M26" s="99"/>
      <c r="N26" s="98"/>
      <c r="O26" s="99"/>
      <c r="P26" s="98" t="s">
        <v>297</v>
      </c>
      <c r="Q26" s="99"/>
      <c r="R26" s="98"/>
      <c r="S26" s="99"/>
      <c r="T26" s="98"/>
      <c r="U26" s="99"/>
      <c r="V26" s="98"/>
      <c r="W26" s="99"/>
      <c r="X26" s="98"/>
      <c r="Y26" s="99"/>
      <c r="Z26" s="98"/>
      <c r="AA26" s="99"/>
      <c r="AB26" s="100" t="s">
        <v>185</v>
      </c>
      <c r="AC26" s="141" t="s">
        <v>207</v>
      </c>
    </row>
    <row r="27" spans="1:31" ht="23.25" customHeight="1" thickBot="1">
      <c r="A27" s="1205"/>
      <c r="B27" s="109" t="s">
        <v>46</v>
      </c>
      <c r="C27" s="110" t="s">
        <v>210</v>
      </c>
      <c r="D27" s="111"/>
      <c r="E27" s="112"/>
      <c r="F27" s="111"/>
      <c r="G27" s="112"/>
      <c r="H27" s="148"/>
      <c r="I27" s="112"/>
      <c r="J27" s="111"/>
      <c r="K27" s="314"/>
      <c r="L27" s="111"/>
      <c r="M27" s="112"/>
      <c r="N27" s="148"/>
      <c r="O27" s="112"/>
      <c r="P27" s="111"/>
      <c r="Q27" s="112"/>
      <c r="R27" s="111"/>
      <c r="S27" s="112"/>
      <c r="T27" s="148"/>
      <c r="U27" s="112"/>
      <c r="V27" s="111"/>
      <c r="W27" s="112"/>
      <c r="X27" s="111"/>
      <c r="Y27" s="112"/>
      <c r="Z27" s="148"/>
      <c r="AA27" s="112"/>
      <c r="AB27" s="113" t="s">
        <v>111</v>
      </c>
      <c r="AC27" s="146" t="s">
        <v>186</v>
      </c>
    </row>
    <row r="28" spans="1:31" ht="23.25" customHeight="1">
      <c r="A28" s="1206" t="s">
        <v>23</v>
      </c>
      <c r="B28" s="122" t="s">
        <v>63</v>
      </c>
      <c r="C28" s="116" t="s">
        <v>335</v>
      </c>
      <c r="D28" s="117" t="s">
        <v>332</v>
      </c>
      <c r="E28" s="118" t="s">
        <v>652</v>
      </c>
      <c r="F28" s="117" t="s">
        <v>34</v>
      </c>
      <c r="G28" s="118" t="s">
        <v>716</v>
      </c>
      <c r="H28" s="117" t="s">
        <v>34</v>
      </c>
      <c r="I28" s="118"/>
      <c r="J28" s="123" t="s">
        <v>34</v>
      </c>
      <c r="K28" s="118"/>
      <c r="L28" s="117" t="s">
        <v>34</v>
      </c>
      <c r="M28" s="118"/>
      <c r="N28" s="123" t="s">
        <v>34</v>
      </c>
      <c r="O28" s="118"/>
      <c r="P28" s="117" t="s">
        <v>34</v>
      </c>
      <c r="Q28" s="118"/>
      <c r="R28" s="117" t="s">
        <v>34</v>
      </c>
      <c r="S28" s="118"/>
      <c r="T28" s="117" t="s">
        <v>34</v>
      </c>
      <c r="U28" s="118"/>
      <c r="V28" s="117" t="s">
        <v>34</v>
      </c>
      <c r="W28" s="118"/>
      <c r="X28" s="117" t="s">
        <v>34</v>
      </c>
      <c r="Y28" s="118"/>
      <c r="Z28" s="117" t="s">
        <v>34</v>
      </c>
      <c r="AA28" s="118"/>
      <c r="AB28" s="119" t="s">
        <v>204</v>
      </c>
      <c r="AC28" s="149"/>
    </row>
    <row r="29" spans="1:31" ht="23.25" customHeight="1">
      <c r="A29" s="1206"/>
      <c r="B29" s="150" t="s">
        <v>47</v>
      </c>
      <c r="C29" s="103" t="s">
        <v>328</v>
      </c>
      <c r="D29" s="104" t="s">
        <v>327</v>
      </c>
      <c r="E29" s="128" t="s">
        <v>669</v>
      </c>
      <c r="F29" s="104"/>
      <c r="G29" s="128"/>
      <c r="H29" s="129"/>
      <c r="I29" s="128"/>
      <c r="J29" s="129"/>
      <c r="K29" s="128"/>
      <c r="L29" s="104" t="s">
        <v>327</v>
      </c>
      <c r="M29" s="315"/>
      <c r="N29" s="104"/>
      <c r="O29" s="105"/>
      <c r="P29" s="104"/>
      <c r="Q29" s="105"/>
      <c r="R29" s="104"/>
      <c r="S29" s="105"/>
      <c r="T29" s="104" t="s">
        <v>327</v>
      </c>
      <c r="U29" s="127"/>
      <c r="V29" s="104"/>
      <c r="W29" s="127"/>
      <c r="X29" s="104"/>
      <c r="Y29" s="105"/>
      <c r="Z29" s="104"/>
      <c r="AA29" s="105"/>
      <c r="AB29" s="106" t="s">
        <v>204</v>
      </c>
      <c r="AC29" s="107"/>
    </row>
    <row r="30" spans="1:31" ht="23.25" customHeight="1">
      <c r="A30" s="1206"/>
      <c r="B30" s="150" t="s">
        <v>48</v>
      </c>
      <c r="C30" s="103" t="s">
        <v>335</v>
      </c>
      <c r="D30" s="104" t="s">
        <v>327</v>
      </c>
      <c r="E30" s="105" t="s">
        <v>649</v>
      </c>
      <c r="F30" s="104" t="s">
        <v>34</v>
      </c>
      <c r="G30" s="105" t="s">
        <v>714</v>
      </c>
      <c r="H30" s="104" t="s">
        <v>34</v>
      </c>
      <c r="I30" s="105"/>
      <c r="J30" s="104" t="s">
        <v>34</v>
      </c>
      <c r="K30" s="105"/>
      <c r="L30" s="104" t="s">
        <v>129</v>
      </c>
      <c r="M30" s="105"/>
      <c r="N30" s="104" t="s">
        <v>34</v>
      </c>
      <c r="O30" s="105"/>
      <c r="P30" s="104" t="s">
        <v>34</v>
      </c>
      <c r="Q30" s="105"/>
      <c r="R30" s="104" t="s">
        <v>129</v>
      </c>
      <c r="S30" s="105"/>
      <c r="T30" s="104" t="s">
        <v>34</v>
      </c>
      <c r="U30" s="105"/>
      <c r="V30" s="104" t="s">
        <v>34</v>
      </c>
      <c r="W30" s="105"/>
      <c r="X30" s="104" t="s">
        <v>129</v>
      </c>
      <c r="Y30" s="105"/>
      <c r="Z30" s="104" t="s">
        <v>34</v>
      </c>
      <c r="AA30" s="105"/>
      <c r="AB30" s="151" t="s">
        <v>199</v>
      </c>
      <c r="AC30" s="107"/>
    </row>
    <row r="31" spans="1:31" ht="23.25" customHeight="1" thickBot="1">
      <c r="A31" s="1207"/>
      <c r="B31" s="109" t="s">
        <v>200</v>
      </c>
      <c r="C31" s="110" t="s">
        <v>201</v>
      </c>
      <c r="D31" s="111"/>
      <c r="E31" s="112"/>
      <c r="F31" s="111"/>
      <c r="G31" s="112"/>
      <c r="H31" s="111"/>
      <c r="I31" s="112"/>
      <c r="J31" s="111"/>
      <c r="K31" s="112"/>
      <c r="L31" s="111"/>
      <c r="M31" s="112"/>
      <c r="N31" s="111" t="s">
        <v>172</v>
      </c>
      <c r="O31" s="112"/>
      <c r="P31" s="111"/>
      <c r="Q31" s="112"/>
      <c r="R31" s="111"/>
      <c r="S31" s="112"/>
      <c r="T31" s="111"/>
      <c r="U31" s="112"/>
      <c r="V31" s="111"/>
      <c r="W31" s="112"/>
      <c r="X31" s="111"/>
      <c r="Y31" s="112"/>
      <c r="Z31" s="111" t="s">
        <v>297</v>
      </c>
      <c r="AA31" s="112"/>
      <c r="AB31" s="152" t="s">
        <v>204</v>
      </c>
      <c r="AC31" s="146" t="s">
        <v>202</v>
      </c>
    </row>
    <row r="32" spans="1:31">
      <c r="A32" s="1208"/>
      <c r="B32" s="1208"/>
      <c r="C32" s="1208"/>
      <c r="D32" s="1208"/>
      <c r="E32" s="1208"/>
      <c r="F32" s="1208"/>
      <c r="G32" s="1208"/>
      <c r="H32" s="1208"/>
      <c r="I32" s="1208"/>
      <c r="J32" s="1208"/>
      <c r="K32" s="1208"/>
      <c r="L32" s="1208"/>
      <c r="M32" s="1208"/>
      <c r="N32" s="1208"/>
      <c r="O32" s="1208"/>
      <c r="P32" s="1208"/>
      <c r="Q32" s="1208"/>
      <c r="R32" s="1208"/>
      <c r="S32" s="1208"/>
      <c r="T32" s="1208"/>
      <c r="U32" s="1208"/>
      <c r="V32" s="1208"/>
      <c r="W32" s="1208"/>
      <c r="X32" s="1208"/>
      <c r="Y32" s="1208"/>
      <c r="Z32" s="1208"/>
      <c r="AA32" s="1208"/>
      <c r="AB32" s="1208"/>
      <c r="AC32" s="1208"/>
      <c r="AD32" s="44"/>
      <c r="AE32" s="44"/>
    </row>
    <row r="33" ht="14.25" customHeight="1"/>
  </sheetData>
  <mergeCells count="26">
    <mergeCell ref="A24:A25"/>
    <mergeCell ref="A26:A27"/>
    <mergeCell ref="A28:A31"/>
    <mergeCell ref="A32:AC32"/>
    <mergeCell ref="Z6:AA6"/>
    <mergeCell ref="AC6:AC7"/>
    <mergeCell ref="A8:A11"/>
    <mergeCell ref="A12:A17"/>
    <mergeCell ref="A18:A19"/>
    <mergeCell ref="A20:A23"/>
    <mergeCell ref="N6:O6"/>
    <mergeCell ref="P6:Q6"/>
    <mergeCell ref="R6:S6"/>
    <mergeCell ref="T6:U6"/>
    <mergeCell ref="V6:W6"/>
    <mergeCell ref="X6:Y6"/>
    <mergeCell ref="A1:AC1"/>
    <mergeCell ref="A3:AB3"/>
    <mergeCell ref="A6:A7"/>
    <mergeCell ref="B6:B7"/>
    <mergeCell ref="C6:C7"/>
    <mergeCell ref="D6:E6"/>
    <mergeCell ref="F6:G6"/>
    <mergeCell ref="H6:I6"/>
    <mergeCell ref="J6:K6"/>
    <mergeCell ref="L6:M6"/>
  </mergeCells>
  <phoneticPr fontId="8"/>
  <conditionalFormatting sqref="B17">
    <cfRule type="expression" dxfId="219" priority="5" stopIfTrue="1">
      <formula>$F17="無"</formula>
    </cfRule>
  </conditionalFormatting>
  <conditionalFormatting sqref="B17">
    <cfRule type="expression" dxfId="218" priority="4" stopIfTrue="1">
      <formula>$F17="無"</formula>
    </cfRule>
  </conditionalFormatting>
  <conditionalFormatting sqref="B17">
    <cfRule type="expression" dxfId="217" priority="3" stopIfTrue="1">
      <formula>$F17="無"</formula>
    </cfRule>
  </conditionalFormatting>
  <conditionalFormatting sqref="B17">
    <cfRule type="expression" dxfId="216" priority="2" stopIfTrue="1">
      <formula>$F17="無"</formula>
    </cfRule>
  </conditionalFormatting>
  <conditionalFormatting sqref="B17">
    <cfRule type="expression" dxfId="215" priority="1" stopIfTrue="1">
      <formula>$F17="無"</formula>
    </cfRule>
  </conditionalFormatting>
  <printOptions horizontalCentered="1" verticalCentered="1"/>
  <pageMargins left="0.59055118110236227" right="0" top="0.19685039370078741" bottom="0.19685039370078741" header="0.31496062992125984" footer="0.31496062992125984"/>
  <pageSetup paperSize="9" scale="64" orientation="landscape" cellComments="asDisplayed" r:id="rId1"/>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tabColor rgb="FFFF0000"/>
    <pageSetUpPr fitToPage="1"/>
  </sheetPr>
  <dimension ref="A1:DP37"/>
  <sheetViews>
    <sheetView view="pageBreakPreview" topLeftCell="A4" zoomScale="70" zoomScaleNormal="75" zoomScaleSheetLayoutView="70" workbookViewId="0">
      <selection activeCell="H23" sqref="H23"/>
    </sheetView>
  </sheetViews>
  <sheetFormatPr defaultRowHeight="13.2"/>
  <cols>
    <col min="1" max="1" width="3.77734375" style="45" customWidth="1"/>
    <col min="2" max="2" width="26.109375" style="45" customWidth="1"/>
    <col min="3" max="3" width="9.77734375" style="45" customWidth="1"/>
    <col min="4" max="27" width="6.44140625" style="45" customWidth="1"/>
    <col min="28" max="28" width="19.21875" style="45" customWidth="1"/>
    <col min="29" max="29" width="45.21875" style="45" customWidth="1"/>
    <col min="30" max="252" width="9" style="45"/>
    <col min="253" max="253" width="3.77734375" style="45" customWidth="1"/>
    <col min="254" max="254" width="20.109375" style="45" customWidth="1"/>
    <col min="255" max="255" width="9.77734375" style="45" customWidth="1"/>
    <col min="256" max="283" width="6.44140625" style="45" customWidth="1"/>
    <col min="284" max="284" width="19.21875" style="45" customWidth="1"/>
    <col min="285" max="285" width="45.21875" style="45" customWidth="1"/>
    <col min="286" max="508" width="9" style="45"/>
    <col min="509" max="509" width="3.77734375" style="45" customWidth="1"/>
    <col min="510" max="510" width="20.109375" style="45" customWidth="1"/>
    <col min="511" max="511" width="9.77734375" style="45" customWidth="1"/>
    <col min="512" max="539" width="6.44140625" style="45" customWidth="1"/>
    <col min="540" max="540" width="19.21875" style="45" customWidth="1"/>
    <col min="541" max="541" width="45.21875" style="45" customWidth="1"/>
    <col min="542" max="764" width="9" style="45"/>
    <col min="765" max="765" width="3.77734375" style="45" customWidth="1"/>
    <col min="766" max="766" width="20.109375" style="45" customWidth="1"/>
    <col min="767" max="767" width="9.77734375" style="45" customWidth="1"/>
    <col min="768" max="795" width="6.44140625" style="45" customWidth="1"/>
    <col min="796" max="796" width="19.21875" style="45" customWidth="1"/>
    <col min="797" max="797" width="45.21875" style="45" customWidth="1"/>
    <col min="798" max="1020" width="9" style="45"/>
    <col min="1021" max="1021" width="3.77734375" style="45" customWidth="1"/>
    <col min="1022" max="1022" width="20.109375" style="45" customWidth="1"/>
    <col min="1023" max="1023" width="9.77734375" style="45" customWidth="1"/>
    <col min="1024" max="1051" width="6.44140625" style="45" customWidth="1"/>
    <col min="1052" max="1052" width="19.21875" style="45" customWidth="1"/>
    <col min="1053" max="1053" width="45.21875" style="45" customWidth="1"/>
    <col min="1054" max="1276" width="9" style="45"/>
    <col min="1277" max="1277" width="3.77734375" style="45" customWidth="1"/>
    <col min="1278" max="1278" width="20.109375" style="45" customWidth="1"/>
    <col min="1279" max="1279" width="9.77734375" style="45" customWidth="1"/>
    <col min="1280" max="1307" width="6.44140625" style="45" customWidth="1"/>
    <col min="1308" max="1308" width="19.21875" style="45" customWidth="1"/>
    <col min="1309" max="1309" width="45.21875" style="45" customWidth="1"/>
    <col min="1310" max="1532" width="9" style="45"/>
    <col min="1533" max="1533" width="3.77734375" style="45" customWidth="1"/>
    <col min="1534" max="1534" width="20.109375" style="45" customWidth="1"/>
    <col min="1535" max="1535" width="9.77734375" style="45" customWidth="1"/>
    <col min="1536" max="1563" width="6.44140625" style="45" customWidth="1"/>
    <col min="1564" max="1564" width="19.21875" style="45" customWidth="1"/>
    <col min="1565" max="1565" width="45.21875" style="45" customWidth="1"/>
    <col min="1566" max="1788" width="9" style="45"/>
    <col min="1789" max="1789" width="3.77734375" style="45" customWidth="1"/>
    <col min="1790" max="1790" width="20.109375" style="45" customWidth="1"/>
    <col min="1791" max="1791" width="9.77734375" style="45" customWidth="1"/>
    <col min="1792" max="1819" width="6.44140625" style="45" customWidth="1"/>
    <col min="1820" max="1820" width="19.21875" style="45" customWidth="1"/>
    <col min="1821" max="1821" width="45.21875" style="45" customWidth="1"/>
    <col min="1822" max="2044" width="9" style="45"/>
    <col min="2045" max="2045" width="3.77734375" style="45" customWidth="1"/>
    <col min="2046" max="2046" width="20.109375" style="45" customWidth="1"/>
    <col min="2047" max="2047" width="9.77734375" style="45" customWidth="1"/>
    <col min="2048" max="2075" width="6.44140625" style="45" customWidth="1"/>
    <col min="2076" max="2076" width="19.21875" style="45" customWidth="1"/>
    <col min="2077" max="2077" width="45.21875" style="45" customWidth="1"/>
    <col min="2078" max="2300" width="9" style="45"/>
    <col min="2301" max="2301" width="3.77734375" style="45" customWidth="1"/>
    <col min="2302" max="2302" width="20.109375" style="45" customWidth="1"/>
    <col min="2303" max="2303" width="9.77734375" style="45" customWidth="1"/>
    <col min="2304" max="2331" width="6.44140625" style="45" customWidth="1"/>
    <col min="2332" max="2332" width="19.21875" style="45" customWidth="1"/>
    <col min="2333" max="2333" width="45.21875" style="45" customWidth="1"/>
    <col min="2334" max="2556" width="9" style="45"/>
    <col min="2557" max="2557" width="3.77734375" style="45" customWidth="1"/>
    <col min="2558" max="2558" width="20.109375" style="45" customWidth="1"/>
    <col min="2559" max="2559" width="9.77734375" style="45" customWidth="1"/>
    <col min="2560" max="2587" width="6.44140625" style="45" customWidth="1"/>
    <col min="2588" max="2588" width="19.21875" style="45" customWidth="1"/>
    <col min="2589" max="2589" width="45.21875" style="45" customWidth="1"/>
    <col min="2590" max="2812" width="9" style="45"/>
    <col min="2813" max="2813" width="3.77734375" style="45" customWidth="1"/>
    <col min="2814" max="2814" width="20.109375" style="45" customWidth="1"/>
    <col min="2815" max="2815" width="9.77734375" style="45" customWidth="1"/>
    <col min="2816" max="2843" width="6.44140625" style="45" customWidth="1"/>
    <col min="2844" max="2844" width="19.21875" style="45" customWidth="1"/>
    <col min="2845" max="2845" width="45.21875" style="45" customWidth="1"/>
    <col min="2846" max="3068" width="9" style="45"/>
    <col min="3069" max="3069" width="3.77734375" style="45" customWidth="1"/>
    <col min="3070" max="3070" width="20.109375" style="45" customWidth="1"/>
    <col min="3071" max="3071" width="9.77734375" style="45" customWidth="1"/>
    <col min="3072" max="3099" width="6.44140625" style="45" customWidth="1"/>
    <col min="3100" max="3100" width="19.21875" style="45" customWidth="1"/>
    <col min="3101" max="3101" width="45.21875" style="45" customWidth="1"/>
    <col min="3102" max="3324" width="9" style="45"/>
    <col min="3325" max="3325" width="3.77734375" style="45" customWidth="1"/>
    <col min="3326" max="3326" width="20.109375" style="45" customWidth="1"/>
    <col min="3327" max="3327" width="9.77734375" style="45" customWidth="1"/>
    <col min="3328" max="3355" width="6.44140625" style="45" customWidth="1"/>
    <col min="3356" max="3356" width="19.21875" style="45" customWidth="1"/>
    <col min="3357" max="3357" width="45.21875" style="45" customWidth="1"/>
    <col min="3358" max="3580" width="9" style="45"/>
    <col min="3581" max="3581" width="3.77734375" style="45" customWidth="1"/>
    <col min="3582" max="3582" width="20.109375" style="45" customWidth="1"/>
    <col min="3583" max="3583" width="9.77734375" style="45" customWidth="1"/>
    <col min="3584" max="3611" width="6.44140625" style="45" customWidth="1"/>
    <col min="3612" max="3612" width="19.21875" style="45" customWidth="1"/>
    <col min="3613" max="3613" width="45.21875" style="45" customWidth="1"/>
    <col min="3614" max="3836" width="9" style="45"/>
    <col min="3837" max="3837" width="3.77734375" style="45" customWidth="1"/>
    <col min="3838" max="3838" width="20.109375" style="45" customWidth="1"/>
    <col min="3839" max="3839" width="9.77734375" style="45" customWidth="1"/>
    <col min="3840" max="3867" width="6.44140625" style="45" customWidth="1"/>
    <col min="3868" max="3868" width="19.21875" style="45" customWidth="1"/>
    <col min="3869" max="3869" width="45.21875" style="45" customWidth="1"/>
    <col min="3870" max="4092" width="9" style="45"/>
    <col min="4093" max="4093" width="3.77734375" style="45" customWidth="1"/>
    <col min="4094" max="4094" width="20.109375" style="45" customWidth="1"/>
    <col min="4095" max="4095" width="9.77734375" style="45" customWidth="1"/>
    <col min="4096" max="4123" width="6.44140625" style="45" customWidth="1"/>
    <col min="4124" max="4124" width="19.21875" style="45" customWidth="1"/>
    <col min="4125" max="4125" width="45.21875" style="45" customWidth="1"/>
    <col min="4126" max="4348" width="9" style="45"/>
    <col min="4349" max="4349" width="3.77734375" style="45" customWidth="1"/>
    <col min="4350" max="4350" width="20.109375" style="45" customWidth="1"/>
    <col min="4351" max="4351" width="9.77734375" style="45" customWidth="1"/>
    <col min="4352" max="4379" width="6.44140625" style="45" customWidth="1"/>
    <col min="4380" max="4380" width="19.21875" style="45" customWidth="1"/>
    <col min="4381" max="4381" width="45.21875" style="45" customWidth="1"/>
    <col min="4382" max="4604" width="9" style="45"/>
    <col min="4605" max="4605" width="3.77734375" style="45" customWidth="1"/>
    <col min="4606" max="4606" width="20.109375" style="45" customWidth="1"/>
    <col min="4607" max="4607" width="9.77734375" style="45" customWidth="1"/>
    <col min="4608" max="4635" width="6.44140625" style="45" customWidth="1"/>
    <col min="4636" max="4636" width="19.21875" style="45" customWidth="1"/>
    <col min="4637" max="4637" width="45.21875" style="45" customWidth="1"/>
    <col min="4638" max="4860" width="9" style="45"/>
    <col min="4861" max="4861" width="3.77734375" style="45" customWidth="1"/>
    <col min="4862" max="4862" width="20.109375" style="45" customWidth="1"/>
    <col min="4863" max="4863" width="9.77734375" style="45" customWidth="1"/>
    <col min="4864" max="4891" width="6.44140625" style="45" customWidth="1"/>
    <col min="4892" max="4892" width="19.21875" style="45" customWidth="1"/>
    <col min="4893" max="4893" width="45.21875" style="45" customWidth="1"/>
    <col min="4894" max="5116" width="9" style="45"/>
    <col min="5117" max="5117" width="3.77734375" style="45" customWidth="1"/>
    <col min="5118" max="5118" width="20.109375" style="45" customWidth="1"/>
    <col min="5119" max="5119" width="9.77734375" style="45" customWidth="1"/>
    <col min="5120" max="5147" width="6.44140625" style="45" customWidth="1"/>
    <col min="5148" max="5148" width="19.21875" style="45" customWidth="1"/>
    <col min="5149" max="5149" width="45.21875" style="45" customWidth="1"/>
    <col min="5150" max="5372" width="9" style="45"/>
    <col min="5373" max="5373" width="3.77734375" style="45" customWidth="1"/>
    <col min="5374" max="5374" width="20.109375" style="45" customWidth="1"/>
    <col min="5375" max="5375" width="9.77734375" style="45" customWidth="1"/>
    <col min="5376" max="5403" width="6.44140625" style="45" customWidth="1"/>
    <col min="5404" max="5404" width="19.21875" style="45" customWidth="1"/>
    <col min="5405" max="5405" width="45.21875" style="45" customWidth="1"/>
    <col min="5406" max="5628" width="9" style="45"/>
    <col min="5629" max="5629" width="3.77734375" style="45" customWidth="1"/>
    <col min="5630" max="5630" width="20.109375" style="45" customWidth="1"/>
    <col min="5631" max="5631" width="9.77734375" style="45" customWidth="1"/>
    <col min="5632" max="5659" width="6.44140625" style="45" customWidth="1"/>
    <col min="5660" max="5660" width="19.21875" style="45" customWidth="1"/>
    <col min="5661" max="5661" width="45.21875" style="45" customWidth="1"/>
    <col min="5662" max="5884" width="9" style="45"/>
    <col min="5885" max="5885" width="3.77734375" style="45" customWidth="1"/>
    <col min="5886" max="5886" width="20.109375" style="45" customWidth="1"/>
    <col min="5887" max="5887" width="9.77734375" style="45" customWidth="1"/>
    <col min="5888" max="5915" width="6.44140625" style="45" customWidth="1"/>
    <col min="5916" max="5916" width="19.21875" style="45" customWidth="1"/>
    <col min="5917" max="5917" width="45.21875" style="45" customWidth="1"/>
    <col min="5918" max="6140" width="9" style="45"/>
    <col min="6141" max="6141" width="3.77734375" style="45" customWidth="1"/>
    <col min="6142" max="6142" width="20.109375" style="45" customWidth="1"/>
    <col min="6143" max="6143" width="9.77734375" style="45" customWidth="1"/>
    <col min="6144" max="6171" width="6.44140625" style="45" customWidth="1"/>
    <col min="6172" max="6172" width="19.21875" style="45" customWidth="1"/>
    <col min="6173" max="6173" width="45.21875" style="45" customWidth="1"/>
    <col min="6174" max="6396" width="9" style="45"/>
    <col min="6397" max="6397" width="3.77734375" style="45" customWidth="1"/>
    <col min="6398" max="6398" width="20.109375" style="45" customWidth="1"/>
    <col min="6399" max="6399" width="9.77734375" style="45" customWidth="1"/>
    <col min="6400" max="6427" width="6.44140625" style="45" customWidth="1"/>
    <col min="6428" max="6428" width="19.21875" style="45" customWidth="1"/>
    <col min="6429" max="6429" width="45.21875" style="45" customWidth="1"/>
    <col min="6430" max="6652" width="9" style="45"/>
    <col min="6653" max="6653" width="3.77734375" style="45" customWidth="1"/>
    <col min="6654" max="6654" width="20.109375" style="45" customWidth="1"/>
    <col min="6655" max="6655" width="9.77734375" style="45" customWidth="1"/>
    <col min="6656" max="6683" width="6.44140625" style="45" customWidth="1"/>
    <col min="6684" max="6684" width="19.21875" style="45" customWidth="1"/>
    <col min="6685" max="6685" width="45.21875" style="45" customWidth="1"/>
    <col min="6686" max="6908" width="9" style="45"/>
    <col min="6909" max="6909" width="3.77734375" style="45" customWidth="1"/>
    <col min="6910" max="6910" width="20.109375" style="45" customWidth="1"/>
    <col min="6911" max="6911" width="9.77734375" style="45" customWidth="1"/>
    <col min="6912" max="6939" width="6.44140625" style="45" customWidth="1"/>
    <col min="6940" max="6940" width="19.21875" style="45" customWidth="1"/>
    <col min="6941" max="6941" width="45.21875" style="45" customWidth="1"/>
    <col min="6942" max="7164" width="9" style="45"/>
    <col min="7165" max="7165" width="3.77734375" style="45" customWidth="1"/>
    <col min="7166" max="7166" width="20.109375" style="45" customWidth="1"/>
    <col min="7167" max="7167" width="9.77734375" style="45" customWidth="1"/>
    <col min="7168" max="7195" width="6.44140625" style="45" customWidth="1"/>
    <col min="7196" max="7196" width="19.21875" style="45" customWidth="1"/>
    <col min="7197" max="7197" width="45.21875" style="45" customWidth="1"/>
    <col min="7198" max="7420" width="9" style="45"/>
    <col min="7421" max="7421" width="3.77734375" style="45" customWidth="1"/>
    <col min="7422" max="7422" width="20.109375" style="45" customWidth="1"/>
    <col min="7423" max="7423" width="9.77734375" style="45" customWidth="1"/>
    <col min="7424" max="7451" width="6.44140625" style="45" customWidth="1"/>
    <col min="7452" max="7452" width="19.21875" style="45" customWidth="1"/>
    <col min="7453" max="7453" width="45.21875" style="45" customWidth="1"/>
    <col min="7454" max="7676" width="9" style="45"/>
    <col min="7677" max="7677" width="3.77734375" style="45" customWidth="1"/>
    <col min="7678" max="7678" width="20.109375" style="45" customWidth="1"/>
    <col min="7679" max="7679" width="9.77734375" style="45" customWidth="1"/>
    <col min="7680" max="7707" width="6.44140625" style="45" customWidth="1"/>
    <col min="7708" max="7708" width="19.21875" style="45" customWidth="1"/>
    <col min="7709" max="7709" width="45.21875" style="45" customWidth="1"/>
    <col min="7710" max="7932" width="9" style="45"/>
    <col min="7933" max="7933" width="3.77734375" style="45" customWidth="1"/>
    <col min="7934" max="7934" width="20.109375" style="45" customWidth="1"/>
    <col min="7935" max="7935" width="9.77734375" style="45" customWidth="1"/>
    <col min="7936" max="7963" width="6.44140625" style="45" customWidth="1"/>
    <col min="7964" max="7964" width="19.21875" style="45" customWidth="1"/>
    <col min="7965" max="7965" width="45.21875" style="45" customWidth="1"/>
    <col min="7966" max="8188" width="9" style="45"/>
    <col min="8189" max="8189" width="3.77734375" style="45" customWidth="1"/>
    <col min="8190" max="8190" width="20.109375" style="45" customWidth="1"/>
    <col min="8191" max="8191" width="9.77734375" style="45" customWidth="1"/>
    <col min="8192" max="8219" width="6.44140625" style="45" customWidth="1"/>
    <col min="8220" max="8220" width="19.21875" style="45" customWidth="1"/>
    <col min="8221" max="8221" width="45.21875" style="45" customWidth="1"/>
    <col min="8222" max="8444" width="9" style="45"/>
    <col min="8445" max="8445" width="3.77734375" style="45" customWidth="1"/>
    <col min="8446" max="8446" width="20.109375" style="45" customWidth="1"/>
    <col min="8447" max="8447" width="9.77734375" style="45" customWidth="1"/>
    <col min="8448" max="8475" width="6.44140625" style="45" customWidth="1"/>
    <col min="8476" max="8476" width="19.21875" style="45" customWidth="1"/>
    <col min="8477" max="8477" width="45.21875" style="45" customWidth="1"/>
    <col min="8478" max="8700" width="9" style="45"/>
    <col min="8701" max="8701" width="3.77734375" style="45" customWidth="1"/>
    <col min="8702" max="8702" width="20.109375" style="45" customWidth="1"/>
    <col min="8703" max="8703" width="9.77734375" style="45" customWidth="1"/>
    <col min="8704" max="8731" width="6.44140625" style="45" customWidth="1"/>
    <col min="8732" max="8732" width="19.21875" style="45" customWidth="1"/>
    <col min="8733" max="8733" width="45.21875" style="45" customWidth="1"/>
    <col min="8734" max="8956" width="9" style="45"/>
    <col min="8957" max="8957" width="3.77734375" style="45" customWidth="1"/>
    <col min="8958" max="8958" width="20.109375" style="45" customWidth="1"/>
    <col min="8959" max="8959" width="9.77734375" style="45" customWidth="1"/>
    <col min="8960" max="8987" width="6.44140625" style="45" customWidth="1"/>
    <col min="8988" max="8988" width="19.21875" style="45" customWidth="1"/>
    <col min="8989" max="8989" width="45.21875" style="45" customWidth="1"/>
    <col min="8990" max="9212" width="9" style="45"/>
    <col min="9213" max="9213" width="3.77734375" style="45" customWidth="1"/>
    <col min="9214" max="9214" width="20.109375" style="45" customWidth="1"/>
    <col min="9215" max="9215" width="9.77734375" style="45" customWidth="1"/>
    <col min="9216" max="9243" width="6.44140625" style="45" customWidth="1"/>
    <col min="9244" max="9244" width="19.21875" style="45" customWidth="1"/>
    <col min="9245" max="9245" width="45.21875" style="45" customWidth="1"/>
    <col min="9246" max="9468" width="9" style="45"/>
    <col min="9469" max="9469" width="3.77734375" style="45" customWidth="1"/>
    <col min="9470" max="9470" width="20.109375" style="45" customWidth="1"/>
    <col min="9471" max="9471" width="9.77734375" style="45" customWidth="1"/>
    <col min="9472" max="9499" width="6.44140625" style="45" customWidth="1"/>
    <col min="9500" max="9500" width="19.21875" style="45" customWidth="1"/>
    <col min="9501" max="9501" width="45.21875" style="45" customWidth="1"/>
    <col min="9502" max="9724" width="9" style="45"/>
    <col min="9725" max="9725" width="3.77734375" style="45" customWidth="1"/>
    <col min="9726" max="9726" width="20.109375" style="45" customWidth="1"/>
    <col min="9727" max="9727" width="9.77734375" style="45" customWidth="1"/>
    <col min="9728" max="9755" width="6.44140625" style="45" customWidth="1"/>
    <col min="9756" max="9756" width="19.21875" style="45" customWidth="1"/>
    <col min="9757" max="9757" width="45.21875" style="45" customWidth="1"/>
    <col min="9758" max="9980" width="9" style="45"/>
    <col min="9981" max="9981" width="3.77734375" style="45" customWidth="1"/>
    <col min="9982" max="9982" width="20.109375" style="45" customWidth="1"/>
    <col min="9983" max="9983" width="9.77734375" style="45" customWidth="1"/>
    <col min="9984" max="10011" width="6.44140625" style="45" customWidth="1"/>
    <col min="10012" max="10012" width="19.21875" style="45" customWidth="1"/>
    <col min="10013" max="10013" width="45.21875" style="45" customWidth="1"/>
    <col min="10014" max="10236" width="9" style="45"/>
    <col min="10237" max="10237" width="3.77734375" style="45" customWidth="1"/>
    <col min="10238" max="10238" width="20.109375" style="45" customWidth="1"/>
    <col min="10239" max="10239" width="9.77734375" style="45" customWidth="1"/>
    <col min="10240" max="10267" width="6.44140625" style="45" customWidth="1"/>
    <col min="10268" max="10268" width="19.21875" style="45" customWidth="1"/>
    <col min="10269" max="10269" width="45.21875" style="45" customWidth="1"/>
    <col min="10270" max="10492" width="9" style="45"/>
    <col min="10493" max="10493" width="3.77734375" style="45" customWidth="1"/>
    <col min="10494" max="10494" width="20.109375" style="45" customWidth="1"/>
    <col min="10495" max="10495" width="9.77734375" style="45" customWidth="1"/>
    <col min="10496" max="10523" width="6.44140625" style="45" customWidth="1"/>
    <col min="10524" max="10524" width="19.21875" style="45" customWidth="1"/>
    <col min="10525" max="10525" width="45.21875" style="45" customWidth="1"/>
    <col min="10526" max="10748" width="9" style="45"/>
    <col min="10749" max="10749" width="3.77734375" style="45" customWidth="1"/>
    <col min="10750" max="10750" width="20.109375" style="45" customWidth="1"/>
    <col min="10751" max="10751" width="9.77734375" style="45" customWidth="1"/>
    <col min="10752" max="10779" width="6.44140625" style="45" customWidth="1"/>
    <col min="10780" max="10780" width="19.21875" style="45" customWidth="1"/>
    <col min="10781" max="10781" width="45.21875" style="45" customWidth="1"/>
    <col min="10782" max="11004" width="9" style="45"/>
    <col min="11005" max="11005" width="3.77734375" style="45" customWidth="1"/>
    <col min="11006" max="11006" width="20.109375" style="45" customWidth="1"/>
    <col min="11007" max="11007" width="9.77734375" style="45" customWidth="1"/>
    <col min="11008" max="11035" width="6.44140625" style="45" customWidth="1"/>
    <col min="11036" max="11036" width="19.21875" style="45" customWidth="1"/>
    <col min="11037" max="11037" width="45.21875" style="45" customWidth="1"/>
    <col min="11038" max="11260" width="9" style="45"/>
    <col min="11261" max="11261" width="3.77734375" style="45" customWidth="1"/>
    <col min="11262" max="11262" width="20.109375" style="45" customWidth="1"/>
    <col min="11263" max="11263" width="9.77734375" style="45" customWidth="1"/>
    <col min="11264" max="11291" width="6.44140625" style="45" customWidth="1"/>
    <col min="11292" max="11292" width="19.21875" style="45" customWidth="1"/>
    <col min="11293" max="11293" width="45.21875" style="45" customWidth="1"/>
    <col min="11294" max="11516" width="9" style="45"/>
    <col min="11517" max="11517" width="3.77734375" style="45" customWidth="1"/>
    <col min="11518" max="11518" width="20.109375" style="45" customWidth="1"/>
    <col min="11519" max="11519" width="9.77734375" style="45" customWidth="1"/>
    <col min="11520" max="11547" width="6.44140625" style="45" customWidth="1"/>
    <col min="11548" max="11548" width="19.21875" style="45" customWidth="1"/>
    <col min="11549" max="11549" width="45.21875" style="45" customWidth="1"/>
    <col min="11550" max="11772" width="9" style="45"/>
    <col min="11773" max="11773" width="3.77734375" style="45" customWidth="1"/>
    <col min="11774" max="11774" width="20.109375" style="45" customWidth="1"/>
    <col min="11775" max="11775" width="9.77734375" style="45" customWidth="1"/>
    <col min="11776" max="11803" width="6.44140625" style="45" customWidth="1"/>
    <col min="11804" max="11804" width="19.21875" style="45" customWidth="1"/>
    <col min="11805" max="11805" width="45.21875" style="45" customWidth="1"/>
    <col min="11806" max="12028" width="9" style="45"/>
    <col min="12029" max="12029" width="3.77734375" style="45" customWidth="1"/>
    <col min="12030" max="12030" width="20.109375" style="45" customWidth="1"/>
    <col min="12031" max="12031" width="9.77734375" style="45" customWidth="1"/>
    <col min="12032" max="12059" width="6.44140625" style="45" customWidth="1"/>
    <col min="12060" max="12060" width="19.21875" style="45" customWidth="1"/>
    <col min="12061" max="12061" width="45.21875" style="45" customWidth="1"/>
    <col min="12062" max="12284" width="9" style="45"/>
    <col min="12285" max="12285" width="3.77734375" style="45" customWidth="1"/>
    <col min="12286" max="12286" width="20.109375" style="45" customWidth="1"/>
    <col min="12287" max="12287" width="9.77734375" style="45" customWidth="1"/>
    <col min="12288" max="12315" width="6.44140625" style="45" customWidth="1"/>
    <col min="12316" max="12316" width="19.21875" style="45" customWidth="1"/>
    <col min="12317" max="12317" width="45.21875" style="45" customWidth="1"/>
    <col min="12318" max="12540" width="9" style="45"/>
    <col min="12541" max="12541" width="3.77734375" style="45" customWidth="1"/>
    <col min="12542" max="12542" width="20.109375" style="45" customWidth="1"/>
    <col min="12543" max="12543" width="9.77734375" style="45" customWidth="1"/>
    <col min="12544" max="12571" width="6.44140625" style="45" customWidth="1"/>
    <col min="12572" max="12572" width="19.21875" style="45" customWidth="1"/>
    <col min="12573" max="12573" width="45.21875" style="45" customWidth="1"/>
    <col min="12574" max="12796" width="9" style="45"/>
    <col min="12797" max="12797" width="3.77734375" style="45" customWidth="1"/>
    <col min="12798" max="12798" width="20.109375" style="45" customWidth="1"/>
    <col min="12799" max="12799" width="9.77734375" style="45" customWidth="1"/>
    <col min="12800" max="12827" width="6.44140625" style="45" customWidth="1"/>
    <col min="12828" max="12828" width="19.21875" style="45" customWidth="1"/>
    <col min="12829" max="12829" width="45.21875" style="45" customWidth="1"/>
    <col min="12830" max="13052" width="9" style="45"/>
    <col min="13053" max="13053" width="3.77734375" style="45" customWidth="1"/>
    <col min="13054" max="13054" width="20.109375" style="45" customWidth="1"/>
    <col min="13055" max="13055" width="9.77734375" style="45" customWidth="1"/>
    <col min="13056" max="13083" width="6.44140625" style="45" customWidth="1"/>
    <col min="13084" max="13084" width="19.21875" style="45" customWidth="1"/>
    <col min="13085" max="13085" width="45.21875" style="45" customWidth="1"/>
    <col min="13086" max="13308" width="9" style="45"/>
    <col min="13309" max="13309" width="3.77734375" style="45" customWidth="1"/>
    <col min="13310" max="13310" width="20.109375" style="45" customWidth="1"/>
    <col min="13311" max="13311" width="9.77734375" style="45" customWidth="1"/>
    <col min="13312" max="13339" width="6.44140625" style="45" customWidth="1"/>
    <col min="13340" max="13340" width="19.21875" style="45" customWidth="1"/>
    <col min="13341" max="13341" width="45.21875" style="45" customWidth="1"/>
    <col min="13342" max="13564" width="9" style="45"/>
    <col min="13565" max="13565" width="3.77734375" style="45" customWidth="1"/>
    <col min="13566" max="13566" width="20.109375" style="45" customWidth="1"/>
    <col min="13567" max="13567" width="9.77734375" style="45" customWidth="1"/>
    <col min="13568" max="13595" width="6.44140625" style="45" customWidth="1"/>
    <col min="13596" max="13596" width="19.21875" style="45" customWidth="1"/>
    <col min="13597" max="13597" width="45.21875" style="45" customWidth="1"/>
    <col min="13598" max="13820" width="9" style="45"/>
    <col min="13821" max="13821" width="3.77734375" style="45" customWidth="1"/>
    <col min="13822" max="13822" width="20.109375" style="45" customWidth="1"/>
    <col min="13823" max="13823" width="9.77734375" style="45" customWidth="1"/>
    <col min="13824" max="13851" width="6.44140625" style="45" customWidth="1"/>
    <col min="13852" max="13852" width="19.21875" style="45" customWidth="1"/>
    <col min="13853" max="13853" width="45.21875" style="45" customWidth="1"/>
    <col min="13854" max="14076" width="9" style="45"/>
    <col min="14077" max="14077" width="3.77734375" style="45" customWidth="1"/>
    <col min="14078" max="14078" width="20.109375" style="45" customWidth="1"/>
    <col min="14079" max="14079" width="9.77734375" style="45" customWidth="1"/>
    <col min="14080" max="14107" width="6.44140625" style="45" customWidth="1"/>
    <col min="14108" max="14108" width="19.21875" style="45" customWidth="1"/>
    <col min="14109" max="14109" width="45.21875" style="45" customWidth="1"/>
    <col min="14110" max="14332" width="9" style="45"/>
    <col min="14333" max="14333" width="3.77734375" style="45" customWidth="1"/>
    <col min="14334" max="14334" width="20.109375" style="45" customWidth="1"/>
    <col min="14335" max="14335" width="9.77734375" style="45" customWidth="1"/>
    <col min="14336" max="14363" width="6.44140625" style="45" customWidth="1"/>
    <col min="14364" max="14364" width="19.21875" style="45" customWidth="1"/>
    <col min="14365" max="14365" width="45.21875" style="45" customWidth="1"/>
    <col min="14366" max="14588" width="9" style="45"/>
    <col min="14589" max="14589" width="3.77734375" style="45" customWidth="1"/>
    <col min="14590" max="14590" width="20.109375" style="45" customWidth="1"/>
    <col min="14591" max="14591" width="9.77734375" style="45" customWidth="1"/>
    <col min="14592" max="14619" width="6.44140625" style="45" customWidth="1"/>
    <col min="14620" max="14620" width="19.21875" style="45" customWidth="1"/>
    <col min="14621" max="14621" width="45.21875" style="45" customWidth="1"/>
    <col min="14622" max="14844" width="9" style="45"/>
    <col min="14845" max="14845" width="3.77734375" style="45" customWidth="1"/>
    <col min="14846" max="14846" width="20.109375" style="45" customWidth="1"/>
    <col min="14847" max="14847" width="9.77734375" style="45" customWidth="1"/>
    <col min="14848" max="14875" width="6.44140625" style="45" customWidth="1"/>
    <col min="14876" max="14876" width="19.21875" style="45" customWidth="1"/>
    <col min="14877" max="14877" width="45.21875" style="45" customWidth="1"/>
    <col min="14878" max="15100" width="9" style="45"/>
    <col min="15101" max="15101" width="3.77734375" style="45" customWidth="1"/>
    <col min="15102" max="15102" width="20.109375" style="45" customWidth="1"/>
    <col min="15103" max="15103" width="9.77734375" style="45" customWidth="1"/>
    <col min="15104" max="15131" width="6.44140625" style="45" customWidth="1"/>
    <col min="15132" max="15132" width="19.21875" style="45" customWidth="1"/>
    <col min="15133" max="15133" width="45.21875" style="45" customWidth="1"/>
    <col min="15134" max="15356" width="9" style="45"/>
    <col min="15357" max="15357" width="3.77734375" style="45" customWidth="1"/>
    <col min="15358" max="15358" width="20.109375" style="45" customWidth="1"/>
    <col min="15359" max="15359" width="9.77734375" style="45" customWidth="1"/>
    <col min="15360" max="15387" width="6.44140625" style="45" customWidth="1"/>
    <col min="15388" max="15388" width="19.21875" style="45" customWidth="1"/>
    <col min="15389" max="15389" width="45.21875" style="45" customWidth="1"/>
    <col min="15390" max="15612" width="9" style="45"/>
    <col min="15613" max="15613" width="3.77734375" style="45" customWidth="1"/>
    <col min="15614" max="15614" width="20.109375" style="45" customWidth="1"/>
    <col min="15615" max="15615" width="9.77734375" style="45" customWidth="1"/>
    <col min="15616" max="15643" width="6.44140625" style="45" customWidth="1"/>
    <col min="15644" max="15644" width="19.21875" style="45" customWidth="1"/>
    <col min="15645" max="15645" width="45.21875" style="45" customWidth="1"/>
    <col min="15646" max="15868" width="9" style="45"/>
    <col min="15869" max="15869" width="3.77734375" style="45" customWidth="1"/>
    <col min="15870" max="15870" width="20.109375" style="45" customWidth="1"/>
    <col min="15871" max="15871" width="9.77734375" style="45" customWidth="1"/>
    <col min="15872" max="15899" width="6.44140625" style="45" customWidth="1"/>
    <col min="15900" max="15900" width="19.21875" style="45" customWidth="1"/>
    <col min="15901" max="15901" width="45.21875" style="45" customWidth="1"/>
    <col min="15902" max="16124" width="9" style="45"/>
    <col min="16125" max="16125" width="3.77734375" style="45" customWidth="1"/>
    <col min="16126" max="16126" width="20.109375" style="45" customWidth="1"/>
    <col min="16127" max="16127" width="9.77734375" style="45" customWidth="1"/>
    <col min="16128" max="16155" width="6.44140625" style="45" customWidth="1"/>
    <col min="16156" max="16156" width="19.21875" style="45" customWidth="1"/>
    <col min="16157" max="16157" width="45.21875" style="45" customWidth="1"/>
    <col min="16158" max="16384" width="9" style="45"/>
  </cols>
  <sheetData>
    <row r="1" spans="1:120" ht="30" customHeight="1">
      <c r="A1" s="1217" t="s">
        <v>228</v>
      </c>
      <c r="B1" s="1217"/>
      <c r="C1" s="1217"/>
      <c r="D1" s="1217"/>
      <c r="E1" s="1217"/>
      <c r="F1" s="1217"/>
      <c r="G1" s="1217"/>
      <c r="H1" s="1217"/>
      <c r="I1" s="1217"/>
      <c r="J1" s="1217"/>
      <c r="K1" s="1217"/>
      <c r="L1" s="1217"/>
      <c r="M1" s="1217"/>
      <c r="N1" s="1217"/>
      <c r="O1" s="1217"/>
      <c r="P1" s="1217"/>
      <c r="Q1" s="1217"/>
      <c r="R1" s="1217"/>
      <c r="S1" s="1217"/>
      <c r="T1" s="1217"/>
      <c r="U1" s="1217"/>
      <c r="V1" s="1217"/>
      <c r="W1" s="1217"/>
      <c r="X1" s="1217"/>
      <c r="Y1" s="1217"/>
      <c r="Z1" s="1217"/>
      <c r="AA1" s="1217"/>
      <c r="AB1" s="1217"/>
      <c r="AC1" s="1217"/>
    </row>
    <row r="2" spans="1:120" ht="21">
      <c r="A2" s="46"/>
      <c r="B2" s="46"/>
      <c r="C2" s="46"/>
      <c r="D2" s="46"/>
      <c r="E2" s="46"/>
      <c r="F2" s="46"/>
      <c r="G2" s="46"/>
      <c r="H2" s="46"/>
      <c r="I2" s="46"/>
      <c r="J2" s="46"/>
      <c r="K2" s="46"/>
      <c r="L2" s="46"/>
      <c r="M2" s="46"/>
      <c r="N2" s="46"/>
      <c r="O2" s="46"/>
      <c r="P2" s="46"/>
      <c r="Q2" s="46"/>
      <c r="R2" s="46"/>
      <c r="S2" s="46"/>
      <c r="T2" s="46"/>
      <c r="U2" s="46"/>
      <c r="V2" s="46"/>
      <c r="W2" s="46"/>
      <c r="X2" s="46"/>
      <c r="Y2" s="46"/>
      <c r="Z2" s="46"/>
      <c r="AA2" s="46"/>
      <c r="AB2" s="46"/>
      <c r="AC2" s="46"/>
      <c r="AD2" s="47"/>
      <c r="AE2" s="47"/>
      <c r="AF2" s="47"/>
      <c r="AG2" s="47"/>
      <c r="AH2" s="47"/>
      <c r="AI2" s="47"/>
      <c r="AJ2" s="47"/>
      <c r="AK2" s="47"/>
      <c r="AL2" s="47"/>
      <c r="AM2" s="47"/>
      <c r="AN2" s="47"/>
      <c r="AO2" s="47"/>
      <c r="AP2" s="47"/>
      <c r="AQ2" s="47"/>
      <c r="AR2" s="47"/>
      <c r="AS2" s="47"/>
      <c r="AT2" s="47"/>
      <c r="AU2" s="47"/>
      <c r="AV2" s="47"/>
      <c r="AW2" s="47"/>
      <c r="AX2" s="47"/>
      <c r="AY2" s="47"/>
      <c r="AZ2" s="47"/>
      <c r="BA2" s="47"/>
      <c r="BB2" s="47"/>
      <c r="BC2" s="47"/>
      <c r="BD2" s="47"/>
      <c r="BE2" s="47"/>
      <c r="BF2" s="47"/>
      <c r="BG2" s="47"/>
      <c r="BH2" s="47"/>
      <c r="BI2" s="47"/>
      <c r="BJ2" s="47"/>
      <c r="BK2" s="47"/>
      <c r="BL2" s="47"/>
      <c r="BM2" s="47"/>
      <c r="BN2" s="47"/>
      <c r="BO2" s="47"/>
      <c r="BP2" s="47"/>
      <c r="BQ2" s="47"/>
      <c r="BR2" s="47"/>
      <c r="BS2" s="47"/>
      <c r="BT2" s="47"/>
      <c r="BU2" s="47"/>
      <c r="BV2" s="47"/>
      <c r="BW2" s="47"/>
      <c r="BX2" s="47"/>
      <c r="BY2" s="47"/>
      <c r="BZ2" s="47"/>
      <c r="CA2" s="47"/>
      <c r="CB2" s="47"/>
      <c r="CC2" s="47"/>
      <c r="CD2" s="47"/>
      <c r="CE2" s="47"/>
      <c r="CF2" s="47"/>
      <c r="CG2" s="47"/>
      <c r="CH2" s="47"/>
      <c r="CI2" s="47"/>
      <c r="CJ2" s="47"/>
      <c r="CK2" s="47"/>
      <c r="CL2" s="47"/>
      <c r="CM2" s="47"/>
      <c r="CN2" s="47"/>
      <c r="CO2" s="47"/>
      <c r="CP2" s="47"/>
      <c r="CQ2" s="47"/>
      <c r="CR2" s="47"/>
      <c r="CS2" s="47"/>
      <c r="CT2" s="47"/>
      <c r="CU2" s="47"/>
      <c r="CV2" s="47"/>
      <c r="CW2" s="47"/>
      <c r="CX2" s="47"/>
      <c r="CY2" s="47"/>
      <c r="CZ2" s="47"/>
      <c r="DA2" s="47"/>
      <c r="DB2" s="47"/>
      <c r="DC2" s="47"/>
      <c r="DD2" s="47"/>
      <c r="DE2" s="47"/>
      <c r="DF2" s="47"/>
      <c r="DG2" s="47"/>
      <c r="DH2" s="47"/>
      <c r="DI2" s="47"/>
      <c r="DJ2" s="47"/>
      <c r="DK2" s="47"/>
      <c r="DL2" s="47"/>
      <c r="DM2" s="47"/>
      <c r="DN2" s="47"/>
      <c r="DO2" s="47"/>
      <c r="DP2" s="47"/>
    </row>
    <row r="3" spans="1:120" ht="24.75" customHeight="1">
      <c r="A3" s="1218" t="s">
        <v>342</v>
      </c>
      <c r="B3" s="1219"/>
      <c r="C3" s="1219"/>
      <c r="D3" s="1219"/>
      <c r="E3" s="1219"/>
      <c r="F3" s="1219"/>
      <c r="G3" s="1219"/>
      <c r="H3" s="1219"/>
      <c r="I3" s="1219"/>
      <c r="J3" s="1219"/>
      <c r="K3" s="1219"/>
      <c r="L3" s="1219"/>
      <c r="M3" s="1219"/>
      <c r="N3" s="1219"/>
      <c r="O3" s="1219"/>
      <c r="P3" s="1219"/>
      <c r="Q3" s="1219"/>
      <c r="R3" s="1219"/>
      <c r="S3" s="1219"/>
      <c r="T3" s="1219"/>
      <c r="U3" s="1219"/>
      <c r="V3" s="1219"/>
      <c r="W3" s="1219"/>
      <c r="X3" s="1219"/>
      <c r="Y3" s="1219"/>
      <c r="Z3" s="1219"/>
      <c r="AA3" s="1219"/>
      <c r="AB3" s="1219"/>
      <c r="AC3" s="1219"/>
      <c r="AD3" s="40"/>
      <c r="AE3" s="37"/>
      <c r="AF3" s="47"/>
      <c r="AG3" s="47"/>
      <c r="AH3" s="47"/>
      <c r="AI3" s="47"/>
      <c r="AJ3" s="47"/>
      <c r="AK3" s="47"/>
      <c r="AL3" s="47"/>
      <c r="AM3" s="47"/>
      <c r="AN3" s="47"/>
      <c r="AO3" s="47"/>
      <c r="AP3" s="47"/>
      <c r="AQ3" s="47"/>
      <c r="AR3" s="47"/>
      <c r="AS3" s="47"/>
      <c r="AT3" s="47"/>
      <c r="AU3" s="47"/>
      <c r="AV3" s="47"/>
      <c r="AW3" s="47"/>
      <c r="AX3" s="47"/>
      <c r="AY3" s="47"/>
      <c r="AZ3" s="47"/>
      <c r="BA3" s="47"/>
      <c r="BB3" s="47"/>
      <c r="BC3" s="47"/>
      <c r="BD3" s="47"/>
      <c r="BE3" s="47"/>
      <c r="BF3" s="47"/>
      <c r="BG3" s="47"/>
      <c r="BH3" s="47"/>
      <c r="BI3" s="47"/>
      <c r="BJ3" s="47"/>
      <c r="BK3" s="47"/>
      <c r="BL3" s="47"/>
      <c r="BM3" s="47"/>
      <c r="BN3" s="47"/>
      <c r="BO3" s="47"/>
      <c r="BP3" s="47"/>
      <c r="BQ3" s="47"/>
      <c r="BR3" s="47"/>
      <c r="BS3" s="47"/>
      <c r="BT3" s="47"/>
      <c r="BU3" s="47"/>
      <c r="BV3" s="47"/>
      <c r="BW3" s="47"/>
      <c r="BX3" s="47"/>
      <c r="BY3" s="47"/>
      <c r="BZ3" s="47"/>
      <c r="CA3" s="47"/>
      <c r="CB3" s="47"/>
      <c r="CC3" s="47"/>
      <c r="CD3" s="47"/>
      <c r="CE3" s="47"/>
      <c r="CF3" s="47"/>
      <c r="CG3" s="47"/>
      <c r="CH3" s="47"/>
      <c r="CI3" s="47"/>
      <c r="CJ3" s="47"/>
      <c r="CK3" s="47"/>
      <c r="CL3" s="47"/>
      <c r="CM3" s="47"/>
      <c r="CN3" s="47"/>
      <c r="CO3" s="47"/>
      <c r="CP3" s="47"/>
      <c r="CQ3" s="47"/>
      <c r="CR3" s="47"/>
      <c r="CS3" s="47"/>
      <c r="CT3" s="47"/>
      <c r="CU3" s="47"/>
      <c r="CV3" s="47"/>
      <c r="CW3" s="47"/>
      <c r="CX3" s="47"/>
      <c r="CY3" s="47"/>
      <c r="CZ3" s="47"/>
      <c r="DA3" s="47"/>
      <c r="DB3" s="47"/>
      <c r="DC3" s="47"/>
      <c r="DD3" s="47"/>
      <c r="DE3" s="47"/>
      <c r="DF3" s="47"/>
      <c r="DG3" s="47"/>
      <c r="DH3" s="47"/>
      <c r="DI3" s="47"/>
      <c r="DJ3" s="47"/>
      <c r="DK3" s="47"/>
      <c r="DL3" s="47"/>
      <c r="DM3" s="47"/>
      <c r="DN3" s="47"/>
      <c r="DO3" s="47"/>
      <c r="DP3" s="47"/>
    </row>
    <row r="4" spans="1:120" s="49" customFormat="1" ht="15" thickBot="1">
      <c r="A4" s="48"/>
      <c r="B4" s="48"/>
      <c r="C4" s="48"/>
      <c r="D4" s="48"/>
      <c r="E4" s="48"/>
      <c r="F4" s="48"/>
      <c r="G4" s="48"/>
      <c r="H4" s="48"/>
      <c r="I4" s="48"/>
      <c r="J4" s="48"/>
      <c r="K4" s="48"/>
      <c r="L4" s="48"/>
      <c r="M4" s="48"/>
      <c r="N4" s="48"/>
      <c r="O4" s="48"/>
      <c r="P4" s="48"/>
      <c r="Q4" s="48"/>
      <c r="R4" s="48"/>
      <c r="S4" s="48"/>
      <c r="T4" s="48"/>
      <c r="U4" s="48"/>
      <c r="V4" s="1220"/>
      <c r="W4" s="1220"/>
      <c r="X4" s="1220"/>
      <c r="Y4" s="1220"/>
      <c r="Z4" s="1220"/>
      <c r="AA4" s="1220"/>
      <c r="AB4" s="48"/>
      <c r="AC4" s="48"/>
      <c r="AD4" s="48"/>
      <c r="AE4" s="48"/>
      <c r="AF4" s="48"/>
      <c r="AG4" s="48"/>
      <c r="AH4" s="48"/>
      <c r="AI4" s="48"/>
      <c r="AJ4" s="48"/>
      <c r="AK4" s="48"/>
      <c r="AL4" s="48"/>
      <c r="AM4" s="48"/>
      <c r="AN4" s="48"/>
      <c r="AO4" s="48"/>
      <c r="AP4" s="48"/>
      <c r="AQ4" s="48"/>
      <c r="AR4" s="48"/>
      <c r="AS4" s="48"/>
      <c r="AT4" s="48"/>
      <c r="AU4" s="48"/>
      <c r="AV4" s="48"/>
      <c r="AW4" s="48"/>
      <c r="AX4" s="48"/>
      <c r="AY4" s="48"/>
      <c r="AZ4" s="48"/>
      <c r="BA4" s="48"/>
      <c r="BB4" s="48"/>
      <c r="BC4" s="48"/>
      <c r="BD4" s="48"/>
      <c r="BE4" s="48"/>
      <c r="BF4" s="48"/>
      <c r="BG4" s="48"/>
      <c r="BH4" s="48"/>
      <c r="BI4" s="48"/>
      <c r="BJ4" s="48"/>
      <c r="BK4" s="48"/>
      <c r="BL4" s="48"/>
      <c r="BM4" s="48"/>
      <c r="BN4" s="48"/>
      <c r="BO4" s="48"/>
      <c r="BP4" s="48"/>
      <c r="BQ4" s="48"/>
      <c r="BR4" s="48"/>
      <c r="BS4" s="48"/>
      <c r="BT4" s="48"/>
      <c r="BU4" s="48"/>
      <c r="BV4" s="48"/>
      <c r="BW4" s="48"/>
      <c r="BX4" s="48"/>
      <c r="BY4" s="48"/>
      <c r="BZ4" s="48"/>
      <c r="CA4" s="48"/>
      <c r="CB4" s="48"/>
      <c r="CC4" s="48"/>
      <c r="CD4" s="48"/>
      <c r="CE4" s="48"/>
      <c r="CF4" s="48"/>
      <c r="CG4" s="48"/>
      <c r="CH4" s="48"/>
      <c r="CI4" s="48"/>
      <c r="CJ4" s="48"/>
      <c r="CK4" s="48"/>
      <c r="CL4" s="48"/>
      <c r="CM4" s="48"/>
      <c r="CN4" s="48"/>
      <c r="CO4" s="48"/>
      <c r="CP4" s="48"/>
      <c r="CQ4" s="48"/>
      <c r="CR4" s="48"/>
      <c r="CS4" s="48"/>
      <c r="CT4" s="48"/>
      <c r="CU4" s="48"/>
      <c r="CV4" s="48"/>
      <c r="CW4" s="48"/>
      <c r="CX4" s="48"/>
      <c r="CY4" s="48"/>
      <c r="CZ4" s="48"/>
      <c r="DA4" s="48"/>
      <c r="DB4" s="48"/>
      <c r="DC4" s="48"/>
      <c r="DD4" s="48"/>
      <c r="DE4" s="48"/>
      <c r="DF4" s="48"/>
      <c r="DG4" s="48"/>
      <c r="DH4" s="48"/>
      <c r="DI4" s="48"/>
      <c r="DJ4" s="48"/>
      <c r="DK4" s="48"/>
      <c r="DL4" s="48"/>
      <c r="DM4" s="48"/>
      <c r="DN4" s="48"/>
      <c r="DO4" s="48"/>
      <c r="DP4" s="48"/>
    </row>
    <row r="5" spans="1:120" s="49" customFormat="1" ht="30" customHeight="1">
      <c r="A5" s="50"/>
      <c r="B5" s="1221" t="s">
        <v>49</v>
      </c>
      <c r="C5" s="1221" t="s">
        <v>50</v>
      </c>
      <c r="D5" s="1223" t="s">
        <v>51</v>
      </c>
      <c r="E5" s="1224"/>
      <c r="F5" s="1223" t="s">
        <v>52</v>
      </c>
      <c r="G5" s="1224"/>
      <c r="H5" s="1223" t="s">
        <v>53</v>
      </c>
      <c r="I5" s="1224"/>
      <c r="J5" s="1223" t="s">
        <v>54</v>
      </c>
      <c r="K5" s="1224"/>
      <c r="L5" s="1223" t="s">
        <v>55</v>
      </c>
      <c r="M5" s="1224"/>
      <c r="N5" s="1223" t="s">
        <v>56</v>
      </c>
      <c r="O5" s="1224"/>
      <c r="P5" s="1223" t="s">
        <v>64</v>
      </c>
      <c r="Q5" s="1224"/>
      <c r="R5" s="1223" t="s">
        <v>65</v>
      </c>
      <c r="S5" s="1224"/>
      <c r="T5" s="1223" t="s">
        <v>66</v>
      </c>
      <c r="U5" s="1224"/>
      <c r="V5" s="1223" t="s">
        <v>67</v>
      </c>
      <c r="W5" s="1245"/>
      <c r="X5" s="1223" t="s">
        <v>57</v>
      </c>
      <c r="Y5" s="1245"/>
      <c r="Z5" s="1223" t="s">
        <v>58</v>
      </c>
      <c r="AA5" s="1224"/>
      <c r="AB5" s="1225" t="s">
        <v>59</v>
      </c>
      <c r="AC5" s="1226"/>
      <c r="AD5" s="48"/>
      <c r="AE5" s="48"/>
      <c r="AF5" s="48"/>
      <c r="AG5" s="48"/>
      <c r="AH5" s="48"/>
      <c r="AI5" s="48"/>
      <c r="AJ5" s="48"/>
      <c r="AK5" s="48"/>
      <c r="AL5" s="48"/>
      <c r="AM5" s="48"/>
      <c r="AN5" s="48"/>
      <c r="AO5" s="48"/>
      <c r="AP5" s="48"/>
      <c r="AQ5" s="48"/>
      <c r="AR5" s="48"/>
      <c r="AS5" s="48"/>
      <c r="AT5" s="48"/>
      <c r="AU5" s="48"/>
      <c r="AV5" s="48"/>
      <c r="AW5" s="48"/>
      <c r="AX5" s="48"/>
      <c r="AY5" s="48"/>
      <c r="AZ5" s="48"/>
      <c r="BA5" s="48"/>
      <c r="BB5" s="48"/>
      <c r="BC5" s="48"/>
      <c r="BD5" s="48"/>
      <c r="BE5" s="48"/>
      <c r="BF5" s="48"/>
      <c r="BG5" s="48"/>
      <c r="BH5" s="48"/>
      <c r="BI5" s="48"/>
      <c r="BJ5" s="48"/>
      <c r="BK5" s="48"/>
      <c r="BL5" s="48"/>
      <c r="BM5" s="48"/>
      <c r="BN5" s="48"/>
      <c r="BO5" s="48"/>
      <c r="BP5" s="48"/>
      <c r="BQ5" s="48"/>
      <c r="BR5" s="48"/>
      <c r="BS5" s="48"/>
      <c r="BT5" s="48"/>
      <c r="BU5" s="48"/>
      <c r="BV5" s="48"/>
      <c r="BW5" s="48"/>
      <c r="BX5" s="48"/>
      <c r="BY5" s="48"/>
      <c r="BZ5" s="48"/>
      <c r="CA5" s="48"/>
      <c r="CB5" s="48"/>
      <c r="CC5" s="48"/>
      <c r="CD5" s="48"/>
      <c r="CE5" s="48"/>
      <c r="CF5" s="48"/>
      <c r="CG5" s="48"/>
      <c r="CH5" s="48"/>
      <c r="CI5" s="48"/>
      <c r="CJ5" s="48"/>
      <c r="CK5" s="48"/>
      <c r="CL5" s="48"/>
      <c r="CM5" s="48"/>
      <c r="CN5" s="48"/>
      <c r="CO5" s="48"/>
      <c r="CP5" s="48"/>
      <c r="CQ5" s="48"/>
      <c r="CR5" s="48"/>
      <c r="CS5" s="48"/>
      <c r="CT5" s="48"/>
      <c r="CU5" s="48"/>
      <c r="CV5" s="48"/>
      <c r="CW5" s="48"/>
      <c r="CX5" s="48"/>
      <c r="CY5" s="48"/>
      <c r="CZ5" s="48"/>
      <c r="DA5" s="48"/>
      <c r="DB5" s="48"/>
      <c r="DC5" s="48"/>
      <c r="DD5" s="48"/>
      <c r="DE5" s="48"/>
      <c r="DF5" s="48"/>
      <c r="DG5" s="48"/>
      <c r="DH5" s="48"/>
      <c r="DI5" s="48"/>
      <c r="DJ5" s="48"/>
      <c r="DK5" s="48"/>
      <c r="DL5" s="48"/>
      <c r="DM5" s="48"/>
      <c r="DN5" s="48"/>
      <c r="DO5" s="48"/>
      <c r="DP5" s="48"/>
    </row>
    <row r="6" spans="1:120" s="49" customFormat="1" ht="30" customHeight="1" thickBot="1">
      <c r="A6" s="51"/>
      <c r="B6" s="1222"/>
      <c r="C6" s="1222"/>
      <c r="D6" s="53" t="s">
        <v>60</v>
      </c>
      <c r="E6" s="52" t="s">
        <v>61</v>
      </c>
      <c r="F6" s="53" t="s">
        <v>60</v>
      </c>
      <c r="G6" s="52" t="s">
        <v>61</v>
      </c>
      <c r="H6" s="53" t="s">
        <v>60</v>
      </c>
      <c r="I6" s="52" t="s">
        <v>61</v>
      </c>
      <c r="J6" s="53" t="s">
        <v>60</v>
      </c>
      <c r="K6" s="52" t="s">
        <v>61</v>
      </c>
      <c r="L6" s="53" t="s">
        <v>60</v>
      </c>
      <c r="M6" s="52" t="s">
        <v>61</v>
      </c>
      <c r="N6" s="53" t="s">
        <v>60</v>
      </c>
      <c r="O6" s="52" t="s">
        <v>61</v>
      </c>
      <c r="P6" s="53" t="s">
        <v>60</v>
      </c>
      <c r="Q6" s="52" t="s">
        <v>61</v>
      </c>
      <c r="R6" s="53" t="s">
        <v>60</v>
      </c>
      <c r="S6" s="52" t="s">
        <v>61</v>
      </c>
      <c r="T6" s="53" t="s">
        <v>60</v>
      </c>
      <c r="U6" s="52" t="s">
        <v>61</v>
      </c>
      <c r="V6" s="53" t="s">
        <v>60</v>
      </c>
      <c r="W6" s="54" t="s">
        <v>61</v>
      </c>
      <c r="X6" s="53" t="s">
        <v>60</v>
      </c>
      <c r="Y6" s="52" t="s">
        <v>61</v>
      </c>
      <c r="Z6" s="53" t="s">
        <v>60</v>
      </c>
      <c r="AA6" s="52" t="s">
        <v>61</v>
      </c>
      <c r="AB6" s="1227"/>
      <c r="AC6" s="1228"/>
      <c r="AD6" s="48"/>
      <c r="AE6" s="48"/>
      <c r="AF6" s="48"/>
      <c r="AG6" s="48"/>
      <c r="AH6" s="48"/>
      <c r="AI6" s="48"/>
      <c r="AJ6" s="48"/>
      <c r="AK6" s="48"/>
      <c r="AL6" s="48"/>
      <c r="AM6" s="48"/>
      <c r="AN6" s="48"/>
      <c r="AO6" s="48"/>
      <c r="AP6" s="48"/>
      <c r="AQ6" s="48"/>
      <c r="AR6" s="48"/>
      <c r="AS6" s="48"/>
      <c r="AT6" s="48"/>
      <c r="AU6" s="48"/>
      <c r="AV6" s="48"/>
      <c r="AW6" s="48"/>
      <c r="AX6" s="48"/>
      <c r="AY6" s="48"/>
      <c r="AZ6" s="48"/>
      <c r="BA6" s="48"/>
      <c r="BB6" s="48"/>
      <c r="BC6" s="48"/>
      <c r="BD6" s="48"/>
      <c r="BE6" s="48"/>
      <c r="BF6" s="48"/>
      <c r="BG6" s="48"/>
      <c r="BH6" s="48"/>
      <c r="BI6" s="48"/>
      <c r="BJ6" s="48"/>
      <c r="BK6" s="48"/>
      <c r="BL6" s="48"/>
      <c r="BM6" s="48"/>
      <c r="BN6" s="48"/>
      <c r="BO6" s="48"/>
      <c r="BP6" s="48"/>
      <c r="BQ6" s="48"/>
      <c r="BR6" s="48"/>
      <c r="BS6" s="48"/>
      <c r="BT6" s="48"/>
      <c r="BU6" s="48"/>
      <c r="BV6" s="48"/>
      <c r="BW6" s="48"/>
      <c r="BX6" s="48"/>
      <c r="BY6" s="48"/>
      <c r="BZ6" s="48"/>
      <c r="CA6" s="48"/>
      <c r="CB6" s="48"/>
      <c r="CC6" s="48"/>
      <c r="CD6" s="48"/>
      <c r="CE6" s="48"/>
      <c r="CF6" s="48"/>
      <c r="CG6" s="48"/>
      <c r="CH6" s="48"/>
      <c r="CI6" s="48"/>
      <c r="CJ6" s="48"/>
      <c r="CK6" s="48"/>
      <c r="CL6" s="48"/>
      <c r="CM6" s="48"/>
      <c r="CN6" s="48"/>
      <c r="CO6" s="48"/>
      <c r="CP6" s="48"/>
      <c r="CQ6" s="48"/>
      <c r="CR6" s="48"/>
      <c r="CS6" s="48"/>
      <c r="CT6" s="48"/>
      <c r="CU6" s="48"/>
      <c r="CV6" s="48"/>
      <c r="CW6" s="48"/>
      <c r="CX6" s="48"/>
      <c r="CY6" s="48"/>
      <c r="CZ6" s="48"/>
      <c r="DA6" s="48"/>
      <c r="DB6" s="48"/>
      <c r="DC6" s="48"/>
      <c r="DD6" s="48"/>
      <c r="DE6" s="48"/>
      <c r="DF6" s="48"/>
      <c r="DG6" s="48"/>
      <c r="DH6" s="48"/>
      <c r="DI6" s="48"/>
      <c r="DJ6" s="48"/>
      <c r="DK6" s="48"/>
      <c r="DL6" s="48"/>
      <c r="DM6" s="48"/>
      <c r="DN6" s="48"/>
      <c r="DO6" s="48"/>
      <c r="DP6" s="48"/>
    </row>
    <row r="7" spans="1:120" s="49" customFormat="1" ht="30" customHeight="1">
      <c r="A7" s="1240" t="s">
        <v>68</v>
      </c>
      <c r="B7" s="153" t="s">
        <v>69</v>
      </c>
      <c r="C7" s="154" t="s">
        <v>130</v>
      </c>
      <c r="D7" s="252" t="s">
        <v>338</v>
      </c>
      <c r="E7" s="155"/>
      <c r="F7" s="252"/>
      <c r="G7" s="155"/>
      <c r="H7" s="252"/>
      <c r="I7" s="155"/>
      <c r="J7" s="56"/>
      <c r="K7" s="155"/>
      <c r="L7" s="252"/>
      <c r="M7" s="155"/>
      <c r="N7" s="252"/>
      <c r="O7" s="155"/>
      <c r="P7" s="252"/>
      <c r="Q7" s="155"/>
      <c r="R7" s="252" t="s">
        <v>191</v>
      </c>
      <c r="S7" s="155"/>
      <c r="T7" s="252"/>
      <c r="U7" s="155"/>
      <c r="V7" s="252"/>
      <c r="W7" s="253"/>
      <c r="X7" s="252"/>
      <c r="Y7" s="155"/>
      <c r="Z7" s="252"/>
      <c r="AA7" s="155"/>
      <c r="AB7" s="1241"/>
      <c r="AC7" s="1242"/>
      <c r="AD7" s="48"/>
      <c r="AE7" s="48"/>
      <c r="AF7" s="48"/>
      <c r="AG7" s="48"/>
      <c r="AH7" s="48"/>
      <c r="AI7" s="48"/>
      <c r="AJ7" s="48"/>
      <c r="AK7" s="48"/>
      <c r="AL7" s="48"/>
      <c r="AM7" s="48"/>
      <c r="AN7" s="48"/>
      <c r="AO7" s="48"/>
      <c r="AP7" s="48"/>
      <c r="AQ7" s="48"/>
      <c r="AR7" s="48"/>
      <c r="AS7" s="48"/>
      <c r="AT7" s="48"/>
      <c r="AU7" s="48"/>
      <c r="AV7" s="48"/>
      <c r="AW7" s="48"/>
      <c r="AX7" s="48"/>
      <c r="AY7" s="48"/>
      <c r="AZ7" s="48"/>
      <c r="BA7" s="48"/>
      <c r="BB7" s="48"/>
      <c r="BC7" s="48"/>
      <c r="BD7" s="48"/>
      <c r="BE7" s="48"/>
      <c r="BF7" s="48"/>
      <c r="BG7" s="48"/>
      <c r="BH7" s="48"/>
      <c r="BI7" s="48"/>
      <c r="BJ7" s="48"/>
      <c r="BK7" s="48"/>
      <c r="BL7" s="48"/>
      <c r="BM7" s="48"/>
      <c r="BN7" s="48"/>
      <c r="BO7" s="48"/>
      <c r="BP7" s="48"/>
      <c r="BQ7" s="48"/>
      <c r="BR7" s="48"/>
      <c r="BS7" s="48"/>
      <c r="BT7" s="48"/>
      <c r="BU7" s="48"/>
      <c r="BV7" s="48"/>
      <c r="BW7" s="48"/>
      <c r="BX7" s="48"/>
      <c r="BY7" s="48"/>
      <c r="BZ7" s="48"/>
      <c r="CA7" s="48"/>
      <c r="CB7" s="48"/>
      <c r="CC7" s="48"/>
      <c r="CD7" s="48"/>
      <c r="CE7" s="48"/>
      <c r="CF7" s="48"/>
      <c r="CG7" s="48"/>
      <c r="CH7" s="48"/>
      <c r="CI7" s="48"/>
      <c r="CJ7" s="48"/>
      <c r="CK7" s="48"/>
      <c r="CL7" s="48"/>
      <c r="CM7" s="48"/>
      <c r="CN7" s="48"/>
      <c r="CO7" s="48"/>
      <c r="CP7" s="48"/>
      <c r="CQ7" s="48"/>
      <c r="CR7" s="48"/>
      <c r="CS7" s="48"/>
      <c r="CT7" s="48"/>
      <c r="CU7" s="48"/>
      <c r="CV7" s="48"/>
      <c r="CW7" s="48"/>
      <c r="CX7" s="48"/>
      <c r="CY7" s="48"/>
      <c r="CZ7" s="48"/>
      <c r="DA7" s="48"/>
      <c r="DB7" s="48"/>
      <c r="DC7" s="48"/>
      <c r="DD7" s="48"/>
      <c r="DE7" s="48"/>
      <c r="DF7" s="48"/>
      <c r="DG7" s="48"/>
      <c r="DH7" s="48"/>
      <c r="DI7" s="48"/>
      <c r="DJ7" s="48"/>
      <c r="DK7" s="48"/>
      <c r="DL7" s="48"/>
      <c r="DM7" s="48"/>
      <c r="DN7" s="48"/>
      <c r="DO7" s="48"/>
      <c r="DP7" s="48"/>
    </row>
    <row r="8" spans="1:120" s="49" customFormat="1" ht="30" customHeight="1">
      <c r="A8" s="1230"/>
      <c r="B8" s="156" t="s">
        <v>131</v>
      </c>
      <c r="C8" s="63" t="s">
        <v>70</v>
      </c>
      <c r="D8" s="316"/>
      <c r="E8" s="157"/>
      <c r="F8" s="59"/>
      <c r="G8" s="157"/>
      <c r="H8" s="59"/>
      <c r="I8" s="157"/>
      <c r="J8" s="55"/>
      <c r="K8" s="157"/>
      <c r="L8" s="808"/>
      <c r="M8" s="809"/>
      <c r="N8" s="808"/>
      <c r="O8" s="809"/>
      <c r="P8" s="808"/>
      <c r="Q8" s="809"/>
      <c r="R8" s="808" t="s">
        <v>173</v>
      </c>
      <c r="S8" s="809"/>
      <c r="T8" s="808"/>
      <c r="U8" s="809"/>
      <c r="V8" s="808"/>
      <c r="W8" s="241"/>
      <c r="X8" s="808"/>
      <c r="Y8" s="809"/>
      <c r="Z8" s="808"/>
      <c r="AA8" s="809"/>
      <c r="AB8" s="327"/>
      <c r="AC8" s="328"/>
      <c r="AD8" s="48"/>
      <c r="AE8" s="48"/>
      <c r="AF8" s="48"/>
      <c r="AG8" s="48"/>
      <c r="AH8" s="48"/>
      <c r="AI8" s="48"/>
      <c r="AJ8" s="48"/>
      <c r="AK8" s="48"/>
      <c r="AL8" s="48"/>
      <c r="AM8" s="48"/>
      <c r="AN8" s="48"/>
      <c r="AO8" s="48"/>
      <c r="AP8" s="48"/>
      <c r="AQ8" s="48"/>
      <c r="AR8" s="48"/>
      <c r="AS8" s="48"/>
      <c r="AT8" s="48"/>
      <c r="AU8" s="48"/>
      <c r="AV8" s="48"/>
      <c r="AW8" s="48"/>
      <c r="AX8" s="48"/>
      <c r="AY8" s="48"/>
      <c r="AZ8" s="48"/>
      <c r="BA8" s="48"/>
      <c r="BB8" s="48"/>
      <c r="BC8" s="48"/>
      <c r="BD8" s="48"/>
      <c r="BE8" s="48"/>
      <c r="BF8" s="48"/>
      <c r="BG8" s="48"/>
      <c r="BH8" s="48"/>
      <c r="BI8" s="48"/>
      <c r="BJ8" s="48"/>
      <c r="BK8" s="48"/>
      <c r="BL8" s="48"/>
      <c r="BM8" s="48"/>
      <c r="BN8" s="48"/>
      <c r="BO8" s="48"/>
      <c r="BP8" s="48"/>
      <c r="BQ8" s="48"/>
      <c r="BR8" s="48"/>
      <c r="BS8" s="48"/>
      <c r="BT8" s="48"/>
      <c r="BU8" s="48"/>
      <c r="BV8" s="48"/>
      <c r="BW8" s="48"/>
      <c r="BX8" s="48"/>
      <c r="BY8" s="48"/>
      <c r="BZ8" s="48"/>
      <c r="CA8" s="48"/>
      <c r="CB8" s="48"/>
      <c r="CC8" s="48"/>
      <c r="CD8" s="48"/>
      <c r="CE8" s="48"/>
      <c r="CF8" s="48"/>
      <c r="CG8" s="48"/>
      <c r="CH8" s="48"/>
      <c r="CI8" s="48"/>
      <c r="CJ8" s="48"/>
      <c r="CK8" s="48"/>
      <c r="CL8" s="48"/>
      <c r="CM8" s="48"/>
      <c r="CN8" s="48"/>
      <c r="CO8" s="48"/>
      <c r="CP8" s="48"/>
      <c r="CQ8" s="48"/>
      <c r="CR8" s="48"/>
      <c r="CS8" s="48"/>
      <c r="CT8" s="48"/>
      <c r="CU8" s="48"/>
      <c r="CV8" s="48"/>
      <c r="CW8" s="48"/>
      <c r="CX8" s="48"/>
      <c r="CY8" s="48"/>
      <c r="CZ8" s="48"/>
      <c r="DA8" s="48"/>
      <c r="DB8" s="48"/>
      <c r="DC8" s="48"/>
      <c r="DD8" s="48"/>
      <c r="DE8" s="48"/>
      <c r="DF8" s="48"/>
      <c r="DG8" s="48"/>
      <c r="DH8" s="48"/>
      <c r="DI8" s="48"/>
      <c r="DJ8" s="48"/>
      <c r="DK8" s="48"/>
      <c r="DL8" s="48"/>
      <c r="DM8" s="48"/>
      <c r="DN8" s="48"/>
      <c r="DO8" s="48"/>
      <c r="DP8" s="48"/>
    </row>
    <row r="9" spans="1:120" s="49" customFormat="1" ht="30" customHeight="1">
      <c r="A9" s="1230"/>
      <c r="B9" s="156" t="s">
        <v>71</v>
      </c>
      <c r="C9" s="64" t="s">
        <v>72</v>
      </c>
      <c r="D9" s="317" t="s">
        <v>173</v>
      </c>
      <c r="E9" s="158" t="s">
        <v>655</v>
      </c>
      <c r="F9" s="57" t="s">
        <v>173</v>
      </c>
      <c r="G9" s="158" t="s">
        <v>717</v>
      </c>
      <c r="H9" s="57" t="s">
        <v>173</v>
      </c>
      <c r="I9" s="158"/>
      <c r="J9" s="57" t="s">
        <v>173</v>
      </c>
      <c r="K9" s="158"/>
      <c r="L9" s="57" t="s">
        <v>173</v>
      </c>
      <c r="M9" s="158"/>
      <c r="N9" s="57" t="s">
        <v>173</v>
      </c>
      <c r="O9" s="158"/>
      <c r="P9" s="57" t="s">
        <v>173</v>
      </c>
      <c r="Q9" s="158"/>
      <c r="R9" s="57" t="s">
        <v>173</v>
      </c>
      <c r="S9" s="158"/>
      <c r="T9" s="57" t="s">
        <v>173</v>
      </c>
      <c r="U9" s="158"/>
      <c r="V9" s="57" t="s">
        <v>173</v>
      </c>
      <c r="W9" s="158"/>
      <c r="X9" s="57" t="s">
        <v>173</v>
      </c>
      <c r="Y9" s="158"/>
      <c r="Z9" s="57" t="s">
        <v>173</v>
      </c>
      <c r="AA9" s="158"/>
      <c r="AB9" s="327"/>
      <c r="AC9" s="328"/>
      <c r="AD9" s="48"/>
      <c r="AE9" s="48"/>
      <c r="AF9" s="48"/>
      <c r="AG9" s="48"/>
      <c r="AH9" s="48"/>
      <c r="AI9" s="48"/>
      <c r="AJ9" s="48"/>
      <c r="AK9" s="48"/>
      <c r="AL9" s="48"/>
      <c r="AM9" s="48"/>
      <c r="AN9" s="48"/>
      <c r="AO9" s="48"/>
      <c r="AP9" s="48"/>
      <c r="AQ9" s="48"/>
      <c r="AR9" s="48"/>
      <c r="AS9" s="48"/>
      <c r="AT9" s="48"/>
      <c r="AU9" s="48"/>
      <c r="AV9" s="48"/>
      <c r="AW9" s="48"/>
      <c r="AX9" s="48"/>
      <c r="AY9" s="48"/>
      <c r="AZ9" s="48"/>
      <c r="BA9" s="48"/>
      <c r="BB9" s="48"/>
      <c r="BC9" s="48"/>
      <c r="BD9" s="48"/>
      <c r="BE9" s="48"/>
      <c r="BF9" s="48"/>
      <c r="BG9" s="48"/>
      <c r="BH9" s="48"/>
      <c r="BI9" s="48"/>
      <c r="BJ9" s="48"/>
      <c r="BK9" s="48"/>
      <c r="BL9" s="48"/>
      <c r="BM9" s="48"/>
      <c r="BN9" s="48"/>
      <c r="BO9" s="48"/>
      <c r="BP9" s="48"/>
      <c r="BQ9" s="48"/>
      <c r="BR9" s="48"/>
      <c r="BS9" s="48"/>
      <c r="BT9" s="48"/>
      <c r="BU9" s="48"/>
      <c r="BV9" s="48"/>
      <c r="BW9" s="48"/>
      <c r="BX9" s="48"/>
      <c r="BY9" s="48"/>
      <c r="BZ9" s="48"/>
      <c r="CA9" s="48"/>
      <c r="CB9" s="48"/>
      <c r="CC9" s="48"/>
      <c r="CD9" s="48"/>
      <c r="CE9" s="48"/>
      <c r="CF9" s="48"/>
      <c r="CG9" s="48"/>
      <c r="CH9" s="48"/>
      <c r="CI9" s="48"/>
      <c r="CJ9" s="48"/>
      <c r="CK9" s="48"/>
      <c r="CL9" s="48"/>
      <c r="CM9" s="48"/>
      <c r="CN9" s="48"/>
      <c r="CO9" s="48"/>
      <c r="CP9" s="48"/>
      <c r="CQ9" s="48"/>
      <c r="CR9" s="48"/>
      <c r="CS9" s="48"/>
      <c r="CT9" s="48"/>
      <c r="CU9" s="48"/>
      <c r="CV9" s="48"/>
      <c r="CW9" s="48"/>
      <c r="CX9" s="48"/>
      <c r="CY9" s="48"/>
      <c r="CZ9" s="48"/>
      <c r="DA9" s="48"/>
      <c r="DB9" s="48"/>
      <c r="DC9" s="48"/>
      <c r="DD9" s="48"/>
      <c r="DE9" s="48"/>
      <c r="DF9" s="48"/>
      <c r="DG9" s="48"/>
      <c r="DH9" s="48"/>
      <c r="DI9" s="48"/>
      <c r="DJ9" s="48"/>
      <c r="DK9" s="48"/>
      <c r="DL9" s="48"/>
      <c r="DM9" s="48"/>
      <c r="DN9" s="48"/>
      <c r="DO9" s="48"/>
      <c r="DP9" s="48"/>
    </row>
    <row r="10" spans="1:120" s="49" customFormat="1" ht="30" customHeight="1">
      <c r="A10" s="1230"/>
      <c r="B10" s="159" t="s">
        <v>217</v>
      </c>
      <c r="C10" s="184" t="s">
        <v>72</v>
      </c>
      <c r="D10" s="317" t="s">
        <v>173</v>
      </c>
      <c r="E10" s="157" t="s">
        <v>655</v>
      </c>
      <c r="F10" s="59" t="s">
        <v>173</v>
      </c>
      <c r="G10" s="158" t="s">
        <v>717</v>
      </c>
      <c r="H10" s="59" t="s">
        <v>173</v>
      </c>
      <c r="I10" s="158"/>
      <c r="J10" s="59" t="s">
        <v>173</v>
      </c>
      <c r="K10" s="158"/>
      <c r="L10" s="808" t="s">
        <v>173</v>
      </c>
      <c r="M10" s="809"/>
      <c r="N10" s="808" t="s">
        <v>173</v>
      </c>
      <c r="O10" s="809"/>
      <c r="P10" s="808" t="s">
        <v>173</v>
      </c>
      <c r="Q10" s="158"/>
      <c r="R10" s="808" t="s">
        <v>173</v>
      </c>
      <c r="S10" s="158"/>
      <c r="T10" s="808" t="s">
        <v>173</v>
      </c>
      <c r="U10" s="158"/>
      <c r="V10" s="808" t="s">
        <v>173</v>
      </c>
      <c r="W10" s="158"/>
      <c r="X10" s="808" t="s">
        <v>173</v>
      </c>
      <c r="Y10" s="158"/>
      <c r="Z10" s="808" t="s">
        <v>173</v>
      </c>
      <c r="AA10" s="809"/>
      <c r="AB10" s="1243"/>
      <c r="AC10" s="1244"/>
      <c r="AD10" s="48"/>
      <c r="AE10" s="48"/>
      <c r="AF10" s="48"/>
      <c r="AG10" s="48"/>
      <c r="AH10" s="48"/>
      <c r="AI10" s="48"/>
      <c r="AJ10" s="48"/>
      <c r="AK10" s="48"/>
      <c r="AL10" s="48"/>
      <c r="AM10" s="48"/>
      <c r="AN10" s="48"/>
      <c r="AO10" s="48"/>
      <c r="AP10" s="48"/>
      <c r="AQ10" s="48"/>
      <c r="AR10" s="48"/>
      <c r="AS10" s="48"/>
      <c r="AT10" s="48"/>
      <c r="AU10" s="48"/>
      <c r="AV10" s="48"/>
      <c r="AW10" s="48"/>
      <c r="AX10" s="48"/>
      <c r="AY10" s="48"/>
      <c r="AZ10" s="48"/>
      <c r="BA10" s="48"/>
      <c r="BB10" s="48"/>
      <c r="BC10" s="48"/>
      <c r="BD10" s="48"/>
      <c r="BE10" s="48"/>
      <c r="BF10" s="48"/>
      <c r="BG10" s="48"/>
      <c r="BH10" s="48"/>
      <c r="BI10" s="48"/>
      <c r="BJ10" s="48"/>
      <c r="BK10" s="48"/>
      <c r="BL10" s="48"/>
      <c r="BM10" s="48"/>
      <c r="BN10" s="48"/>
      <c r="BO10" s="48"/>
      <c r="BP10" s="48"/>
      <c r="BQ10" s="48"/>
      <c r="BR10" s="48"/>
      <c r="BS10" s="48"/>
      <c r="BT10" s="48"/>
      <c r="BU10" s="48"/>
      <c r="BV10" s="48"/>
      <c r="BW10" s="48"/>
      <c r="BX10" s="48"/>
      <c r="BY10" s="48"/>
      <c r="BZ10" s="48"/>
      <c r="CA10" s="48"/>
      <c r="CB10" s="48"/>
      <c r="CC10" s="48"/>
      <c r="CD10" s="48"/>
      <c r="CE10" s="48"/>
      <c r="CF10" s="48"/>
      <c r="CG10" s="48"/>
      <c r="CH10" s="48"/>
      <c r="CI10" s="48"/>
      <c r="CJ10" s="48"/>
      <c r="CK10" s="48"/>
      <c r="CL10" s="48"/>
      <c r="CM10" s="48"/>
      <c r="CN10" s="48"/>
      <c r="CO10" s="48"/>
      <c r="CP10" s="48"/>
      <c r="CQ10" s="48"/>
      <c r="CR10" s="48"/>
      <c r="CS10" s="48"/>
      <c r="CT10" s="48"/>
      <c r="CU10" s="48"/>
      <c r="CV10" s="48"/>
      <c r="CW10" s="48"/>
      <c r="CX10" s="48"/>
      <c r="CY10" s="48"/>
      <c r="CZ10" s="48"/>
      <c r="DA10" s="48"/>
      <c r="DB10" s="48"/>
      <c r="DC10" s="48"/>
      <c r="DD10" s="48"/>
      <c r="DE10" s="48"/>
      <c r="DF10" s="48"/>
      <c r="DG10" s="48"/>
      <c r="DH10" s="48"/>
      <c r="DI10" s="48"/>
      <c r="DJ10" s="48"/>
      <c r="DK10" s="48"/>
      <c r="DL10" s="48"/>
      <c r="DM10" s="48"/>
      <c r="DN10" s="48"/>
      <c r="DO10" s="48"/>
      <c r="DP10" s="48"/>
    </row>
    <row r="11" spans="1:120" s="49" customFormat="1" ht="30" customHeight="1">
      <c r="A11" s="1230"/>
      <c r="B11" s="160" t="s">
        <v>718</v>
      </c>
      <c r="C11" s="63" t="s">
        <v>72</v>
      </c>
      <c r="D11" s="317" t="s">
        <v>173</v>
      </c>
      <c r="E11" s="157" t="s">
        <v>655</v>
      </c>
      <c r="F11" s="59" t="s">
        <v>173</v>
      </c>
      <c r="G11" s="158" t="s">
        <v>717</v>
      </c>
      <c r="H11" s="59" t="s">
        <v>173</v>
      </c>
      <c r="I11" s="158"/>
      <c r="J11" s="59" t="s">
        <v>173</v>
      </c>
      <c r="K11" s="158"/>
      <c r="L11" s="808" t="s">
        <v>173</v>
      </c>
      <c r="M11" s="809"/>
      <c r="N11" s="808" t="s">
        <v>173</v>
      </c>
      <c r="O11" s="809"/>
      <c r="P11" s="808" t="s">
        <v>173</v>
      </c>
      <c r="Q11" s="158"/>
      <c r="R11" s="808" t="s">
        <v>173</v>
      </c>
      <c r="S11" s="158"/>
      <c r="T11" s="808" t="s">
        <v>173</v>
      </c>
      <c r="U11" s="158"/>
      <c r="V11" s="808" t="s">
        <v>173</v>
      </c>
      <c r="W11" s="158"/>
      <c r="X11" s="808" t="s">
        <v>173</v>
      </c>
      <c r="Y11" s="158"/>
      <c r="Z11" s="808" t="s">
        <v>173</v>
      </c>
      <c r="AA11" s="809"/>
      <c r="AB11" s="183"/>
      <c r="AC11" s="259"/>
      <c r="AD11" s="48"/>
      <c r="AE11" s="48"/>
      <c r="AF11" s="48"/>
      <c r="AG11" s="48"/>
      <c r="AH11" s="48"/>
      <c r="AI11" s="48"/>
      <c r="AJ11" s="48"/>
      <c r="AK11" s="48"/>
      <c r="AL11" s="48"/>
      <c r="AM11" s="48"/>
      <c r="AN11" s="48"/>
      <c r="AO11" s="48"/>
      <c r="AP11" s="48"/>
      <c r="AQ11" s="48"/>
      <c r="AR11" s="48"/>
      <c r="AS11" s="48"/>
      <c r="AT11" s="48"/>
      <c r="AU11" s="48"/>
      <c r="AV11" s="48"/>
      <c r="AW11" s="48"/>
      <c r="AX11" s="48"/>
      <c r="AY11" s="48"/>
      <c r="AZ11" s="48"/>
      <c r="BA11" s="48"/>
      <c r="BB11" s="48"/>
      <c r="BC11" s="48"/>
      <c r="BD11" s="48"/>
      <c r="BE11" s="48"/>
      <c r="BF11" s="48"/>
      <c r="BG11" s="48"/>
      <c r="BH11" s="48"/>
      <c r="BI11" s="48"/>
      <c r="BJ11" s="48"/>
      <c r="BK11" s="48"/>
      <c r="BL11" s="48"/>
      <c r="BM11" s="48"/>
      <c r="BN11" s="48"/>
      <c r="BO11" s="48"/>
      <c r="BP11" s="48"/>
      <c r="BQ11" s="48"/>
      <c r="BR11" s="48"/>
      <c r="BS11" s="48"/>
      <c r="BT11" s="48"/>
      <c r="BU11" s="48"/>
      <c r="BV11" s="48"/>
      <c r="BW11" s="48"/>
      <c r="BX11" s="48"/>
      <c r="BY11" s="48"/>
      <c r="BZ11" s="48"/>
      <c r="CA11" s="48"/>
      <c r="CB11" s="48"/>
      <c r="CC11" s="48"/>
      <c r="CD11" s="48"/>
      <c r="CE11" s="48"/>
      <c r="CF11" s="48"/>
      <c r="CG11" s="48"/>
      <c r="CH11" s="48"/>
      <c r="CI11" s="48"/>
      <c r="CJ11" s="48"/>
      <c r="CK11" s="48"/>
      <c r="CL11" s="48"/>
      <c r="CM11" s="48"/>
      <c r="CN11" s="48"/>
      <c r="CO11" s="48"/>
      <c r="CP11" s="48"/>
      <c r="CQ11" s="48"/>
      <c r="CR11" s="48"/>
      <c r="CS11" s="48"/>
      <c r="CT11" s="48"/>
      <c r="CU11" s="48"/>
      <c r="CV11" s="48"/>
      <c r="CW11" s="48"/>
      <c r="CX11" s="48"/>
      <c r="CY11" s="48"/>
      <c r="CZ11" s="48"/>
      <c r="DA11" s="48"/>
      <c r="DB11" s="48"/>
      <c r="DC11" s="48"/>
      <c r="DD11" s="48"/>
      <c r="DE11" s="48"/>
      <c r="DF11" s="48"/>
      <c r="DG11" s="48"/>
      <c r="DH11" s="48"/>
      <c r="DI11" s="48"/>
      <c r="DJ11" s="48"/>
      <c r="DK11" s="48"/>
      <c r="DL11" s="48"/>
      <c r="DM11" s="48"/>
      <c r="DN11" s="48"/>
      <c r="DO11" s="48"/>
      <c r="DP11" s="48"/>
    </row>
    <row r="12" spans="1:120" s="49" customFormat="1" ht="30" customHeight="1">
      <c r="A12" s="1230"/>
      <c r="B12" s="161" t="s">
        <v>121</v>
      </c>
      <c r="C12" s="63" t="s">
        <v>340</v>
      </c>
      <c r="D12" s="59" t="s">
        <v>173</v>
      </c>
      <c r="E12" s="157" t="s">
        <v>649</v>
      </c>
      <c r="F12" s="59"/>
      <c r="G12" s="157"/>
      <c r="H12" s="59"/>
      <c r="I12" s="157"/>
      <c r="J12" s="59"/>
      <c r="K12" s="157"/>
      <c r="L12" s="808"/>
      <c r="M12" s="809"/>
      <c r="N12" s="808"/>
      <c r="O12" s="809"/>
      <c r="P12" s="808"/>
      <c r="Q12" s="809"/>
      <c r="R12" s="808" t="s">
        <v>173</v>
      </c>
      <c r="S12" s="809"/>
      <c r="T12" s="808"/>
      <c r="U12" s="809"/>
      <c r="V12" s="808"/>
      <c r="W12" s="241"/>
      <c r="X12" s="808"/>
      <c r="Y12" s="809"/>
      <c r="Z12" s="808"/>
      <c r="AA12" s="241"/>
      <c r="AB12" s="327"/>
      <c r="AC12" s="328"/>
      <c r="AD12" s="48"/>
      <c r="AE12" s="48"/>
      <c r="AF12" s="48"/>
      <c r="AG12" s="48"/>
      <c r="AH12" s="48"/>
      <c r="AI12" s="48"/>
      <c r="AJ12" s="48"/>
      <c r="AK12" s="48"/>
      <c r="AL12" s="48"/>
      <c r="AM12" s="48"/>
      <c r="AN12" s="48"/>
      <c r="AO12" s="48"/>
      <c r="AP12" s="48"/>
      <c r="AQ12" s="48"/>
      <c r="AR12" s="48"/>
      <c r="AS12" s="48"/>
      <c r="AT12" s="48"/>
      <c r="AU12" s="48"/>
      <c r="AV12" s="48"/>
      <c r="AW12" s="48"/>
      <c r="AX12" s="48"/>
      <c r="AY12" s="48"/>
      <c r="AZ12" s="48"/>
      <c r="BA12" s="48"/>
      <c r="BB12" s="48"/>
      <c r="BC12" s="48"/>
      <c r="BD12" s="48"/>
      <c r="BE12" s="48"/>
      <c r="BF12" s="48"/>
      <c r="BG12" s="48"/>
      <c r="BH12" s="48"/>
      <c r="BI12" s="48"/>
      <c r="BJ12" s="48"/>
      <c r="BK12" s="48"/>
      <c r="BL12" s="48"/>
      <c r="BM12" s="48"/>
      <c r="BN12" s="48"/>
      <c r="BO12" s="48"/>
      <c r="BP12" s="48"/>
      <c r="BQ12" s="48"/>
      <c r="BR12" s="48"/>
      <c r="BS12" s="48"/>
      <c r="BT12" s="48"/>
      <c r="BU12" s="48"/>
      <c r="BV12" s="48"/>
      <c r="BW12" s="48"/>
      <c r="BX12" s="48"/>
      <c r="BY12" s="48"/>
      <c r="BZ12" s="48"/>
      <c r="CA12" s="48"/>
      <c r="CB12" s="48"/>
      <c r="CC12" s="48"/>
      <c r="CD12" s="48"/>
      <c r="CE12" s="48"/>
      <c r="CF12" s="48"/>
      <c r="CG12" s="48"/>
      <c r="CH12" s="48"/>
      <c r="CI12" s="48"/>
      <c r="CJ12" s="48"/>
      <c r="CK12" s="48"/>
      <c r="CL12" s="48"/>
      <c r="CM12" s="48"/>
      <c r="CN12" s="48"/>
      <c r="CO12" s="48"/>
      <c r="CP12" s="48"/>
      <c r="CQ12" s="48"/>
      <c r="CR12" s="48"/>
      <c r="CS12" s="48"/>
      <c r="CT12" s="48"/>
      <c r="CU12" s="48"/>
      <c r="CV12" s="48"/>
      <c r="CW12" s="48"/>
      <c r="CX12" s="48"/>
      <c r="CY12" s="48"/>
      <c r="CZ12" s="48"/>
      <c r="DA12" s="48"/>
      <c r="DB12" s="48"/>
      <c r="DC12" s="48"/>
      <c r="DD12" s="48"/>
      <c r="DE12" s="48"/>
      <c r="DF12" s="48"/>
      <c r="DG12" s="48"/>
      <c r="DH12" s="48"/>
      <c r="DI12" s="48"/>
      <c r="DJ12" s="48"/>
      <c r="DK12" s="48"/>
      <c r="DL12" s="48"/>
      <c r="DM12" s="48"/>
      <c r="DN12" s="48"/>
      <c r="DO12" s="48"/>
      <c r="DP12" s="48"/>
    </row>
    <row r="13" spans="1:120" s="49" customFormat="1" ht="30" customHeight="1" thickBot="1">
      <c r="A13" s="1231"/>
      <c r="B13" s="162" t="s">
        <v>132</v>
      </c>
      <c r="C13" s="163" t="s">
        <v>133</v>
      </c>
      <c r="D13" s="60"/>
      <c r="E13" s="164"/>
      <c r="F13" s="60"/>
      <c r="G13" s="164"/>
      <c r="H13" s="60"/>
      <c r="I13" s="164"/>
      <c r="J13" s="60"/>
      <c r="K13" s="164"/>
      <c r="L13" s="60"/>
      <c r="M13" s="164"/>
      <c r="N13" s="60"/>
      <c r="O13" s="164"/>
      <c r="P13" s="60"/>
      <c r="Q13" s="164"/>
      <c r="R13" s="60" t="s">
        <v>173</v>
      </c>
      <c r="S13" s="164"/>
      <c r="T13" s="60"/>
      <c r="U13" s="164"/>
      <c r="V13" s="60"/>
      <c r="W13" s="242"/>
      <c r="X13" s="60"/>
      <c r="Y13" s="164"/>
      <c r="Z13" s="60"/>
      <c r="AA13" s="254"/>
      <c r="AB13" s="251"/>
      <c r="AC13" s="325"/>
      <c r="AD13" s="48"/>
      <c r="AE13" s="48"/>
      <c r="AF13" s="48"/>
      <c r="AG13" s="48"/>
      <c r="AH13" s="48"/>
      <c r="AI13" s="48"/>
      <c r="AJ13" s="48"/>
      <c r="AK13" s="48"/>
      <c r="AL13" s="48"/>
      <c r="AM13" s="48"/>
      <c r="AN13" s="48"/>
      <c r="AO13" s="48"/>
      <c r="AP13" s="48"/>
      <c r="AQ13" s="48"/>
      <c r="AR13" s="48"/>
      <c r="AS13" s="48"/>
      <c r="AT13" s="48"/>
      <c r="AU13" s="48"/>
      <c r="AV13" s="48"/>
      <c r="AW13" s="48"/>
      <c r="AX13" s="48"/>
      <c r="AY13" s="48"/>
      <c r="AZ13" s="48"/>
      <c r="BA13" s="48"/>
      <c r="BB13" s="48"/>
      <c r="BC13" s="48"/>
      <c r="BD13" s="48"/>
      <c r="BE13" s="48"/>
      <c r="BF13" s="48"/>
      <c r="BG13" s="48"/>
      <c r="BH13" s="48"/>
      <c r="BI13" s="48"/>
      <c r="BJ13" s="48"/>
      <c r="BK13" s="48"/>
      <c r="BL13" s="48"/>
      <c r="BM13" s="48"/>
      <c r="BN13" s="48"/>
      <c r="BO13" s="48"/>
      <c r="BP13" s="48"/>
      <c r="BQ13" s="48"/>
      <c r="BR13" s="48"/>
      <c r="BS13" s="48"/>
      <c r="BT13" s="48"/>
      <c r="BU13" s="48"/>
      <c r="BV13" s="48"/>
      <c r="BW13" s="48"/>
      <c r="BX13" s="48"/>
      <c r="BY13" s="48"/>
      <c r="BZ13" s="48"/>
      <c r="CA13" s="48"/>
      <c r="CB13" s="48"/>
      <c r="CC13" s="48"/>
      <c r="CD13" s="48"/>
      <c r="CE13" s="48"/>
      <c r="CF13" s="48"/>
      <c r="CG13" s="48"/>
      <c r="CH13" s="48"/>
      <c r="CI13" s="48"/>
      <c r="CJ13" s="48"/>
      <c r="CK13" s="48"/>
      <c r="CL13" s="48"/>
      <c r="CM13" s="48"/>
      <c r="CN13" s="48"/>
      <c r="CO13" s="48"/>
      <c r="CP13" s="48"/>
      <c r="CQ13" s="48"/>
      <c r="CR13" s="48"/>
      <c r="CS13" s="48"/>
      <c r="CT13" s="48"/>
      <c r="CU13" s="48"/>
      <c r="CV13" s="48"/>
      <c r="CW13" s="48"/>
      <c r="CX13" s="48"/>
      <c r="CY13" s="48"/>
      <c r="CZ13" s="48"/>
      <c r="DA13" s="48"/>
      <c r="DB13" s="48"/>
      <c r="DC13" s="48"/>
      <c r="DD13" s="48"/>
      <c r="DE13" s="48"/>
      <c r="DF13" s="48"/>
      <c r="DG13" s="48"/>
      <c r="DH13" s="48"/>
      <c r="DI13" s="48"/>
      <c r="DJ13" s="48"/>
      <c r="DK13" s="48"/>
      <c r="DL13" s="48"/>
      <c r="DM13" s="48"/>
      <c r="DN13" s="48"/>
      <c r="DO13" s="48"/>
      <c r="DP13" s="48"/>
    </row>
    <row r="14" spans="1:120" s="49" customFormat="1" ht="30" customHeight="1">
      <c r="A14" s="1229" t="s">
        <v>73</v>
      </c>
      <c r="B14" s="165" t="s">
        <v>74</v>
      </c>
      <c r="C14" s="166" t="s">
        <v>75</v>
      </c>
      <c r="D14" s="55" t="s">
        <v>173</v>
      </c>
      <c r="E14" s="167" t="s">
        <v>650</v>
      </c>
      <c r="F14" s="55"/>
      <c r="G14" s="167"/>
      <c r="H14" s="57"/>
      <c r="I14" s="167"/>
      <c r="J14" s="55" t="s">
        <v>173</v>
      </c>
      <c r="K14" s="167"/>
      <c r="L14" s="55"/>
      <c r="M14" s="167"/>
      <c r="N14" s="55"/>
      <c r="O14" s="167"/>
      <c r="P14" s="55" t="s">
        <v>173</v>
      </c>
      <c r="Q14" s="167"/>
      <c r="R14" s="55"/>
      <c r="S14" s="167"/>
      <c r="T14" s="55"/>
      <c r="U14" s="167"/>
      <c r="V14" s="55" t="s">
        <v>173</v>
      </c>
      <c r="W14" s="246"/>
      <c r="X14" s="55"/>
      <c r="Y14" s="167"/>
      <c r="Z14" s="55"/>
      <c r="AA14" s="167"/>
      <c r="AB14" s="1232"/>
      <c r="AC14" s="1233"/>
      <c r="AD14" s="48"/>
      <c r="AE14" s="48"/>
      <c r="AF14" s="48"/>
      <c r="AG14" s="48"/>
      <c r="AH14" s="48"/>
      <c r="AI14" s="48"/>
      <c r="AJ14" s="48"/>
      <c r="AK14" s="48"/>
      <c r="AL14" s="48"/>
      <c r="AM14" s="48"/>
      <c r="AN14" s="48"/>
      <c r="AO14" s="48"/>
      <c r="AP14" s="48"/>
      <c r="AQ14" s="48"/>
      <c r="AR14" s="48"/>
      <c r="AS14" s="48"/>
      <c r="AT14" s="48"/>
      <c r="AU14" s="48"/>
      <c r="AV14" s="48"/>
      <c r="AW14" s="48"/>
      <c r="AX14" s="48"/>
      <c r="AY14" s="48"/>
      <c r="AZ14" s="48"/>
      <c r="BA14" s="48"/>
      <c r="BB14" s="48"/>
      <c r="BC14" s="48"/>
      <c r="BD14" s="48"/>
      <c r="BE14" s="48"/>
      <c r="BF14" s="48"/>
      <c r="BG14" s="48"/>
      <c r="BH14" s="48"/>
      <c r="BI14" s="48"/>
      <c r="BJ14" s="48"/>
      <c r="BK14" s="48"/>
      <c r="BL14" s="48"/>
      <c r="BM14" s="48"/>
      <c r="BN14" s="48"/>
      <c r="BO14" s="48"/>
      <c r="BP14" s="48"/>
      <c r="BQ14" s="48"/>
      <c r="BR14" s="48"/>
      <c r="BS14" s="48"/>
      <c r="BT14" s="48"/>
      <c r="BU14" s="48"/>
      <c r="BV14" s="48"/>
      <c r="BW14" s="48"/>
      <c r="BX14" s="48"/>
      <c r="BY14" s="48"/>
      <c r="BZ14" s="48"/>
      <c r="CA14" s="48"/>
      <c r="CB14" s="48"/>
      <c r="CC14" s="48"/>
      <c r="CD14" s="48"/>
      <c r="CE14" s="48"/>
      <c r="CF14" s="48"/>
      <c r="CG14" s="48"/>
      <c r="CH14" s="48"/>
      <c r="CI14" s="48"/>
      <c r="CJ14" s="48"/>
      <c r="CK14" s="48"/>
      <c r="CL14" s="48"/>
      <c r="CM14" s="48"/>
      <c r="CN14" s="48"/>
      <c r="CO14" s="48"/>
      <c r="CP14" s="48"/>
      <c r="CQ14" s="48"/>
      <c r="CR14" s="48"/>
      <c r="CS14" s="48"/>
      <c r="CT14" s="48"/>
      <c r="CU14" s="48"/>
      <c r="CV14" s="48"/>
      <c r="CW14" s="48"/>
      <c r="CX14" s="48"/>
      <c r="CY14" s="48"/>
      <c r="CZ14" s="48"/>
      <c r="DA14" s="48"/>
      <c r="DB14" s="48"/>
      <c r="DC14" s="48"/>
      <c r="DD14" s="48"/>
      <c r="DE14" s="48"/>
      <c r="DF14" s="48"/>
      <c r="DG14" s="48"/>
      <c r="DH14" s="48"/>
      <c r="DI14" s="48"/>
      <c r="DJ14" s="48"/>
      <c r="DK14" s="48"/>
      <c r="DL14" s="48"/>
      <c r="DM14" s="48"/>
      <c r="DN14" s="48"/>
      <c r="DO14" s="48"/>
      <c r="DP14" s="48"/>
    </row>
    <row r="15" spans="1:120" s="49" customFormat="1" ht="30" customHeight="1">
      <c r="A15" s="1230"/>
      <c r="B15" s="168" t="s">
        <v>134</v>
      </c>
      <c r="C15" s="62" t="s">
        <v>76</v>
      </c>
      <c r="D15" s="55"/>
      <c r="E15" s="167"/>
      <c r="F15" s="55"/>
      <c r="G15" s="167"/>
      <c r="H15" s="55"/>
      <c r="I15" s="167"/>
      <c r="J15" s="55"/>
      <c r="K15" s="167"/>
      <c r="L15" s="55"/>
      <c r="M15" s="167"/>
      <c r="N15" s="55"/>
      <c r="O15" s="167"/>
      <c r="P15" s="55"/>
      <c r="Q15" s="167"/>
      <c r="R15" s="55"/>
      <c r="S15" s="167"/>
      <c r="T15" s="55"/>
      <c r="U15" s="241"/>
      <c r="V15" s="55" t="s">
        <v>173</v>
      </c>
      <c r="W15" s="241"/>
      <c r="X15" s="55"/>
      <c r="Y15" s="167"/>
      <c r="Z15" s="57"/>
      <c r="AA15" s="167"/>
      <c r="AB15" s="1234"/>
      <c r="AC15" s="1235"/>
      <c r="AD15" s="48"/>
      <c r="AE15" s="48"/>
      <c r="AF15" s="48"/>
      <c r="AG15" s="48"/>
      <c r="AH15" s="48"/>
      <c r="AI15" s="48"/>
      <c r="AJ15" s="48"/>
      <c r="AK15" s="48"/>
      <c r="AL15" s="48"/>
      <c r="AM15" s="48"/>
      <c r="AN15" s="48"/>
      <c r="AO15" s="48"/>
      <c r="AP15" s="48"/>
      <c r="AQ15" s="48"/>
      <c r="AR15" s="48"/>
      <c r="AS15" s="48"/>
      <c r="AT15" s="48"/>
      <c r="AU15" s="48"/>
      <c r="AV15" s="48"/>
      <c r="AW15" s="48"/>
      <c r="AX15" s="48"/>
      <c r="AY15" s="48"/>
      <c r="AZ15" s="48"/>
      <c r="BA15" s="48"/>
      <c r="BB15" s="48"/>
      <c r="BC15" s="48"/>
      <c r="BD15" s="48"/>
      <c r="BE15" s="48"/>
      <c r="BF15" s="48"/>
      <c r="BG15" s="48"/>
      <c r="BH15" s="48"/>
      <c r="BI15" s="48"/>
      <c r="BJ15" s="48"/>
      <c r="BK15" s="48"/>
      <c r="BL15" s="48"/>
      <c r="BM15" s="48"/>
      <c r="BN15" s="48"/>
      <c r="BO15" s="48"/>
      <c r="BP15" s="48"/>
      <c r="BQ15" s="48"/>
      <c r="BR15" s="48"/>
      <c r="BS15" s="48"/>
      <c r="BT15" s="48"/>
      <c r="BU15" s="48"/>
      <c r="BV15" s="48"/>
      <c r="BW15" s="48"/>
      <c r="BX15" s="48"/>
      <c r="BY15" s="48"/>
      <c r="BZ15" s="48"/>
      <c r="CA15" s="48"/>
      <c r="CB15" s="48"/>
      <c r="CC15" s="48"/>
      <c r="CD15" s="48"/>
      <c r="CE15" s="48"/>
      <c r="CF15" s="48"/>
      <c r="CG15" s="48"/>
      <c r="CH15" s="48"/>
      <c r="CI15" s="48"/>
      <c r="CJ15" s="48"/>
      <c r="CK15" s="48"/>
      <c r="CL15" s="48"/>
      <c r="CM15" s="48"/>
      <c r="CN15" s="48"/>
      <c r="CO15" s="48"/>
      <c r="CP15" s="48"/>
      <c r="CQ15" s="48"/>
      <c r="CR15" s="48"/>
      <c r="CS15" s="48"/>
      <c r="CT15" s="48"/>
      <c r="CU15" s="48"/>
      <c r="CV15" s="48"/>
      <c r="CW15" s="48"/>
      <c r="CX15" s="48"/>
      <c r="CY15" s="48"/>
      <c r="CZ15" s="48"/>
      <c r="DA15" s="48"/>
      <c r="DB15" s="48"/>
      <c r="DC15" s="48"/>
      <c r="DD15" s="48"/>
      <c r="DE15" s="48"/>
      <c r="DF15" s="48"/>
      <c r="DG15" s="48"/>
      <c r="DH15" s="48"/>
      <c r="DI15" s="48"/>
      <c r="DJ15" s="48"/>
      <c r="DK15" s="48"/>
      <c r="DL15" s="48"/>
      <c r="DM15" s="48"/>
      <c r="DN15" s="48"/>
      <c r="DO15" s="48"/>
      <c r="DP15" s="48"/>
    </row>
    <row r="16" spans="1:120" s="49" customFormat="1" ht="30" customHeight="1">
      <c r="A16" s="1230"/>
      <c r="B16" s="168" t="s">
        <v>135</v>
      </c>
      <c r="C16" s="62" t="s">
        <v>75</v>
      </c>
      <c r="D16" s="57" t="s">
        <v>173</v>
      </c>
      <c r="E16" s="158" t="s">
        <v>650</v>
      </c>
      <c r="F16" s="57"/>
      <c r="G16" s="158"/>
      <c r="H16" s="57"/>
      <c r="I16" s="158"/>
      <c r="J16" s="57" t="s">
        <v>173</v>
      </c>
      <c r="K16" s="158"/>
      <c r="L16" s="57"/>
      <c r="M16" s="158"/>
      <c r="N16" s="57"/>
      <c r="O16" s="158"/>
      <c r="P16" s="57" t="s">
        <v>173</v>
      </c>
      <c r="Q16" s="158"/>
      <c r="R16" s="57"/>
      <c r="S16" s="158"/>
      <c r="T16" s="57"/>
      <c r="U16" s="158"/>
      <c r="V16" s="57" t="s">
        <v>173</v>
      </c>
      <c r="W16" s="241"/>
      <c r="X16" s="57"/>
      <c r="Y16" s="158"/>
      <c r="Z16" s="57"/>
      <c r="AA16" s="158"/>
      <c r="AB16" s="1236"/>
      <c r="AC16" s="1237"/>
      <c r="AD16" s="48"/>
      <c r="AE16" s="48"/>
      <c r="AF16" s="48"/>
      <c r="AG16" s="48"/>
      <c r="AH16" s="48"/>
      <c r="AI16" s="48"/>
      <c r="AJ16" s="48"/>
      <c r="AK16" s="48"/>
      <c r="AL16" s="48"/>
      <c r="AM16" s="48"/>
      <c r="AN16" s="48"/>
      <c r="AO16" s="48"/>
      <c r="AP16" s="48"/>
      <c r="AQ16" s="48"/>
      <c r="AR16" s="48"/>
      <c r="AS16" s="48"/>
      <c r="AT16" s="48"/>
      <c r="AU16" s="48"/>
      <c r="AV16" s="48"/>
      <c r="AW16" s="48"/>
      <c r="AX16" s="48"/>
      <c r="AY16" s="48"/>
      <c r="AZ16" s="48"/>
      <c r="BA16" s="48"/>
      <c r="BB16" s="48"/>
      <c r="BC16" s="48"/>
      <c r="BD16" s="48"/>
      <c r="BE16" s="48"/>
      <c r="BF16" s="48"/>
      <c r="BG16" s="48"/>
      <c r="BH16" s="48"/>
      <c r="BI16" s="48"/>
      <c r="BJ16" s="48"/>
      <c r="BK16" s="48"/>
      <c r="BL16" s="48"/>
      <c r="BM16" s="48"/>
      <c r="BN16" s="48"/>
      <c r="BO16" s="48"/>
      <c r="BP16" s="48"/>
      <c r="BQ16" s="48"/>
      <c r="BR16" s="48"/>
      <c r="BS16" s="48"/>
      <c r="BT16" s="48"/>
      <c r="BU16" s="48"/>
      <c r="BV16" s="48"/>
      <c r="BW16" s="48"/>
      <c r="BX16" s="48"/>
      <c r="BY16" s="48"/>
      <c r="BZ16" s="48"/>
      <c r="CA16" s="48"/>
      <c r="CB16" s="48"/>
      <c r="CC16" s="48"/>
      <c r="CD16" s="48"/>
      <c r="CE16" s="48"/>
      <c r="CF16" s="48"/>
      <c r="CG16" s="48"/>
      <c r="CH16" s="48"/>
      <c r="CI16" s="48"/>
      <c r="CJ16" s="48"/>
      <c r="CK16" s="48"/>
      <c r="CL16" s="48"/>
      <c r="CM16" s="48"/>
      <c r="CN16" s="48"/>
      <c r="CO16" s="48"/>
      <c r="CP16" s="48"/>
      <c r="CQ16" s="48"/>
      <c r="CR16" s="48"/>
      <c r="CS16" s="48"/>
      <c r="CT16" s="48"/>
      <c r="CU16" s="48"/>
      <c r="CV16" s="48"/>
      <c r="CW16" s="48"/>
      <c r="CX16" s="48"/>
      <c r="CY16" s="48"/>
      <c r="CZ16" s="48"/>
      <c r="DA16" s="48"/>
      <c r="DB16" s="48"/>
      <c r="DC16" s="48"/>
      <c r="DD16" s="48"/>
      <c r="DE16" s="48"/>
      <c r="DF16" s="48"/>
      <c r="DG16" s="48"/>
      <c r="DH16" s="48"/>
      <c r="DI16" s="48"/>
      <c r="DJ16" s="48"/>
      <c r="DK16" s="48"/>
      <c r="DL16" s="48"/>
      <c r="DM16" s="48"/>
      <c r="DN16" s="48"/>
      <c r="DO16" s="48"/>
      <c r="DP16" s="48"/>
    </row>
    <row r="17" spans="1:120" s="49" customFormat="1" ht="30" customHeight="1">
      <c r="A17" s="1230"/>
      <c r="B17" s="169" t="s">
        <v>136</v>
      </c>
      <c r="C17" s="86" t="s">
        <v>137</v>
      </c>
      <c r="D17" s="57" t="s">
        <v>173</v>
      </c>
      <c r="E17" s="158" t="s">
        <v>650</v>
      </c>
      <c r="F17" s="57"/>
      <c r="G17" s="158"/>
      <c r="H17" s="57"/>
      <c r="I17" s="158"/>
      <c r="J17" s="57" t="s">
        <v>173</v>
      </c>
      <c r="K17" s="158"/>
      <c r="L17" s="57"/>
      <c r="M17" s="158"/>
      <c r="N17" s="57"/>
      <c r="O17" s="158"/>
      <c r="P17" s="57" t="s">
        <v>173</v>
      </c>
      <c r="Q17" s="158"/>
      <c r="R17" s="57"/>
      <c r="S17" s="158"/>
      <c r="T17" s="57"/>
      <c r="U17" s="158"/>
      <c r="V17" s="57" t="s">
        <v>173</v>
      </c>
      <c r="W17" s="241"/>
      <c r="X17" s="57"/>
      <c r="Y17" s="158"/>
      <c r="Z17" s="57"/>
      <c r="AA17" s="158"/>
      <c r="AB17" s="323"/>
      <c r="AC17" s="324"/>
      <c r="AD17" s="48"/>
      <c r="AE17" s="48"/>
      <c r="AF17" s="48"/>
      <c r="AG17" s="48"/>
      <c r="AH17" s="48"/>
      <c r="AI17" s="48"/>
      <c r="AJ17" s="48"/>
      <c r="AK17" s="48"/>
      <c r="AL17" s="48"/>
      <c r="AM17" s="48"/>
      <c r="AN17" s="48"/>
      <c r="AO17" s="48"/>
      <c r="AP17" s="48"/>
      <c r="AQ17" s="48"/>
      <c r="AR17" s="48"/>
      <c r="AS17" s="48"/>
      <c r="AT17" s="48"/>
      <c r="AU17" s="48"/>
      <c r="AV17" s="48"/>
      <c r="AW17" s="48"/>
      <c r="AX17" s="48"/>
      <c r="AY17" s="48"/>
      <c r="AZ17" s="48"/>
      <c r="BA17" s="48"/>
      <c r="BB17" s="48"/>
      <c r="BC17" s="48"/>
      <c r="BD17" s="48"/>
      <c r="BE17" s="48"/>
      <c r="BF17" s="48"/>
      <c r="BG17" s="48"/>
      <c r="BH17" s="48"/>
      <c r="BI17" s="48"/>
      <c r="BJ17" s="48"/>
      <c r="BK17" s="48"/>
      <c r="BL17" s="48"/>
      <c r="BM17" s="48"/>
      <c r="BN17" s="48"/>
      <c r="BO17" s="48"/>
      <c r="BP17" s="48"/>
      <c r="BQ17" s="48"/>
      <c r="BR17" s="48"/>
      <c r="BS17" s="48"/>
      <c r="BT17" s="48"/>
      <c r="BU17" s="48"/>
      <c r="BV17" s="48"/>
      <c r="BW17" s="48"/>
      <c r="BX17" s="48"/>
      <c r="BY17" s="48"/>
      <c r="BZ17" s="48"/>
      <c r="CA17" s="48"/>
      <c r="CB17" s="48"/>
      <c r="CC17" s="48"/>
      <c r="CD17" s="48"/>
      <c r="CE17" s="48"/>
      <c r="CF17" s="48"/>
      <c r="CG17" s="48"/>
      <c r="CH17" s="48"/>
      <c r="CI17" s="48"/>
      <c r="CJ17" s="48"/>
      <c r="CK17" s="48"/>
      <c r="CL17" s="48"/>
      <c r="CM17" s="48"/>
      <c r="CN17" s="48"/>
      <c r="CO17" s="48"/>
      <c r="CP17" s="48"/>
      <c r="CQ17" s="48"/>
      <c r="CR17" s="48"/>
      <c r="CS17" s="48"/>
      <c r="CT17" s="48"/>
      <c r="CU17" s="48"/>
      <c r="CV17" s="48"/>
      <c r="CW17" s="48"/>
      <c r="CX17" s="48"/>
      <c r="CY17" s="48"/>
      <c r="CZ17" s="48"/>
      <c r="DA17" s="48"/>
      <c r="DB17" s="48"/>
      <c r="DC17" s="48"/>
      <c r="DD17" s="48"/>
      <c r="DE17" s="48"/>
      <c r="DF17" s="48"/>
      <c r="DG17" s="48"/>
      <c r="DH17" s="48"/>
      <c r="DI17" s="48"/>
      <c r="DJ17" s="48"/>
      <c r="DK17" s="48"/>
      <c r="DL17" s="48"/>
      <c r="DM17" s="48"/>
      <c r="DN17" s="48"/>
      <c r="DO17" s="48"/>
      <c r="DP17" s="48"/>
    </row>
    <row r="18" spans="1:120" s="49" customFormat="1" ht="30" customHeight="1">
      <c r="A18" s="1230"/>
      <c r="B18" s="171" t="s">
        <v>138</v>
      </c>
      <c r="C18" s="63" t="s">
        <v>137</v>
      </c>
      <c r="D18" s="57" t="s">
        <v>173</v>
      </c>
      <c r="E18" s="158" t="s">
        <v>650</v>
      </c>
      <c r="F18" s="57"/>
      <c r="G18" s="158"/>
      <c r="H18" s="57"/>
      <c r="I18" s="158"/>
      <c r="J18" s="57" t="s">
        <v>173</v>
      </c>
      <c r="K18" s="158"/>
      <c r="L18" s="57"/>
      <c r="M18" s="158"/>
      <c r="N18" s="57"/>
      <c r="O18" s="158"/>
      <c r="P18" s="57" t="s">
        <v>173</v>
      </c>
      <c r="Q18" s="158"/>
      <c r="R18" s="57"/>
      <c r="S18" s="158"/>
      <c r="T18" s="57"/>
      <c r="U18" s="158"/>
      <c r="V18" s="57" t="s">
        <v>173</v>
      </c>
      <c r="W18" s="241"/>
      <c r="X18" s="58"/>
      <c r="Y18" s="158"/>
      <c r="Z18" s="58"/>
      <c r="AA18" s="158"/>
      <c r="AB18" s="323"/>
      <c r="AC18" s="324"/>
      <c r="AD18" s="48"/>
      <c r="AE18" s="48"/>
      <c r="AF18" s="48"/>
      <c r="AG18" s="48"/>
      <c r="AH18" s="48"/>
      <c r="AI18" s="48"/>
      <c r="AJ18" s="48"/>
      <c r="AK18" s="48"/>
      <c r="AL18" s="48"/>
      <c r="AM18" s="48"/>
      <c r="AN18" s="48"/>
      <c r="AO18" s="48"/>
      <c r="AP18" s="48"/>
      <c r="AQ18" s="48"/>
      <c r="AR18" s="48"/>
      <c r="AS18" s="48"/>
      <c r="AT18" s="48"/>
      <c r="AU18" s="48"/>
      <c r="AV18" s="48"/>
      <c r="AW18" s="48"/>
      <c r="AX18" s="48"/>
      <c r="AY18" s="48"/>
      <c r="AZ18" s="48"/>
      <c r="BA18" s="48"/>
      <c r="BB18" s="48"/>
      <c r="BC18" s="48"/>
      <c r="BD18" s="48"/>
      <c r="BE18" s="48"/>
      <c r="BF18" s="48"/>
      <c r="BG18" s="48"/>
      <c r="BH18" s="48"/>
      <c r="BI18" s="48"/>
      <c r="BJ18" s="48"/>
      <c r="BK18" s="48"/>
      <c r="BL18" s="48"/>
      <c r="BM18" s="48"/>
      <c r="BN18" s="48"/>
      <c r="BO18" s="48"/>
      <c r="BP18" s="48"/>
      <c r="BQ18" s="48"/>
      <c r="BR18" s="48"/>
      <c r="BS18" s="48"/>
      <c r="BT18" s="48"/>
      <c r="BU18" s="48"/>
      <c r="BV18" s="48"/>
      <c r="BW18" s="48"/>
      <c r="BX18" s="48"/>
      <c r="BY18" s="48"/>
      <c r="BZ18" s="48"/>
      <c r="CA18" s="48"/>
      <c r="CB18" s="48"/>
      <c r="CC18" s="48"/>
      <c r="CD18" s="48"/>
      <c r="CE18" s="48"/>
      <c r="CF18" s="48"/>
      <c r="CG18" s="48"/>
      <c r="CH18" s="48"/>
      <c r="CI18" s="48"/>
      <c r="CJ18" s="48"/>
      <c r="CK18" s="48"/>
      <c r="CL18" s="48"/>
      <c r="CM18" s="48"/>
      <c r="CN18" s="48"/>
      <c r="CO18" s="48"/>
      <c r="CP18" s="48"/>
      <c r="CQ18" s="48"/>
      <c r="CR18" s="48"/>
      <c r="CS18" s="48"/>
      <c r="CT18" s="48"/>
      <c r="CU18" s="48"/>
      <c r="CV18" s="48"/>
      <c r="CW18" s="48"/>
      <c r="CX18" s="48"/>
      <c r="CY18" s="48"/>
      <c r="CZ18" s="48"/>
      <c r="DA18" s="48"/>
      <c r="DB18" s="48"/>
      <c r="DC18" s="48"/>
      <c r="DD18" s="48"/>
      <c r="DE18" s="48"/>
      <c r="DF18" s="48"/>
      <c r="DG18" s="48"/>
      <c r="DH18" s="48"/>
      <c r="DI18" s="48"/>
      <c r="DJ18" s="48"/>
      <c r="DK18" s="48"/>
      <c r="DL18" s="48"/>
      <c r="DM18" s="48"/>
      <c r="DN18" s="48"/>
      <c r="DO18" s="48"/>
      <c r="DP18" s="48"/>
    </row>
    <row r="19" spans="1:120" s="49" customFormat="1" ht="30" customHeight="1" thickBot="1">
      <c r="A19" s="1231"/>
      <c r="B19" s="172" t="s">
        <v>62</v>
      </c>
      <c r="C19" s="173" t="s">
        <v>76</v>
      </c>
      <c r="D19" s="60"/>
      <c r="E19" s="164"/>
      <c r="F19" s="60"/>
      <c r="G19" s="164"/>
      <c r="H19" s="60"/>
      <c r="I19" s="164"/>
      <c r="J19" s="60"/>
      <c r="K19" s="164"/>
      <c r="L19" s="60"/>
      <c r="M19" s="164"/>
      <c r="N19" s="60"/>
      <c r="O19" s="164"/>
      <c r="P19" s="60" t="s">
        <v>173</v>
      </c>
      <c r="Q19" s="164"/>
      <c r="R19" s="60"/>
      <c r="S19" s="164"/>
      <c r="T19" s="60"/>
      <c r="U19" s="164"/>
      <c r="V19" s="60" t="s">
        <v>173</v>
      </c>
      <c r="W19" s="242"/>
      <c r="X19" s="60"/>
      <c r="Y19" s="164"/>
      <c r="Z19" s="60"/>
      <c r="AA19" s="164"/>
      <c r="AB19" s="1238" t="s">
        <v>341</v>
      </c>
      <c r="AC19" s="1239"/>
      <c r="AD19" s="48"/>
      <c r="AE19" s="48"/>
      <c r="AF19" s="48"/>
      <c r="AG19" s="48"/>
      <c r="AH19" s="48"/>
      <c r="AI19" s="48"/>
      <c r="AJ19" s="48"/>
      <c r="AK19" s="48"/>
      <c r="AL19" s="48"/>
      <c r="AM19" s="48"/>
      <c r="AN19" s="48"/>
      <c r="AO19" s="48"/>
      <c r="AP19" s="48"/>
      <c r="AQ19" s="48"/>
      <c r="AR19" s="48"/>
      <c r="AS19" s="48"/>
      <c r="AT19" s="48"/>
      <c r="AU19" s="48"/>
      <c r="AV19" s="48"/>
      <c r="AW19" s="48"/>
      <c r="AX19" s="48"/>
      <c r="AY19" s="48"/>
      <c r="AZ19" s="48"/>
      <c r="BA19" s="48"/>
      <c r="BB19" s="48"/>
      <c r="BC19" s="48"/>
      <c r="BD19" s="48"/>
      <c r="BE19" s="48"/>
      <c r="BF19" s="48"/>
      <c r="BG19" s="48"/>
      <c r="BH19" s="48"/>
      <c r="BI19" s="48"/>
      <c r="BJ19" s="48"/>
      <c r="BK19" s="48"/>
      <c r="BL19" s="48"/>
      <c r="BM19" s="48"/>
      <c r="BN19" s="48"/>
      <c r="BO19" s="48"/>
      <c r="BP19" s="48"/>
      <c r="BQ19" s="48"/>
      <c r="BR19" s="48"/>
      <c r="BS19" s="48"/>
      <c r="BT19" s="48"/>
      <c r="BU19" s="48"/>
      <c r="BV19" s="48"/>
      <c r="BW19" s="48"/>
      <c r="BX19" s="48"/>
      <c r="BY19" s="48"/>
      <c r="BZ19" s="48"/>
      <c r="CA19" s="48"/>
      <c r="CB19" s="48"/>
      <c r="CC19" s="48"/>
      <c r="CD19" s="48"/>
      <c r="CE19" s="48"/>
      <c r="CF19" s="48"/>
      <c r="CG19" s="48"/>
      <c r="CH19" s="48"/>
      <c r="CI19" s="48"/>
      <c r="CJ19" s="48"/>
      <c r="CK19" s="48"/>
      <c r="CL19" s="48"/>
      <c r="CM19" s="48"/>
      <c r="CN19" s="48"/>
      <c r="CO19" s="48"/>
      <c r="CP19" s="48"/>
      <c r="CQ19" s="48"/>
      <c r="CR19" s="48"/>
      <c r="CS19" s="48"/>
      <c r="CT19" s="48"/>
      <c r="CU19" s="48"/>
      <c r="CV19" s="48"/>
      <c r="CW19" s="48"/>
      <c r="CX19" s="48"/>
      <c r="CY19" s="48"/>
      <c r="CZ19" s="48"/>
      <c r="DA19" s="48"/>
      <c r="DB19" s="48"/>
      <c r="DC19" s="48"/>
      <c r="DD19" s="48"/>
      <c r="DE19" s="48"/>
      <c r="DF19" s="48"/>
      <c r="DG19" s="48"/>
      <c r="DH19" s="48"/>
      <c r="DI19" s="48"/>
      <c r="DJ19" s="48"/>
      <c r="DK19" s="48"/>
      <c r="DL19" s="48"/>
      <c r="DM19" s="48"/>
      <c r="DN19" s="48"/>
      <c r="DO19" s="48"/>
      <c r="DP19" s="48"/>
    </row>
    <row r="20" spans="1:120" s="49" customFormat="1" ht="30" customHeight="1">
      <c r="A20" s="1246" t="s">
        <v>77</v>
      </c>
      <c r="B20" s="174" t="s">
        <v>78</v>
      </c>
      <c r="C20" s="62" t="s">
        <v>180</v>
      </c>
      <c r="D20" s="55" t="s">
        <v>191</v>
      </c>
      <c r="E20" s="167" t="s">
        <v>656</v>
      </c>
      <c r="F20" s="55" t="s">
        <v>191</v>
      </c>
      <c r="G20" s="167" t="s">
        <v>719</v>
      </c>
      <c r="H20" s="55" t="s">
        <v>191</v>
      </c>
      <c r="I20" s="167"/>
      <c r="J20" s="55" t="s">
        <v>191</v>
      </c>
      <c r="K20" s="167"/>
      <c r="L20" s="55" t="s">
        <v>191</v>
      </c>
      <c r="M20" s="167"/>
      <c r="N20" s="55" t="s">
        <v>191</v>
      </c>
      <c r="O20" s="167"/>
      <c r="P20" s="55" t="s">
        <v>191</v>
      </c>
      <c r="Q20" s="167"/>
      <c r="R20" s="55" t="s">
        <v>191</v>
      </c>
      <c r="S20" s="167"/>
      <c r="T20" s="55" t="s">
        <v>191</v>
      </c>
      <c r="U20" s="167"/>
      <c r="V20" s="55" t="s">
        <v>191</v>
      </c>
      <c r="W20" s="241"/>
      <c r="X20" s="55" t="s">
        <v>191</v>
      </c>
      <c r="Y20" s="167"/>
      <c r="Z20" s="55" t="s">
        <v>191</v>
      </c>
      <c r="AA20" s="167"/>
      <c r="AB20" s="1247" t="s">
        <v>221</v>
      </c>
      <c r="AC20" s="1248"/>
      <c r="AD20" s="48"/>
      <c r="AE20" s="48"/>
      <c r="AF20" s="48"/>
      <c r="AG20" s="48"/>
      <c r="AH20" s="48"/>
      <c r="AI20" s="48"/>
      <c r="AJ20" s="48"/>
      <c r="AK20" s="48"/>
      <c r="AL20" s="48"/>
      <c r="AM20" s="48"/>
      <c r="AN20" s="48"/>
      <c r="AO20" s="48"/>
      <c r="AP20" s="48"/>
      <c r="AQ20" s="48"/>
      <c r="AR20" s="48"/>
      <c r="AS20" s="48"/>
      <c r="AT20" s="48"/>
      <c r="AU20" s="48"/>
      <c r="AV20" s="48"/>
      <c r="AW20" s="48"/>
      <c r="AX20" s="48"/>
      <c r="AY20" s="48"/>
      <c r="AZ20" s="48"/>
      <c r="BA20" s="48"/>
      <c r="BB20" s="48"/>
      <c r="BC20" s="48"/>
      <c r="BD20" s="48"/>
      <c r="BE20" s="48"/>
      <c r="BF20" s="48"/>
      <c r="BG20" s="48"/>
      <c r="BH20" s="48"/>
      <c r="BI20" s="48"/>
      <c r="BJ20" s="48"/>
      <c r="BK20" s="48"/>
      <c r="BL20" s="48"/>
      <c r="BM20" s="48"/>
      <c r="BN20" s="48"/>
      <c r="BO20" s="48"/>
      <c r="BP20" s="48"/>
      <c r="BQ20" s="48"/>
      <c r="BR20" s="48"/>
      <c r="BS20" s="48"/>
      <c r="BT20" s="48"/>
      <c r="BU20" s="48"/>
      <c r="BV20" s="48"/>
      <c r="BW20" s="48"/>
      <c r="BX20" s="48"/>
      <c r="BY20" s="48"/>
      <c r="BZ20" s="48"/>
      <c r="CA20" s="48"/>
      <c r="CB20" s="48"/>
      <c r="CC20" s="48"/>
      <c r="CD20" s="48"/>
      <c r="CE20" s="48"/>
      <c r="CF20" s="48"/>
      <c r="CG20" s="48"/>
      <c r="CH20" s="48"/>
      <c r="CI20" s="48"/>
      <c r="CJ20" s="48"/>
      <c r="CK20" s="48"/>
      <c r="CL20" s="48"/>
      <c r="CM20" s="48"/>
      <c r="CN20" s="48"/>
      <c r="CO20" s="48"/>
      <c r="CP20" s="48"/>
      <c r="CQ20" s="48"/>
      <c r="CR20" s="48"/>
      <c r="CS20" s="48"/>
      <c r="CT20" s="48"/>
      <c r="CU20" s="48"/>
      <c r="CV20" s="48"/>
      <c r="CW20" s="48"/>
      <c r="CX20" s="48"/>
      <c r="CY20" s="48"/>
      <c r="CZ20" s="48"/>
      <c r="DA20" s="48"/>
      <c r="DB20" s="48"/>
      <c r="DC20" s="48"/>
      <c r="DD20" s="48"/>
      <c r="DE20" s="48"/>
      <c r="DF20" s="48"/>
      <c r="DG20" s="48"/>
      <c r="DH20" s="48"/>
      <c r="DI20" s="48"/>
      <c r="DJ20" s="48"/>
      <c r="DK20" s="48"/>
      <c r="DL20" s="48"/>
      <c r="DM20" s="48"/>
      <c r="DN20" s="48"/>
      <c r="DO20" s="48"/>
      <c r="DP20" s="48"/>
    </row>
    <row r="21" spans="1:120" s="49" customFormat="1" ht="30" customHeight="1">
      <c r="A21" s="1229"/>
      <c r="B21" s="175" t="s">
        <v>139</v>
      </c>
      <c r="C21" s="62" t="s">
        <v>140</v>
      </c>
      <c r="D21" s="57" t="s">
        <v>191</v>
      </c>
      <c r="E21" s="158" t="s">
        <v>656</v>
      </c>
      <c r="F21" s="57" t="s">
        <v>191</v>
      </c>
      <c r="G21" s="158" t="s">
        <v>719</v>
      </c>
      <c r="H21" s="57" t="s">
        <v>191</v>
      </c>
      <c r="I21" s="158"/>
      <c r="J21" s="57" t="s">
        <v>191</v>
      </c>
      <c r="K21" s="158"/>
      <c r="L21" s="57" t="s">
        <v>191</v>
      </c>
      <c r="M21" s="158"/>
      <c r="N21" s="57" t="s">
        <v>191</v>
      </c>
      <c r="O21" s="158"/>
      <c r="P21" s="57" t="s">
        <v>191</v>
      </c>
      <c r="Q21" s="158"/>
      <c r="R21" s="57" t="s">
        <v>191</v>
      </c>
      <c r="S21" s="158"/>
      <c r="T21" s="57" t="s">
        <v>191</v>
      </c>
      <c r="U21" s="158"/>
      <c r="V21" s="57" t="s">
        <v>191</v>
      </c>
      <c r="W21" s="158"/>
      <c r="X21" s="57" t="s">
        <v>191</v>
      </c>
      <c r="Y21" s="158"/>
      <c r="Z21" s="57" t="s">
        <v>191</v>
      </c>
      <c r="AA21" s="158"/>
      <c r="AB21" s="1236" t="s">
        <v>222</v>
      </c>
      <c r="AC21" s="1237"/>
      <c r="AD21" s="48"/>
      <c r="AE21" s="48"/>
      <c r="AF21" s="48"/>
      <c r="AG21" s="48"/>
      <c r="AH21" s="48"/>
      <c r="AI21" s="48"/>
      <c r="AJ21" s="48"/>
      <c r="AK21" s="48"/>
      <c r="AL21" s="48"/>
      <c r="AM21" s="48"/>
      <c r="AN21" s="48"/>
      <c r="AO21" s="48"/>
      <c r="AP21" s="48"/>
      <c r="AQ21" s="48"/>
      <c r="AR21" s="48"/>
      <c r="AS21" s="48"/>
      <c r="AT21" s="48"/>
      <c r="AU21" s="48"/>
      <c r="AV21" s="48"/>
      <c r="AW21" s="48"/>
      <c r="AX21" s="48"/>
      <c r="AY21" s="48"/>
      <c r="AZ21" s="48"/>
      <c r="BA21" s="48"/>
      <c r="BB21" s="48"/>
      <c r="BC21" s="48"/>
      <c r="BD21" s="48"/>
      <c r="BE21" s="48"/>
      <c r="BF21" s="48"/>
      <c r="BG21" s="48"/>
      <c r="BH21" s="48"/>
      <c r="BI21" s="48"/>
      <c r="BJ21" s="48"/>
      <c r="BK21" s="48"/>
      <c r="BL21" s="48"/>
      <c r="BM21" s="48"/>
      <c r="BN21" s="48"/>
      <c r="BO21" s="48"/>
      <c r="BP21" s="48"/>
      <c r="BQ21" s="48"/>
      <c r="BR21" s="48"/>
      <c r="BS21" s="48"/>
      <c r="BT21" s="48"/>
      <c r="BU21" s="48"/>
      <c r="BV21" s="48"/>
      <c r="BW21" s="48"/>
      <c r="BX21" s="48"/>
      <c r="BY21" s="48"/>
      <c r="BZ21" s="48"/>
      <c r="CA21" s="48"/>
      <c r="CB21" s="48"/>
      <c r="CC21" s="48"/>
      <c r="CD21" s="48"/>
      <c r="CE21" s="48"/>
      <c r="CF21" s="48"/>
      <c r="CG21" s="48"/>
      <c r="CH21" s="48"/>
      <c r="CI21" s="48"/>
      <c r="CJ21" s="48"/>
      <c r="CK21" s="48"/>
      <c r="CL21" s="48"/>
      <c r="CM21" s="48"/>
      <c r="CN21" s="48"/>
      <c r="CO21" s="48"/>
      <c r="CP21" s="48"/>
      <c r="CQ21" s="48"/>
      <c r="CR21" s="48"/>
      <c r="CS21" s="48"/>
      <c r="CT21" s="48"/>
      <c r="CU21" s="48"/>
      <c r="CV21" s="48"/>
      <c r="CW21" s="48"/>
      <c r="CX21" s="48"/>
      <c r="CY21" s="48"/>
      <c r="CZ21" s="48"/>
      <c r="DA21" s="48"/>
      <c r="DB21" s="48"/>
      <c r="DC21" s="48"/>
      <c r="DD21" s="48"/>
      <c r="DE21" s="48"/>
      <c r="DF21" s="48"/>
      <c r="DG21" s="48"/>
      <c r="DH21" s="48"/>
      <c r="DI21" s="48"/>
      <c r="DJ21" s="48"/>
      <c r="DK21" s="48"/>
      <c r="DL21" s="48"/>
      <c r="DM21" s="48"/>
      <c r="DN21" s="48"/>
      <c r="DO21" s="48"/>
      <c r="DP21" s="48"/>
    </row>
    <row r="22" spans="1:120" s="49" customFormat="1" ht="30" customHeight="1">
      <c r="A22" s="1230"/>
      <c r="B22" s="174" t="s">
        <v>218</v>
      </c>
      <c r="C22" s="176" t="s">
        <v>141</v>
      </c>
      <c r="D22" s="57" t="s">
        <v>173</v>
      </c>
      <c r="E22" s="167" t="s">
        <v>650</v>
      </c>
      <c r="F22" s="55"/>
      <c r="G22" s="167"/>
      <c r="H22" s="57" t="s">
        <v>173</v>
      </c>
      <c r="I22" s="167"/>
      <c r="J22" s="55"/>
      <c r="K22" s="167"/>
      <c r="L22" s="57" t="s">
        <v>173</v>
      </c>
      <c r="M22" s="167"/>
      <c r="N22" s="55"/>
      <c r="O22" s="167"/>
      <c r="P22" s="57" t="s">
        <v>173</v>
      </c>
      <c r="Q22" s="167"/>
      <c r="R22" s="55"/>
      <c r="S22" s="167"/>
      <c r="T22" s="55" t="s">
        <v>129</v>
      </c>
      <c r="U22" s="167"/>
      <c r="V22" s="55"/>
      <c r="W22" s="240"/>
      <c r="X22" s="55" t="s">
        <v>173</v>
      </c>
      <c r="Y22" s="167"/>
      <c r="Z22" s="55"/>
      <c r="AA22" s="167"/>
      <c r="AB22" s="1234"/>
      <c r="AC22" s="1235"/>
      <c r="AD22" s="48"/>
      <c r="AE22" s="48"/>
      <c r="AF22" s="48"/>
      <c r="AG22" s="48"/>
      <c r="AH22" s="48"/>
      <c r="AI22" s="48"/>
      <c r="AJ22" s="48"/>
      <c r="AK22" s="48"/>
      <c r="AL22" s="48"/>
      <c r="AM22" s="48"/>
      <c r="AN22" s="48"/>
      <c r="AO22" s="48"/>
      <c r="AP22" s="48"/>
      <c r="AQ22" s="48"/>
      <c r="AR22" s="48"/>
      <c r="AS22" s="48"/>
      <c r="AT22" s="48"/>
      <c r="AU22" s="48"/>
      <c r="AV22" s="48"/>
      <c r="AW22" s="48"/>
      <c r="AX22" s="48"/>
      <c r="AY22" s="48"/>
      <c r="AZ22" s="48"/>
      <c r="BA22" s="48"/>
      <c r="BB22" s="48"/>
      <c r="BC22" s="48"/>
      <c r="BD22" s="48"/>
      <c r="BE22" s="48"/>
      <c r="BF22" s="48"/>
      <c r="BG22" s="48"/>
      <c r="BH22" s="48"/>
      <c r="BI22" s="48"/>
      <c r="BJ22" s="48"/>
      <c r="BK22" s="48"/>
      <c r="BL22" s="48"/>
      <c r="BM22" s="48"/>
      <c r="BN22" s="48"/>
      <c r="BO22" s="48"/>
      <c r="BP22" s="48"/>
      <c r="BQ22" s="48"/>
      <c r="BR22" s="48"/>
      <c r="BS22" s="48"/>
      <c r="BT22" s="48"/>
      <c r="BU22" s="48"/>
      <c r="BV22" s="48"/>
      <c r="BW22" s="48"/>
      <c r="BX22" s="48"/>
      <c r="BY22" s="48"/>
      <c r="BZ22" s="48"/>
      <c r="CA22" s="48"/>
      <c r="CB22" s="48"/>
      <c r="CC22" s="48"/>
      <c r="CD22" s="48"/>
      <c r="CE22" s="48"/>
      <c r="CF22" s="48"/>
      <c r="CG22" s="48"/>
      <c r="CH22" s="48"/>
      <c r="CI22" s="48"/>
      <c r="CJ22" s="48"/>
      <c r="CK22" s="48"/>
      <c r="CL22" s="48"/>
      <c r="CM22" s="48"/>
      <c r="CN22" s="48"/>
      <c r="CO22" s="48"/>
      <c r="CP22" s="48"/>
      <c r="CQ22" s="48"/>
      <c r="CR22" s="48"/>
      <c r="CS22" s="48"/>
      <c r="CT22" s="48"/>
      <c r="CU22" s="48"/>
      <c r="CV22" s="48"/>
      <c r="CW22" s="48"/>
      <c r="CX22" s="48"/>
      <c r="CY22" s="48"/>
      <c r="CZ22" s="48"/>
      <c r="DA22" s="48"/>
      <c r="DB22" s="48"/>
      <c r="DC22" s="48"/>
      <c r="DD22" s="48"/>
      <c r="DE22" s="48"/>
      <c r="DF22" s="48"/>
      <c r="DG22" s="48"/>
      <c r="DH22" s="48"/>
      <c r="DI22" s="48"/>
      <c r="DJ22" s="48"/>
      <c r="DK22" s="48"/>
      <c r="DL22" s="48"/>
      <c r="DM22" s="48"/>
      <c r="DN22" s="48"/>
      <c r="DO22" s="48"/>
      <c r="DP22" s="48"/>
    </row>
    <row r="23" spans="1:120" s="49" customFormat="1" ht="30" customHeight="1">
      <c r="A23" s="1230"/>
      <c r="B23" s="175" t="s">
        <v>142</v>
      </c>
      <c r="C23" s="62" t="s">
        <v>83</v>
      </c>
      <c r="D23" s="55"/>
      <c r="E23" s="167"/>
      <c r="F23" s="55"/>
      <c r="G23" s="167"/>
      <c r="H23" s="55"/>
      <c r="I23" s="167"/>
      <c r="J23" s="55" t="s">
        <v>568</v>
      </c>
      <c r="K23" s="167"/>
      <c r="L23" s="55"/>
      <c r="M23" s="167"/>
      <c r="N23" s="55"/>
      <c r="O23" s="167"/>
      <c r="P23" s="55"/>
      <c r="Q23" s="167"/>
      <c r="R23" s="55" t="s">
        <v>173</v>
      </c>
      <c r="S23" s="167"/>
      <c r="T23" s="55"/>
      <c r="U23" s="167"/>
      <c r="V23" s="55"/>
      <c r="W23" s="240"/>
      <c r="X23" s="55"/>
      <c r="Y23" s="167"/>
      <c r="Z23" s="55"/>
      <c r="AA23" s="167"/>
      <c r="AB23" s="323"/>
      <c r="AC23" s="324"/>
      <c r="AD23" s="48"/>
      <c r="AE23" s="48"/>
      <c r="AF23" s="48"/>
      <c r="AG23" s="48"/>
      <c r="AH23" s="48"/>
      <c r="AI23" s="48"/>
      <c r="AJ23" s="48"/>
      <c r="AK23" s="48"/>
      <c r="AL23" s="48"/>
      <c r="AM23" s="48"/>
      <c r="AN23" s="48"/>
      <c r="AO23" s="48"/>
      <c r="AP23" s="48"/>
      <c r="AQ23" s="48"/>
      <c r="AR23" s="48"/>
      <c r="AS23" s="48"/>
      <c r="AT23" s="48"/>
      <c r="AU23" s="48"/>
      <c r="AV23" s="48"/>
      <c r="AW23" s="48"/>
      <c r="AX23" s="48"/>
      <c r="AY23" s="48"/>
      <c r="AZ23" s="48"/>
      <c r="BA23" s="48"/>
      <c r="BB23" s="48"/>
      <c r="BC23" s="48"/>
      <c r="BD23" s="48"/>
      <c r="BE23" s="48"/>
      <c r="BF23" s="48"/>
      <c r="BG23" s="48"/>
      <c r="BH23" s="48"/>
      <c r="BI23" s="48"/>
      <c r="BJ23" s="48"/>
      <c r="BK23" s="48"/>
      <c r="BL23" s="48"/>
      <c r="BM23" s="48"/>
      <c r="BN23" s="48"/>
      <c r="BO23" s="48"/>
      <c r="BP23" s="48"/>
      <c r="BQ23" s="48"/>
      <c r="BR23" s="48"/>
      <c r="BS23" s="48"/>
      <c r="BT23" s="48"/>
      <c r="BU23" s="48"/>
      <c r="BV23" s="48"/>
      <c r="BW23" s="48"/>
      <c r="BX23" s="48"/>
      <c r="BY23" s="48"/>
      <c r="BZ23" s="48"/>
      <c r="CA23" s="48"/>
      <c r="CB23" s="48"/>
      <c r="CC23" s="48"/>
      <c r="CD23" s="48"/>
      <c r="CE23" s="48"/>
      <c r="CF23" s="48"/>
      <c r="CG23" s="48"/>
      <c r="CH23" s="48"/>
      <c r="CI23" s="48"/>
      <c r="CJ23" s="48"/>
      <c r="CK23" s="48"/>
      <c r="CL23" s="48"/>
      <c r="CM23" s="48"/>
      <c r="CN23" s="48"/>
      <c r="CO23" s="48"/>
      <c r="CP23" s="48"/>
      <c r="CQ23" s="48"/>
      <c r="CR23" s="48"/>
      <c r="CS23" s="48"/>
      <c r="CT23" s="48"/>
      <c r="CU23" s="48"/>
      <c r="CV23" s="48"/>
      <c r="CW23" s="48"/>
      <c r="CX23" s="48"/>
      <c r="CY23" s="48"/>
      <c r="CZ23" s="48"/>
      <c r="DA23" s="48"/>
      <c r="DB23" s="48"/>
      <c r="DC23" s="48"/>
      <c r="DD23" s="48"/>
      <c r="DE23" s="48"/>
      <c r="DF23" s="48"/>
      <c r="DG23" s="48"/>
      <c r="DH23" s="48"/>
      <c r="DI23" s="48"/>
      <c r="DJ23" s="48"/>
      <c r="DK23" s="48"/>
      <c r="DL23" s="48"/>
      <c r="DM23" s="48"/>
      <c r="DN23" s="48"/>
      <c r="DO23" s="48"/>
      <c r="DP23" s="48"/>
    </row>
    <row r="24" spans="1:120" s="49" customFormat="1" ht="30" customHeight="1">
      <c r="A24" s="1230"/>
      <c r="B24" s="177" t="s">
        <v>79</v>
      </c>
      <c r="C24" s="62" t="s">
        <v>143</v>
      </c>
      <c r="D24" s="55"/>
      <c r="E24" s="167"/>
      <c r="F24" s="55"/>
      <c r="G24" s="167"/>
      <c r="H24" s="55"/>
      <c r="I24" s="167"/>
      <c r="J24" s="55" t="s">
        <v>173</v>
      </c>
      <c r="K24" s="167"/>
      <c r="L24" s="55"/>
      <c r="M24" s="167"/>
      <c r="N24" s="55"/>
      <c r="O24" s="167"/>
      <c r="P24" s="55"/>
      <c r="Q24" s="167"/>
      <c r="R24" s="55"/>
      <c r="S24" s="167"/>
      <c r="T24" s="55"/>
      <c r="U24" s="167"/>
      <c r="V24" s="55" t="s">
        <v>173</v>
      </c>
      <c r="W24" s="240"/>
      <c r="X24" s="55"/>
      <c r="Y24" s="167"/>
      <c r="Z24" s="55"/>
      <c r="AA24" s="167"/>
      <c r="AB24" s="323"/>
      <c r="AC24" s="324"/>
      <c r="AD24" s="48"/>
      <c r="AE24" s="48"/>
      <c r="AF24" s="48"/>
      <c r="AG24" s="48"/>
      <c r="AH24" s="48"/>
      <c r="AI24" s="48"/>
      <c r="AJ24" s="48"/>
      <c r="AK24" s="48"/>
      <c r="AL24" s="48"/>
      <c r="AM24" s="48"/>
      <c r="AN24" s="48"/>
      <c r="AO24" s="48"/>
      <c r="AP24" s="48"/>
      <c r="AQ24" s="48"/>
      <c r="AR24" s="48"/>
      <c r="AS24" s="48"/>
      <c r="AT24" s="48"/>
      <c r="AU24" s="48"/>
      <c r="AV24" s="48"/>
      <c r="AW24" s="48"/>
      <c r="AX24" s="48"/>
      <c r="AY24" s="48"/>
      <c r="AZ24" s="48"/>
      <c r="BA24" s="48"/>
      <c r="BB24" s="48"/>
      <c r="BC24" s="48"/>
      <c r="BD24" s="48"/>
      <c r="BE24" s="48"/>
      <c r="BF24" s="48"/>
      <c r="BG24" s="48"/>
      <c r="BH24" s="48"/>
      <c r="BI24" s="48"/>
      <c r="BJ24" s="48"/>
      <c r="BK24" s="48"/>
      <c r="BL24" s="48"/>
      <c r="BM24" s="48"/>
      <c r="BN24" s="48"/>
      <c r="BO24" s="48"/>
      <c r="BP24" s="48"/>
      <c r="BQ24" s="48"/>
      <c r="BR24" s="48"/>
      <c r="BS24" s="48"/>
      <c r="BT24" s="48"/>
      <c r="BU24" s="48"/>
      <c r="BV24" s="48"/>
      <c r="BW24" s="48"/>
      <c r="BX24" s="48"/>
      <c r="BY24" s="48"/>
      <c r="BZ24" s="48"/>
      <c r="CA24" s="48"/>
      <c r="CB24" s="48"/>
      <c r="CC24" s="48"/>
      <c r="CD24" s="48"/>
      <c r="CE24" s="48"/>
      <c r="CF24" s="48"/>
      <c r="CG24" s="48"/>
      <c r="CH24" s="48"/>
      <c r="CI24" s="48"/>
      <c r="CJ24" s="48"/>
      <c r="CK24" s="48"/>
      <c r="CL24" s="48"/>
      <c r="CM24" s="48"/>
      <c r="CN24" s="48"/>
      <c r="CO24" s="48"/>
      <c r="CP24" s="48"/>
      <c r="CQ24" s="48"/>
      <c r="CR24" s="48"/>
      <c r="CS24" s="48"/>
      <c r="CT24" s="48"/>
      <c r="CU24" s="48"/>
      <c r="CV24" s="48"/>
      <c r="CW24" s="48"/>
      <c r="CX24" s="48"/>
      <c r="CY24" s="48"/>
      <c r="CZ24" s="48"/>
      <c r="DA24" s="48"/>
      <c r="DB24" s="48"/>
      <c r="DC24" s="48"/>
      <c r="DD24" s="48"/>
      <c r="DE24" s="48"/>
      <c r="DF24" s="48"/>
      <c r="DG24" s="48"/>
      <c r="DH24" s="48"/>
      <c r="DI24" s="48"/>
      <c r="DJ24" s="48"/>
      <c r="DK24" s="48"/>
      <c r="DL24" s="48"/>
      <c r="DM24" s="48"/>
      <c r="DN24" s="48"/>
      <c r="DO24" s="48"/>
      <c r="DP24" s="48"/>
    </row>
    <row r="25" spans="1:120" s="49" customFormat="1" ht="30" customHeight="1">
      <c r="A25" s="1251"/>
      <c r="B25" s="178" t="s">
        <v>80</v>
      </c>
      <c r="C25" s="63" t="s">
        <v>72</v>
      </c>
      <c r="D25" s="57" t="s">
        <v>191</v>
      </c>
      <c r="E25" s="158" t="s">
        <v>656</v>
      </c>
      <c r="F25" s="57" t="s">
        <v>191</v>
      </c>
      <c r="G25" s="158" t="s">
        <v>719</v>
      </c>
      <c r="H25" s="57" t="s">
        <v>191</v>
      </c>
      <c r="I25" s="158"/>
      <c r="J25" s="57" t="s">
        <v>191</v>
      </c>
      <c r="K25" s="158"/>
      <c r="L25" s="57" t="s">
        <v>191</v>
      </c>
      <c r="M25" s="158"/>
      <c r="N25" s="57" t="s">
        <v>191</v>
      </c>
      <c r="O25" s="158"/>
      <c r="P25" s="57" t="s">
        <v>191</v>
      </c>
      <c r="Q25" s="158"/>
      <c r="R25" s="57" t="s">
        <v>191</v>
      </c>
      <c r="S25" s="158"/>
      <c r="T25" s="57" t="s">
        <v>191</v>
      </c>
      <c r="U25" s="158"/>
      <c r="V25" s="57" t="s">
        <v>191</v>
      </c>
      <c r="W25" s="158"/>
      <c r="X25" s="57" t="s">
        <v>191</v>
      </c>
      <c r="Y25" s="158"/>
      <c r="Z25" s="57" t="s">
        <v>191</v>
      </c>
      <c r="AA25" s="158"/>
      <c r="AB25" s="1236" t="s">
        <v>219</v>
      </c>
      <c r="AC25" s="1237"/>
      <c r="AD25" s="48"/>
      <c r="AE25" s="48"/>
      <c r="AF25" s="48"/>
      <c r="AG25" s="48"/>
      <c r="AH25" s="48"/>
      <c r="AI25" s="48"/>
      <c r="AJ25" s="48"/>
      <c r="AK25" s="48"/>
      <c r="AL25" s="48"/>
      <c r="AM25" s="48"/>
      <c r="AN25" s="48"/>
      <c r="AO25" s="48"/>
      <c r="AP25" s="48"/>
      <c r="AQ25" s="48"/>
      <c r="AR25" s="48"/>
      <c r="AS25" s="48"/>
      <c r="AT25" s="48"/>
      <c r="AU25" s="48"/>
      <c r="AV25" s="48"/>
      <c r="AW25" s="48"/>
      <c r="AX25" s="48"/>
      <c r="AY25" s="48"/>
      <c r="AZ25" s="48"/>
      <c r="BA25" s="48"/>
      <c r="BB25" s="48"/>
      <c r="BC25" s="48"/>
      <c r="BD25" s="48"/>
      <c r="BE25" s="48"/>
      <c r="BF25" s="48"/>
      <c r="BG25" s="48"/>
      <c r="BH25" s="48"/>
      <c r="BI25" s="48"/>
      <c r="BJ25" s="48"/>
      <c r="BK25" s="48"/>
      <c r="BL25" s="48"/>
      <c r="BM25" s="48"/>
      <c r="BN25" s="48"/>
      <c r="BO25" s="48"/>
      <c r="BP25" s="48"/>
      <c r="BQ25" s="48"/>
      <c r="BR25" s="48"/>
      <c r="BS25" s="48"/>
      <c r="BT25" s="48"/>
      <c r="BU25" s="48"/>
      <c r="BV25" s="48"/>
      <c r="BW25" s="48"/>
      <c r="BX25" s="48"/>
      <c r="BY25" s="48"/>
      <c r="BZ25" s="48"/>
      <c r="CA25" s="48"/>
      <c r="CB25" s="48"/>
      <c r="CC25" s="48"/>
      <c r="CD25" s="48"/>
      <c r="CE25" s="48"/>
      <c r="CF25" s="48"/>
      <c r="CG25" s="48"/>
      <c r="CH25" s="48"/>
      <c r="CI25" s="48"/>
      <c r="CJ25" s="48"/>
      <c r="CK25" s="48"/>
      <c r="CL25" s="48"/>
      <c r="CM25" s="48"/>
      <c r="CN25" s="48"/>
      <c r="CO25" s="48"/>
      <c r="CP25" s="48"/>
      <c r="CQ25" s="48"/>
      <c r="CR25" s="48"/>
      <c r="CS25" s="48"/>
      <c r="CT25" s="48"/>
      <c r="CU25" s="48"/>
      <c r="CV25" s="48"/>
      <c r="CW25" s="48"/>
      <c r="CX25" s="48"/>
      <c r="CY25" s="48"/>
      <c r="CZ25" s="48"/>
      <c r="DA25" s="48"/>
      <c r="DB25" s="48"/>
      <c r="DC25" s="48"/>
      <c r="DD25" s="48"/>
      <c r="DE25" s="48"/>
      <c r="DF25" s="48"/>
      <c r="DG25" s="48"/>
      <c r="DH25" s="48"/>
      <c r="DI25" s="48"/>
      <c r="DJ25" s="48"/>
      <c r="DK25" s="48"/>
      <c r="DL25" s="48"/>
      <c r="DM25" s="48"/>
      <c r="DN25" s="48"/>
      <c r="DO25" s="48"/>
      <c r="DP25" s="48"/>
    </row>
    <row r="26" spans="1:120" s="49" customFormat="1" ht="30" customHeight="1" thickBot="1">
      <c r="A26" s="326"/>
      <c r="B26" s="162" t="s">
        <v>144</v>
      </c>
      <c r="C26" s="163" t="s">
        <v>133</v>
      </c>
      <c r="D26" s="60"/>
      <c r="E26" s="164"/>
      <c r="F26" s="60"/>
      <c r="G26" s="164"/>
      <c r="H26" s="60"/>
      <c r="I26" s="164"/>
      <c r="J26" s="60"/>
      <c r="K26" s="164"/>
      <c r="L26" s="60"/>
      <c r="M26" s="164"/>
      <c r="N26" s="60"/>
      <c r="O26" s="164"/>
      <c r="P26" s="60" t="s">
        <v>129</v>
      </c>
      <c r="Q26" s="164"/>
      <c r="R26" s="60"/>
      <c r="S26" s="164"/>
      <c r="T26" s="60"/>
      <c r="U26" s="164"/>
      <c r="V26" s="60"/>
      <c r="W26" s="242"/>
      <c r="X26" s="60"/>
      <c r="Y26" s="164"/>
      <c r="Z26" s="60"/>
      <c r="AA26" s="254"/>
      <c r="AB26" s="251" t="s">
        <v>220</v>
      </c>
      <c r="AC26" s="325"/>
      <c r="AD26" s="48"/>
      <c r="AE26" s="48"/>
      <c r="AF26" s="48"/>
      <c r="AG26" s="48"/>
      <c r="AH26" s="48"/>
      <c r="AI26" s="48"/>
      <c r="AJ26" s="48"/>
      <c r="AK26" s="48"/>
      <c r="AL26" s="48"/>
      <c r="AM26" s="48"/>
      <c r="AN26" s="48"/>
      <c r="AO26" s="48"/>
      <c r="AP26" s="48"/>
      <c r="AQ26" s="48"/>
      <c r="AR26" s="48"/>
      <c r="AS26" s="48"/>
      <c r="AT26" s="48"/>
      <c r="AU26" s="48"/>
      <c r="AV26" s="48"/>
      <c r="AW26" s="48"/>
      <c r="AX26" s="48"/>
      <c r="AY26" s="48"/>
      <c r="AZ26" s="48"/>
      <c r="BA26" s="48"/>
      <c r="BB26" s="48"/>
      <c r="BC26" s="48"/>
      <c r="BD26" s="48"/>
      <c r="BE26" s="48"/>
      <c r="BF26" s="48"/>
      <c r="BG26" s="48"/>
      <c r="BH26" s="48"/>
      <c r="BI26" s="48"/>
      <c r="BJ26" s="48"/>
      <c r="BK26" s="48"/>
      <c r="BL26" s="48"/>
      <c r="BM26" s="48"/>
      <c r="BN26" s="48"/>
      <c r="BO26" s="48"/>
      <c r="BP26" s="48"/>
      <c r="BQ26" s="48"/>
      <c r="BR26" s="48"/>
      <c r="BS26" s="48"/>
      <c r="BT26" s="48"/>
      <c r="BU26" s="48"/>
      <c r="BV26" s="48"/>
      <c r="BW26" s="48"/>
      <c r="BX26" s="48"/>
      <c r="BY26" s="48"/>
      <c r="BZ26" s="48"/>
      <c r="CA26" s="48"/>
      <c r="CB26" s="48"/>
      <c r="CC26" s="48"/>
      <c r="CD26" s="48"/>
      <c r="CE26" s="48"/>
      <c r="CF26" s="48"/>
      <c r="CG26" s="48"/>
      <c r="CH26" s="48"/>
      <c r="CI26" s="48"/>
      <c r="CJ26" s="48"/>
      <c r="CK26" s="48"/>
      <c r="CL26" s="48"/>
      <c r="CM26" s="48"/>
      <c r="CN26" s="48"/>
      <c r="CO26" s="48"/>
      <c r="CP26" s="48"/>
      <c r="CQ26" s="48"/>
      <c r="CR26" s="48"/>
      <c r="CS26" s="48"/>
      <c r="CT26" s="48"/>
      <c r="CU26" s="48"/>
      <c r="CV26" s="48"/>
      <c r="CW26" s="48"/>
      <c r="CX26" s="48"/>
      <c r="CY26" s="48"/>
      <c r="CZ26" s="48"/>
      <c r="DA26" s="48"/>
      <c r="DB26" s="48"/>
      <c r="DC26" s="48"/>
      <c r="DD26" s="48"/>
      <c r="DE26" s="48"/>
      <c r="DF26" s="48"/>
      <c r="DG26" s="48"/>
      <c r="DH26" s="48"/>
      <c r="DI26" s="48"/>
      <c r="DJ26" s="48"/>
      <c r="DK26" s="48"/>
      <c r="DL26" s="48"/>
      <c r="DM26" s="48"/>
      <c r="DN26" s="48"/>
      <c r="DO26" s="48"/>
      <c r="DP26" s="48"/>
    </row>
    <row r="27" spans="1:120" s="49" customFormat="1" ht="30" customHeight="1">
      <c r="A27" s="1246" t="s">
        <v>81</v>
      </c>
      <c r="B27" s="179" t="s">
        <v>82</v>
      </c>
      <c r="C27" s="180" t="s">
        <v>83</v>
      </c>
      <c r="D27" s="56" t="s">
        <v>34</v>
      </c>
      <c r="E27" s="181" t="s">
        <v>651</v>
      </c>
      <c r="F27" s="56"/>
      <c r="G27" s="181"/>
      <c r="H27" s="56"/>
      <c r="I27" s="155"/>
      <c r="J27" s="56"/>
      <c r="K27" s="181"/>
      <c r="L27" s="56"/>
      <c r="M27" s="181"/>
      <c r="N27" s="56"/>
      <c r="O27" s="181"/>
      <c r="P27" s="56" t="s">
        <v>34</v>
      </c>
      <c r="Q27" s="181"/>
      <c r="R27" s="56"/>
      <c r="S27" s="181"/>
      <c r="T27" s="56"/>
      <c r="U27" s="181"/>
      <c r="V27" s="56"/>
      <c r="W27" s="244"/>
      <c r="X27" s="56"/>
      <c r="Y27" s="181"/>
      <c r="Z27" s="56"/>
      <c r="AA27" s="181"/>
      <c r="AB27" s="1247"/>
      <c r="AC27" s="1248"/>
      <c r="AD27" s="48"/>
      <c r="AE27" s="48"/>
      <c r="AF27" s="48"/>
      <c r="AG27" s="48"/>
      <c r="AH27" s="48"/>
      <c r="AI27" s="48"/>
      <c r="AJ27" s="48"/>
      <c r="AK27" s="48"/>
      <c r="AL27" s="48"/>
      <c r="AM27" s="48"/>
      <c r="AN27" s="48"/>
      <c r="AO27" s="48"/>
      <c r="AP27" s="48"/>
      <c r="AQ27" s="48"/>
      <c r="AR27" s="48"/>
      <c r="AS27" s="48"/>
      <c r="AT27" s="48"/>
      <c r="AU27" s="48"/>
      <c r="AV27" s="48"/>
      <c r="AW27" s="48"/>
      <c r="AX27" s="48"/>
      <c r="AY27" s="48"/>
      <c r="AZ27" s="48"/>
      <c r="BA27" s="48"/>
      <c r="BB27" s="48"/>
      <c r="BC27" s="48"/>
      <c r="BD27" s="48"/>
      <c r="BE27" s="48"/>
      <c r="BF27" s="48"/>
      <c r="BG27" s="48"/>
      <c r="BH27" s="48"/>
      <c r="BI27" s="48"/>
      <c r="BJ27" s="48"/>
      <c r="BK27" s="48"/>
      <c r="BL27" s="48"/>
      <c r="BM27" s="48"/>
      <c r="BN27" s="48"/>
      <c r="BO27" s="48"/>
      <c r="BP27" s="48"/>
      <c r="BQ27" s="48"/>
      <c r="BR27" s="48"/>
      <c r="BS27" s="48"/>
      <c r="BT27" s="48"/>
      <c r="BU27" s="48"/>
      <c r="BV27" s="48"/>
      <c r="BW27" s="48"/>
      <c r="BX27" s="48"/>
      <c r="BY27" s="48"/>
      <c r="BZ27" s="48"/>
      <c r="CA27" s="48"/>
      <c r="CB27" s="48"/>
      <c r="CC27" s="48"/>
      <c r="CD27" s="48"/>
      <c r="CE27" s="48"/>
      <c r="CF27" s="48"/>
      <c r="CG27" s="48"/>
      <c r="CH27" s="48"/>
      <c r="CI27" s="48"/>
      <c r="CJ27" s="48"/>
      <c r="CK27" s="48"/>
      <c r="CL27" s="48"/>
      <c r="CM27" s="48"/>
      <c r="CN27" s="48"/>
      <c r="CO27" s="48"/>
      <c r="CP27" s="48"/>
      <c r="CQ27" s="48"/>
      <c r="CR27" s="48"/>
      <c r="CS27" s="48"/>
      <c r="CT27" s="48"/>
      <c r="CU27" s="48"/>
      <c r="CV27" s="48"/>
      <c r="CW27" s="48"/>
      <c r="CX27" s="48"/>
      <c r="CY27" s="48"/>
      <c r="CZ27" s="48"/>
      <c r="DA27" s="48"/>
      <c r="DB27" s="48"/>
      <c r="DC27" s="48"/>
      <c r="DD27" s="48"/>
      <c r="DE27" s="48"/>
      <c r="DF27" s="48"/>
      <c r="DG27" s="48"/>
      <c r="DH27" s="48"/>
      <c r="DI27" s="48"/>
      <c r="DJ27" s="48"/>
      <c r="DK27" s="48"/>
      <c r="DL27" s="48"/>
      <c r="DM27" s="48"/>
      <c r="DN27" s="48"/>
      <c r="DO27" s="48"/>
      <c r="DP27" s="48"/>
    </row>
    <row r="28" spans="1:120" s="49" customFormat="1" ht="30" customHeight="1">
      <c r="A28" s="1230"/>
      <c r="B28" s="182" t="s">
        <v>84</v>
      </c>
      <c r="C28" s="62" t="s">
        <v>83</v>
      </c>
      <c r="D28" s="55" t="s">
        <v>34</v>
      </c>
      <c r="E28" s="167" t="s">
        <v>651</v>
      </c>
      <c r="F28" s="55"/>
      <c r="G28" s="167"/>
      <c r="H28" s="55"/>
      <c r="I28" s="157"/>
      <c r="J28" s="55"/>
      <c r="K28" s="167"/>
      <c r="L28" s="55"/>
      <c r="M28" s="167"/>
      <c r="N28" s="55"/>
      <c r="O28" s="167"/>
      <c r="P28" s="55" t="s">
        <v>34</v>
      </c>
      <c r="Q28" s="167"/>
      <c r="R28" s="55"/>
      <c r="S28" s="167"/>
      <c r="T28" s="55"/>
      <c r="U28" s="167"/>
      <c r="V28" s="55"/>
      <c r="W28" s="245"/>
      <c r="X28" s="55"/>
      <c r="Y28" s="167"/>
      <c r="Z28" s="55"/>
      <c r="AA28" s="167"/>
      <c r="AB28" s="1232"/>
      <c r="AC28" s="1233"/>
      <c r="AD28" s="48"/>
      <c r="AE28" s="48"/>
      <c r="AF28" s="48"/>
      <c r="AG28" s="48"/>
      <c r="AH28" s="48"/>
      <c r="AI28" s="48"/>
      <c r="AJ28" s="48"/>
      <c r="AK28" s="48"/>
      <c r="AL28" s="48"/>
      <c r="AM28" s="48"/>
      <c r="AN28" s="48"/>
      <c r="AO28" s="48"/>
      <c r="AP28" s="48"/>
      <c r="AQ28" s="48"/>
      <c r="AR28" s="48"/>
      <c r="AS28" s="48"/>
      <c r="AT28" s="48"/>
      <c r="AU28" s="48"/>
      <c r="AV28" s="48"/>
      <c r="AW28" s="48"/>
      <c r="AX28" s="48"/>
      <c r="AY28" s="48"/>
      <c r="AZ28" s="48"/>
      <c r="BA28" s="48"/>
      <c r="BB28" s="48"/>
      <c r="BC28" s="48"/>
      <c r="BD28" s="48"/>
      <c r="BE28" s="48"/>
      <c r="BF28" s="48"/>
      <c r="BG28" s="48"/>
      <c r="BH28" s="48"/>
      <c r="BI28" s="48"/>
      <c r="BJ28" s="48"/>
      <c r="BK28" s="48"/>
      <c r="BL28" s="48"/>
      <c r="BM28" s="48"/>
      <c r="BN28" s="48"/>
      <c r="BO28" s="48"/>
      <c r="BP28" s="48"/>
      <c r="BQ28" s="48"/>
      <c r="BR28" s="48"/>
      <c r="BS28" s="48"/>
      <c r="BT28" s="48"/>
      <c r="BU28" s="48"/>
      <c r="BV28" s="48"/>
      <c r="BW28" s="48"/>
      <c r="BX28" s="48"/>
      <c r="BY28" s="48"/>
      <c r="BZ28" s="48"/>
      <c r="CA28" s="48"/>
      <c r="CB28" s="48"/>
      <c r="CC28" s="48"/>
      <c r="CD28" s="48"/>
      <c r="CE28" s="48"/>
      <c r="CF28" s="48"/>
      <c r="CG28" s="48"/>
      <c r="CH28" s="48"/>
      <c r="CI28" s="48"/>
      <c r="CJ28" s="48"/>
      <c r="CK28" s="48"/>
      <c r="CL28" s="48"/>
      <c r="CM28" s="48"/>
      <c r="CN28" s="48"/>
      <c r="CO28" s="48"/>
      <c r="CP28" s="48"/>
      <c r="CQ28" s="48"/>
      <c r="CR28" s="48"/>
      <c r="CS28" s="48"/>
      <c r="CT28" s="48"/>
      <c r="CU28" s="48"/>
      <c r="CV28" s="48"/>
      <c r="CW28" s="48"/>
      <c r="CX28" s="48"/>
      <c r="CY28" s="48"/>
      <c r="CZ28" s="48"/>
      <c r="DA28" s="48"/>
      <c r="DB28" s="48"/>
      <c r="DC28" s="48"/>
      <c r="DD28" s="48"/>
      <c r="DE28" s="48"/>
      <c r="DF28" s="48"/>
      <c r="DG28" s="48"/>
      <c r="DH28" s="48"/>
      <c r="DI28" s="48"/>
      <c r="DJ28" s="48"/>
      <c r="DK28" s="48"/>
      <c r="DL28" s="48"/>
      <c r="DM28" s="48"/>
      <c r="DN28" s="48"/>
      <c r="DO28" s="48"/>
      <c r="DP28" s="48"/>
    </row>
    <row r="29" spans="1:120" s="49" customFormat="1" ht="30" customHeight="1">
      <c r="A29" s="1230"/>
      <c r="B29" s="183" t="s">
        <v>85</v>
      </c>
      <c r="C29" s="184" t="s">
        <v>86</v>
      </c>
      <c r="D29" s="57" t="s">
        <v>34</v>
      </c>
      <c r="E29" s="158" t="s">
        <v>651</v>
      </c>
      <c r="F29" s="57"/>
      <c r="G29" s="158"/>
      <c r="H29" s="57"/>
      <c r="I29" s="157"/>
      <c r="J29" s="57"/>
      <c r="K29" s="158"/>
      <c r="L29" s="57"/>
      <c r="M29" s="158"/>
      <c r="N29" s="57"/>
      <c r="O29" s="158"/>
      <c r="P29" s="57" t="s">
        <v>34</v>
      </c>
      <c r="Q29" s="158"/>
      <c r="R29" s="57"/>
      <c r="S29" s="158"/>
      <c r="T29" s="57"/>
      <c r="U29" s="240"/>
      <c r="V29" s="57"/>
      <c r="W29" s="240"/>
      <c r="X29" s="57"/>
      <c r="Y29" s="158"/>
      <c r="Z29" s="57"/>
      <c r="AA29" s="158"/>
      <c r="AB29" s="1234"/>
      <c r="AC29" s="1235"/>
      <c r="AD29" s="48"/>
      <c r="AE29" s="48"/>
      <c r="AF29" s="48"/>
      <c r="AG29" s="48"/>
      <c r="AH29" s="48"/>
      <c r="AI29" s="48"/>
      <c r="AJ29" s="48"/>
      <c r="AK29" s="48"/>
      <c r="AL29" s="48"/>
      <c r="AM29" s="48"/>
      <c r="AN29" s="48"/>
      <c r="AO29" s="48"/>
      <c r="AP29" s="48"/>
      <c r="AQ29" s="48"/>
      <c r="AR29" s="48"/>
      <c r="AS29" s="48"/>
      <c r="AT29" s="48"/>
      <c r="AU29" s="48"/>
      <c r="AV29" s="48"/>
      <c r="AW29" s="48"/>
      <c r="AX29" s="48"/>
      <c r="AY29" s="48"/>
      <c r="AZ29" s="48"/>
      <c r="BA29" s="48"/>
      <c r="BB29" s="48"/>
      <c r="BC29" s="48"/>
      <c r="BD29" s="48"/>
      <c r="BE29" s="48"/>
      <c r="BF29" s="48"/>
      <c r="BG29" s="48"/>
      <c r="BH29" s="48"/>
      <c r="BI29" s="48"/>
      <c r="BJ29" s="48"/>
      <c r="BK29" s="48"/>
      <c r="BL29" s="48"/>
      <c r="BM29" s="48"/>
      <c r="BN29" s="48"/>
      <c r="BO29" s="48"/>
      <c r="BP29" s="48"/>
      <c r="BQ29" s="48"/>
      <c r="BR29" s="48"/>
      <c r="BS29" s="48"/>
      <c r="BT29" s="48"/>
      <c r="BU29" s="48"/>
      <c r="BV29" s="48"/>
      <c r="BW29" s="48"/>
      <c r="BX29" s="48"/>
      <c r="BY29" s="48"/>
      <c r="BZ29" s="48"/>
      <c r="CA29" s="48"/>
      <c r="CB29" s="48"/>
      <c r="CC29" s="48"/>
      <c r="CD29" s="48"/>
      <c r="CE29" s="48"/>
      <c r="CF29" s="48"/>
      <c r="CG29" s="48"/>
      <c r="CH29" s="48"/>
      <c r="CI29" s="48"/>
      <c r="CJ29" s="48"/>
      <c r="CK29" s="48"/>
      <c r="CL29" s="48"/>
      <c r="CM29" s="48"/>
      <c r="CN29" s="48"/>
      <c r="CO29" s="48"/>
      <c r="CP29" s="48"/>
      <c r="CQ29" s="48"/>
      <c r="CR29" s="48"/>
      <c r="CS29" s="48"/>
      <c r="CT29" s="48"/>
      <c r="CU29" s="48"/>
      <c r="CV29" s="48"/>
      <c r="CW29" s="48"/>
      <c r="CX29" s="48"/>
      <c r="CY29" s="48"/>
      <c r="CZ29" s="48"/>
      <c r="DA29" s="48"/>
      <c r="DB29" s="48"/>
      <c r="DC29" s="48"/>
      <c r="DD29" s="48"/>
      <c r="DE29" s="48"/>
      <c r="DF29" s="48"/>
      <c r="DG29" s="48"/>
      <c r="DH29" s="48"/>
      <c r="DI29" s="48"/>
      <c r="DJ29" s="48"/>
      <c r="DK29" s="48"/>
      <c r="DL29" s="48"/>
      <c r="DM29" s="48"/>
      <c r="DN29" s="48"/>
      <c r="DO29" s="48"/>
      <c r="DP29" s="48"/>
    </row>
    <row r="30" spans="1:120" s="49" customFormat="1" ht="30" customHeight="1">
      <c r="A30" s="1230"/>
      <c r="B30" s="183" t="s">
        <v>145</v>
      </c>
      <c r="C30" s="184" t="s">
        <v>86</v>
      </c>
      <c r="D30" s="59" t="s">
        <v>34</v>
      </c>
      <c r="E30" s="157" t="s">
        <v>651</v>
      </c>
      <c r="F30" s="59"/>
      <c r="G30" s="157"/>
      <c r="H30" s="59"/>
      <c r="I30" s="158"/>
      <c r="J30" s="59"/>
      <c r="K30" s="157"/>
      <c r="L30" s="808"/>
      <c r="M30" s="809"/>
      <c r="N30" s="808"/>
      <c r="O30" s="809"/>
      <c r="P30" s="808" t="s">
        <v>34</v>
      </c>
      <c r="Q30" s="809"/>
      <c r="R30" s="808"/>
      <c r="S30" s="809"/>
      <c r="T30" s="808"/>
      <c r="U30" s="240"/>
      <c r="V30" s="808"/>
      <c r="W30" s="241"/>
      <c r="X30" s="808"/>
      <c r="Y30" s="809"/>
      <c r="Z30" s="808"/>
      <c r="AA30" s="809"/>
      <c r="AB30" s="327"/>
      <c r="AC30" s="328"/>
      <c r="AD30" s="48"/>
      <c r="AE30" s="48"/>
      <c r="AF30" s="48"/>
      <c r="AG30" s="48"/>
      <c r="AH30" s="48"/>
      <c r="AI30" s="48"/>
      <c r="AJ30" s="48"/>
      <c r="AK30" s="48"/>
      <c r="AL30" s="48"/>
      <c r="AM30" s="48"/>
      <c r="AN30" s="48"/>
      <c r="AO30" s="48"/>
      <c r="AP30" s="48"/>
      <c r="AQ30" s="48"/>
      <c r="AR30" s="48"/>
      <c r="AS30" s="48"/>
      <c r="AT30" s="48"/>
      <c r="AU30" s="48"/>
      <c r="AV30" s="48"/>
      <c r="AW30" s="48"/>
      <c r="AX30" s="48"/>
      <c r="AY30" s="48"/>
      <c r="AZ30" s="48"/>
      <c r="BA30" s="48"/>
      <c r="BB30" s="48"/>
      <c r="BC30" s="48"/>
      <c r="BD30" s="48"/>
      <c r="BE30" s="48"/>
      <c r="BF30" s="48"/>
      <c r="BG30" s="48"/>
      <c r="BH30" s="48"/>
      <c r="BI30" s="48"/>
      <c r="BJ30" s="48"/>
      <c r="BK30" s="48"/>
      <c r="BL30" s="48"/>
      <c r="BM30" s="48"/>
      <c r="BN30" s="48"/>
      <c r="BO30" s="48"/>
      <c r="BP30" s="48"/>
      <c r="BQ30" s="48"/>
      <c r="BR30" s="48"/>
      <c r="BS30" s="48"/>
      <c r="BT30" s="48"/>
      <c r="BU30" s="48"/>
      <c r="BV30" s="48"/>
      <c r="BW30" s="48"/>
      <c r="BX30" s="48"/>
      <c r="BY30" s="48"/>
      <c r="BZ30" s="48"/>
      <c r="CA30" s="48"/>
      <c r="CB30" s="48"/>
      <c r="CC30" s="48"/>
      <c r="CD30" s="48"/>
      <c r="CE30" s="48"/>
      <c r="CF30" s="48"/>
      <c r="CG30" s="48"/>
      <c r="CH30" s="48"/>
      <c r="CI30" s="48"/>
      <c r="CJ30" s="48"/>
      <c r="CK30" s="48"/>
      <c r="CL30" s="48"/>
      <c r="CM30" s="48"/>
      <c r="CN30" s="48"/>
      <c r="CO30" s="48"/>
      <c r="CP30" s="48"/>
      <c r="CQ30" s="48"/>
      <c r="CR30" s="48"/>
      <c r="CS30" s="48"/>
      <c r="CT30" s="48"/>
      <c r="CU30" s="48"/>
      <c r="CV30" s="48"/>
      <c r="CW30" s="48"/>
      <c r="CX30" s="48"/>
      <c r="CY30" s="48"/>
      <c r="CZ30" s="48"/>
      <c r="DA30" s="48"/>
      <c r="DB30" s="48"/>
      <c r="DC30" s="48"/>
      <c r="DD30" s="48"/>
      <c r="DE30" s="48"/>
      <c r="DF30" s="48"/>
      <c r="DG30" s="48"/>
      <c r="DH30" s="48"/>
      <c r="DI30" s="48"/>
      <c r="DJ30" s="48"/>
      <c r="DK30" s="48"/>
      <c r="DL30" s="48"/>
      <c r="DM30" s="48"/>
      <c r="DN30" s="48"/>
      <c r="DO30" s="48"/>
      <c r="DP30" s="48"/>
    </row>
    <row r="31" spans="1:120" s="49" customFormat="1" ht="30" customHeight="1" thickBot="1">
      <c r="A31" s="1231"/>
      <c r="B31" s="183" t="s">
        <v>87</v>
      </c>
      <c r="C31" s="184" t="s">
        <v>86</v>
      </c>
      <c r="D31" s="318" t="s">
        <v>34</v>
      </c>
      <c r="E31" s="164" t="s">
        <v>651</v>
      </c>
      <c r="F31" s="60"/>
      <c r="G31" s="164"/>
      <c r="H31" s="60"/>
      <c r="I31" s="167"/>
      <c r="J31" s="60"/>
      <c r="K31" s="164"/>
      <c r="L31" s="60"/>
      <c r="M31" s="164"/>
      <c r="N31" s="60"/>
      <c r="O31" s="164"/>
      <c r="P31" s="60" t="s">
        <v>34</v>
      </c>
      <c r="Q31" s="164"/>
      <c r="R31" s="60"/>
      <c r="S31" s="164"/>
      <c r="T31" s="60"/>
      <c r="U31" s="242"/>
      <c r="V31" s="60"/>
      <c r="W31" s="242"/>
      <c r="X31" s="60"/>
      <c r="Y31" s="809"/>
      <c r="Z31" s="808"/>
      <c r="AA31" s="809"/>
      <c r="AB31" s="1249"/>
      <c r="AC31" s="1250"/>
      <c r="AD31" s="48"/>
      <c r="AE31" s="48"/>
      <c r="AF31" s="48"/>
      <c r="AG31" s="48"/>
      <c r="AH31" s="48"/>
      <c r="AI31" s="48"/>
      <c r="AJ31" s="48"/>
      <c r="AK31" s="48"/>
      <c r="AL31" s="48"/>
      <c r="AM31" s="48"/>
      <c r="AN31" s="48"/>
      <c r="AO31" s="48"/>
      <c r="AP31" s="48"/>
      <c r="AQ31" s="48"/>
      <c r="AR31" s="48"/>
      <c r="AS31" s="48"/>
      <c r="AT31" s="48"/>
      <c r="AU31" s="48"/>
      <c r="AV31" s="48"/>
      <c r="AW31" s="48"/>
      <c r="AX31" s="48"/>
      <c r="AY31" s="48"/>
      <c r="AZ31" s="48"/>
      <c r="BA31" s="48"/>
      <c r="BB31" s="48"/>
      <c r="BC31" s="48"/>
      <c r="BD31" s="48"/>
      <c r="BE31" s="48"/>
      <c r="BF31" s="48"/>
      <c r="BG31" s="48"/>
      <c r="BH31" s="48"/>
      <c r="BI31" s="48"/>
      <c r="BJ31" s="48"/>
      <c r="BK31" s="48"/>
      <c r="BL31" s="48"/>
      <c r="BM31" s="48"/>
      <c r="BN31" s="48"/>
      <c r="BO31" s="48"/>
      <c r="BP31" s="48"/>
      <c r="BQ31" s="48"/>
      <c r="BR31" s="48"/>
      <c r="BS31" s="48"/>
      <c r="BT31" s="48"/>
      <c r="BU31" s="48"/>
      <c r="BV31" s="48"/>
      <c r="BW31" s="48"/>
      <c r="BX31" s="48"/>
      <c r="BY31" s="48"/>
      <c r="BZ31" s="48"/>
      <c r="CA31" s="48"/>
      <c r="CB31" s="48"/>
      <c r="CC31" s="48"/>
      <c r="CD31" s="48"/>
      <c r="CE31" s="48"/>
      <c r="CF31" s="48"/>
      <c r="CG31" s="48"/>
      <c r="CH31" s="48"/>
      <c r="CI31" s="48"/>
      <c r="CJ31" s="48"/>
      <c r="CK31" s="48"/>
      <c r="CL31" s="48"/>
      <c r="CM31" s="48"/>
      <c r="CN31" s="48"/>
      <c r="CO31" s="48"/>
      <c r="CP31" s="48"/>
      <c r="CQ31" s="48"/>
      <c r="CR31" s="48"/>
      <c r="CS31" s="48"/>
      <c r="CT31" s="48"/>
      <c r="CU31" s="48"/>
      <c r="CV31" s="48"/>
      <c r="CW31" s="48"/>
      <c r="CX31" s="48"/>
      <c r="CY31" s="48"/>
      <c r="CZ31" s="48"/>
      <c r="DA31" s="48"/>
      <c r="DB31" s="48"/>
      <c r="DC31" s="48"/>
      <c r="DD31" s="48"/>
      <c r="DE31" s="48"/>
      <c r="DF31" s="48"/>
      <c r="DG31" s="48"/>
      <c r="DH31" s="48"/>
      <c r="DI31" s="48"/>
      <c r="DJ31" s="48"/>
      <c r="DK31" s="48"/>
      <c r="DL31" s="48"/>
      <c r="DM31" s="48"/>
      <c r="DN31" s="48"/>
      <c r="DO31" s="48"/>
      <c r="DP31" s="48"/>
    </row>
    <row r="32" spans="1:120" s="49" customFormat="1" ht="30" customHeight="1">
      <c r="A32" s="1240" t="s">
        <v>146</v>
      </c>
      <c r="B32" s="179" t="s">
        <v>88</v>
      </c>
      <c r="C32" s="185" t="s">
        <v>130</v>
      </c>
      <c r="D32" s="56"/>
      <c r="E32" s="181"/>
      <c r="F32" s="56"/>
      <c r="G32" s="181"/>
      <c r="H32" s="56"/>
      <c r="I32" s="181"/>
      <c r="J32" s="56"/>
      <c r="K32" s="181"/>
      <c r="L32" s="56"/>
      <c r="M32" s="181"/>
      <c r="N32" s="56"/>
      <c r="O32" s="181"/>
      <c r="P32" s="56"/>
      <c r="Q32" s="181"/>
      <c r="R32" s="56"/>
      <c r="S32" s="181"/>
      <c r="T32" s="56"/>
      <c r="U32" s="181"/>
      <c r="V32" s="56" t="s">
        <v>129</v>
      </c>
      <c r="W32" s="244"/>
      <c r="X32" s="56"/>
      <c r="Y32" s="181"/>
      <c r="Z32" s="56"/>
      <c r="AA32" s="181"/>
      <c r="AB32" s="1247"/>
      <c r="AC32" s="1248"/>
      <c r="AD32" s="48"/>
      <c r="AE32" s="48"/>
      <c r="AF32" s="48"/>
      <c r="AG32" s="48"/>
      <c r="AH32" s="48"/>
      <c r="AI32" s="48"/>
      <c r="AJ32" s="48"/>
      <c r="AK32" s="48"/>
      <c r="AL32" s="48"/>
      <c r="AM32" s="48"/>
      <c r="AN32" s="48"/>
      <c r="AO32" s="48"/>
      <c r="AP32" s="48"/>
      <c r="AQ32" s="48"/>
      <c r="AR32" s="48"/>
      <c r="AS32" s="48"/>
      <c r="AT32" s="48"/>
      <c r="AU32" s="48"/>
      <c r="AV32" s="48"/>
      <c r="AW32" s="48"/>
      <c r="AX32" s="48"/>
      <c r="AY32" s="48"/>
      <c r="AZ32" s="48"/>
      <c r="BA32" s="48"/>
      <c r="BB32" s="48"/>
      <c r="BC32" s="48"/>
      <c r="BD32" s="48"/>
      <c r="BE32" s="48"/>
      <c r="BF32" s="48"/>
      <c r="BG32" s="48"/>
      <c r="BH32" s="48"/>
      <c r="BI32" s="48"/>
      <c r="BJ32" s="48"/>
      <c r="BK32" s="48"/>
      <c r="BL32" s="48"/>
      <c r="BM32" s="48"/>
      <c r="BN32" s="48"/>
      <c r="BO32" s="48"/>
      <c r="BP32" s="48"/>
      <c r="BQ32" s="48"/>
      <c r="BR32" s="48"/>
      <c r="BS32" s="48"/>
      <c r="BT32" s="48"/>
      <c r="BU32" s="48"/>
      <c r="BV32" s="48"/>
      <c r="BW32" s="48"/>
      <c r="BX32" s="48"/>
      <c r="BY32" s="48"/>
      <c r="BZ32" s="48"/>
      <c r="CA32" s="48"/>
      <c r="CB32" s="48"/>
      <c r="CC32" s="48"/>
      <c r="CD32" s="48"/>
      <c r="CE32" s="48"/>
      <c r="CF32" s="48"/>
      <c r="CG32" s="48"/>
      <c r="CH32" s="48"/>
      <c r="CI32" s="48"/>
      <c r="CJ32" s="48"/>
      <c r="CK32" s="48"/>
      <c r="CL32" s="48"/>
      <c r="CM32" s="48"/>
      <c r="CN32" s="48"/>
      <c r="CO32" s="48"/>
      <c r="CP32" s="48"/>
      <c r="CQ32" s="48"/>
      <c r="CR32" s="48"/>
      <c r="CS32" s="48"/>
      <c r="CT32" s="48"/>
      <c r="CU32" s="48"/>
      <c r="CV32" s="48"/>
      <c r="CW32" s="48"/>
      <c r="CX32" s="48"/>
      <c r="CY32" s="48"/>
      <c r="CZ32" s="48"/>
      <c r="DA32" s="48"/>
      <c r="DB32" s="48"/>
      <c r="DC32" s="48"/>
      <c r="DD32" s="48"/>
      <c r="DE32" s="48"/>
      <c r="DF32" s="48"/>
      <c r="DG32" s="48"/>
      <c r="DH32" s="48"/>
      <c r="DI32" s="48"/>
      <c r="DJ32" s="48"/>
      <c r="DK32" s="48"/>
      <c r="DL32" s="48"/>
      <c r="DM32" s="48"/>
      <c r="DN32" s="48"/>
      <c r="DO32" s="48"/>
      <c r="DP32" s="48"/>
    </row>
    <row r="33" spans="1:120" s="49" customFormat="1" ht="30" customHeight="1">
      <c r="A33" s="1230"/>
      <c r="B33" s="174" t="s">
        <v>147</v>
      </c>
      <c r="C33" s="184" t="s">
        <v>86</v>
      </c>
      <c r="D33" s="55"/>
      <c r="E33" s="167"/>
      <c r="F33" s="55"/>
      <c r="G33" s="167"/>
      <c r="H33" s="55"/>
      <c r="I33" s="167"/>
      <c r="J33" s="55" t="s">
        <v>129</v>
      </c>
      <c r="K33" s="167"/>
      <c r="L33" s="55"/>
      <c r="M33" s="167"/>
      <c r="N33" s="55"/>
      <c r="O33" s="167"/>
      <c r="P33" s="55"/>
      <c r="Q33" s="167"/>
      <c r="R33" s="55"/>
      <c r="S33" s="167"/>
      <c r="T33" s="55"/>
      <c r="U33" s="167"/>
      <c r="V33" s="55" t="s">
        <v>129</v>
      </c>
      <c r="W33" s="240"/>
      <c r="X33" s="55"/>
      <c r="Y33" s="167"/>
      <c r="Z33" s="55"/>
      <c r="AA33" s="167"/>
      <c r="AB33" s="1252"/>
      <c r="AC33" s="1253"/>
      <c r="AD33" s="48"/>
      <c r="AE33" s="48"/>
      <c r="AF33" s="48"/>
      <c r="AG33" s="48"/>
      <c r="AH33" s="48"/>
      <c r="AI33" s="48"/>
      <c r="AJ33" s="48"/>
      <c r="AK33" s="48"/>
      <c r="AL33" s="48"/>
      <c r="AM33" s="48"/>
      <c r="AN33" s="48"/>
      <c r="AO33" s="48"/>
      <c r="AP33" s="48"/>
      <c r="AQ33" s="48"/>
      <c r="AR33" s="48"/>
      <c r="AS33" s="48"/>
      <c r="AT33" s="48"/>
      <c r="AU33" s="48"/>
      <c r="AV33" s="48"/>
      <c r="AW33" s="48"/>
      <c r="AX33" s="48"/>
      <c r="AY33" s="48"/>
      <c r="AZ33" s="48"/>
      <c r="BA33" s="48"/>
      <c r="BB33" s="48"/>
      <c r="BC33" s="48"/>
      <c r="BD33" s="48"/>
      <c r="BE33" s="48"/>
      <c r="BF33" s="48"/>
      <c r="BG33" s="48"/>
      <c r="BH33" s="48"/>
      <c r="BI33" s="48"/>
      <c r="BJ33" s="48"/>
      <c r="BK33" s="48"/>
      <c r="BL33" s="48"/>
      <c r="BM33" s="48"/>
      <c r="BN33" s="48"/>
      <c r="BO33" s="48"/>
      <c r="BP33" s="48"/>
      <c r="BQ33" s="48"/>
      <c r="BR33" s="48"/>
      <c r="BS33" s="48"/>
      <c r="BT33" s="48"/>
      <c r="BU33" s="48"/>
      <c r="BV33" s="48"/>
      <c r="BW33" s="48"/>
      <c r="BX33" s="48"/>
      <c r="BY33" s="48"/>
      <c r="BZ33" s="48"/>
      <c r="CA33" s="48"/>
      <c r="CB33" s="48"/>
      <c r="CC33" s="48"/>
      <c r="CD33" s="48"/>
      <c r="CE33" s="48"/>
      <c r="CF33" s="48"/>
      <c r="CG33" s="48"/>
      <c r="CH33" s="48"/>
      <c r="CI33" s="48"/>
      <c r="CJ33" s="48"/>
      <c r="CK33" s="48"/>
      <c r="CL33" s="48"/>
      <c r="CM33" s="48"/>
      <c r="CN33" s="48"/>
      <c r="CO33" s="48"/>
      <c r="CP33" s="48"/>
      <c r="CQ33" s="48"/>
      <c r="CR33" s="48"/>
      <c r="CS33" s="48"/>
      <c r="CT33" s="48"/>
      <c r="CU33" s="48"/>
      <c r="CV33" s="48"/>
      <c r="CW33" s="48"/>
      <c r="CX33" s="48"/>
      <c r="CY33" s="48"/>
      <c r="CZ33" s="48"/>
      <c r="DA33" s="48"/>
      <c r="DB33" s="48"/>
      <c r="DC33" s="48"/>
      <c r="DD33" s="48"/>
      <c r="DE33" s="48"/>
      <c r="DF33" s="48"/>
      <c r="DG33" s="48"/>
      <c r="DH33" s="48"/>
      <c r="DI33" s="48"/>
      <c r="DJ33" s="48"/>
      <c r="DK33" s="48"/>
      <c r="DL33" s="48"/>
      <c r="DM33" s="48"/>
      <c r="DN33" s="48"/>
      <c r="DO33" s="48"/>
      <c r="DP33" s="48"/>
    </row>
    <row r="34" spans="1:120" s="49" customFormat="1" ht="30" customHeight="1">
      <c r="A34" s="1230"/>
      <c r="B34" s="186" t="s">
        <v>148</v>
      </c>
      <c r="C34" s="62" t="s">
        <v>143</v>
      </c>
      <c r="D34" s="55" t="s">
        <v>129</v>
      </c>
      <c r="E34" s="167" t="s">
        <v>651</v>
      </c>
      <c r="F34" s="55"/>
      <c r="G34" s="167"/>
      <c r="H34" s="55"/>
      <c r="I34" s="167"/>
      <c r="J34" s="57"/>
      <c r="K34" s="167"/>
      <c r="L34" s="55"/>
      <c r="M34" s="167"/>
      <c r="N34" s="55"/>
      <c r="O34" s="167"/>
      <c r="P34" s="55" t="s">
        <v>129</v>
      </c>
      <c r="Q34" s="167"/>
      <c r="R34" s="55"/>
      <c r="S34" s="167"/>
      <c r="T34" s="55"/>
      <c r="U34" s="167"/>
      <c r="V34" s="57"/>
      <c r="W34" s="240"/>
      <c r="X34" s="57"/>
      <c r="Y34" s="167"/>
      <c r="Z34" s="55"/>
      <c r="AA34" s="255"/>
      <c r="AB34" s="169"/>
      <c r="AC34" s="328"/>
      <c r="AD34" s="48"/>
      <c r="AE34" s="48"/>
      <c r="AF34" s="48"/>
      <c r="AG34" s="48"/>
      <c r="AH34" s="48"/>
      <c r="AI34" s="48"/>
      <c r="AJ34" s="48"/>
      <c r="AK34" s="48"/>
      <c r="AL34" s="48"/>
      <c r="AM34" s="48"/>
      <c r="AN34" s="48"/>
      <c r="AO34" s="48"/>
      <c r="AP34" s="48"/>
      <c r="AQ34" s="48"/>
      <c r="AR34" s="48"/>
      <c r="AS34" s="48"/>
      <c r="AT34" s="48"/>
      <c r="AU34" s="48"/>
      <c r="AV34" s="48"/>
      <c r="AW34" s="48"/>
      <c r="AX34" s="48"/>
      <c r="AY34" s="48"/>
      <c r="AZ34" s="48"/>
      <c r="BA34" s="48"/>
      <c r="BB34" s="48"/>
      <c r="BC34" s="48"/>
      <c r="BD34" s="48"/>
      <c r="BE34" s="48"/>
      <c r="BF34" s="48"/>
      <c r="BG34" s="48"/>
      <c r="BH34" s="48"/>
      <c r="BI34" s="48"/>
      <c r="BJ34" s="48"/>
      <c r="BK34" s="48"/>
      <c r="BL34" s="48"/>
      <c r="BM34" s="48"/>
      <c r="BN34" s="48"/>
      <c r="BO34" s="48"/>
      <c r="BP34" s="48"/>
      <c r="BQ34" s="48"/>
      <c r="BR34" s="48"/>
      <c r="BS34" s="48"/>
      <c r="BT34" s="48"/>
      <c r="BU34" s="48"/>
      <c r="BV34" s="48"/>
      <c r="BW34" s="48"/>
      <c r="BX34" s="48"/>
      <c r="BY34" s="48"/>
      <c r="BZ34" s="48"/>
      <c r="CA34" s="48"/>
      <c r="CB34" s="48"/>
      <c r="CC34" s="48"/>
      <c r="CD34" s="48"/>
      <c r="CE34" s="48"/>
      <c r="CF34" s="48"/>
      <c r="CG34" s="48"/>
      <c r="CH34" s="48"/>
      <c r="CI34" s="48"/>
      <c r="CJ34" s="48"/>
      <c r="CK34" s="48"/>
      <c r="CL34" s="48"/>
      <c r="CM34" s="48"/>
      <c r="CN34" s="48"/>
      <c r="CO34" s="48"/>
      <c r="CP34" s="48"/>
      <c r="CQ34" s="48"/>
      <c r="CR34" s="48"/>
      <c r="CS34" s="48"/>
      <c r="CT34" s="48"/>
      <c r="CU34" s="48"/>
      <c r="CV34" s="48"/>
      <c r="CW34" s="48"/>
      <c r="CX34" s="48"/>
      <c r="CY34" s="48"/>
      <c r="CZ34" s="48"/>
      <c r="DA34" s="48"/>
      <c r="DB34" s="48"/>
      <c r="DC34" s="48"/>
      <c r="DD34" s="48"/>
      <c r="DE34" s="48"/>
      <c r="DF34" s="48"/>
      <c r="DG34" s="48"/>
      <c r="DH34" s="48"/>
      <c r="DI34" s="48"/>
      <c r="DJ34" s="48"/>
      <c r="DK34" s="48"/>
      <c r="DL34" s="48"/>
      <c r="DM34" s="48"/>
      <c r="DN34" s="48"/>
      <c r="DO34" s="48"/>
      <c r="DP34" s="48"/>
    </row>
    <row r="35" spans="1:120" s="49" customFormat="1" ht="30" customHeight="1">
      <c r="A35" s="1230"/>
      <c r="B35" s="187" t="s">
        <v>149</v>
      </c>
      <c r="C35" s="86" t="s">
        <v>143</v>
      </c>
      <c r="D35" s="58" t="s">
        <v>129</v>
      </c>
      <c r="E35" s="170" t="s">
        <v>651</v>
      </c>
      <c r="F35" s="58"/>
      <c r="G35" s="170"/>
      <c r="H35" s="58"/>
      <c r="I35" s="170"/>
      <c r="J35" s="58"/>
      <c r="K35" s="170"/>
      <c r="L35" s="58"/>
      <c r="M35" s="170"/>
      <c r="N35" s="58"/>
      <c r="O35" s="170"/>
      <c r="P35" s="58" t="s">
        <v>129</v>
      </c>
      <c r="Q35" s="170"/>
      <c r="R35" s="58"/>
      <c r="S35" s="170"/>
      <c r="T35" s="58"/>
      <c r="U35" s="170"/>
      <c r="V35" s="58"/>
      <c r="W35" s="241"/>
      <c r="X35" s="58"/>
      <c r="Y35" s="170"/>
      <c r="Z35" s="58"/>
      <c r="AA35" s="170"/>
      <c r="AB35" s="1254"/>
      <c r="AC35" s="1255"/>
      <c r="AD35" s="48"/>
      <c r="AE35" s="48"/>
      <c r="AF35" s="48"/>
      <c r="AG35" s="48"/>
      <c r="AH35" s="48"/>
      <c r="AI35" s="48"/>
      <c r="AJ35" s="48"/>
      <c r="AK35" s="48"/>
      <c r="AL35" s="48"/>
      <c r="AM35" s="48"/>
      <c r="AN35" s="48"/>
      <c r="AO35" s="48"/>
      <c r="AP35" s="48"/>
      <c r="AQ35" s="48"/>
      <c r="AR35" s="48"/>
      <c r="AS35" s="48"/>
      <c r="AT35" s="48"/>
      <c r="AU35" s="48"/>
      <c r="AV35" s="48"/>
      <c r="AW35" s="48"/>
      <c r="AX35" s="48"/>
      <c r="AY35" s="48"/>
      <c r="AZ35" s="48"/>
      <c r="BA35" s="48"/>
      <c r="BB35" s="48"/>
      <c r="BC35" s="48"/>
      <c r="BD35" s="48"/>
      <c r="BE35" s="48"/>
      <c r="BF35" s="48"/>
      <c r="BG35" s="48"/>
      <c r="BH35" s="48"/>
      <c r="BI35" s="48"/>
      <c r="BJ35" s="48"/>
      <c r="BK35" s="48"/>
      <c r="BL35" s="48"/>
      <c r="BM35" s="48"/>
      <c r="BN35" s="48"/>
      <c r="BO35" s="48"/>
      <c r="BP35" s="48"/>
      <c r="BQ35" s="48"/>
      <c r="BR35" s="48"/>
      <c r="BS35" s="48"/>
      <c r="BT35" s="48"/>
      <c r="BU35" s="48"/>
      <c r="BV35" s="48"/>
      <c r="BW35" s="48"/>
      <c r="BX35" s="48"/>
      <c r="BY35" s="48"/>
      <c r="BZ35" s="48"/>
      <c r="CA35" s="48"/>
      <c r="CB35" s="48"/>
      <c r="CC35" s="48"/>
      <c r="CD35" s="48"/>
      <c r="CE35" s="48"/>
      <c r="CF35" s="48"/>
      <c r="CG35" s="48"/>
      <c r="CH35" s="48"/>
      <c r="CI35" s="48"/>
      <c r="CJ35" s="48"/>
      <c r="CK35" s="48"/>
      <c r="CL35" s="48"/>
      <c r="CM35" s="48"/>
      <c r="CN35" s="48"/>
      <c r="CO35" s="48"/>
      <c r="CP35" s="48"/>
      <c r="CQ35" s="48"/>
      <c r="CR35" s="48"/>
      <c r="CS35" s="48"/>
      <c r="CT35" s="48"/>
      <c r="CU35" s="48"/>
      <c r="CV35" s="48"/>
      <c r="CW35" s="48"/>
      <c r="CX35" s="48"/>
      <c r="CY35" s="48"/>
      <c r="CZ35" s="48"/>
      <c r="DA35" s="48"/>
      <c r="DB35" s="48"/>
      <c r="DC35" s="48"/>
      <c r="DD35" s="48"/>
      <c r="DE35" s="48"/>
      <c r="DF35" s="48"/>
      <c r="DG35" s="48"/>
      <c r="DH35" s="48"/>
      <c r="DI35" s="48"/>
      <c r="DJ35" s="48"/>
      <c r="DK35" s="48"/>
      <c r="DL35" s="48"/>
      <c r="DM35" s="48"/>
      <c r="DN35" s="48"/>
      <c r="DO35" s="48"/>
      <c r="DP35" s="48"/>
    </row>
    <row r="36" spans="1:120" s="49" customFormat="1" ht="30" customHeight="1" thickBot="1">
      <c r="A36" s="1231"/>
      <c r="B36" s="251" t="s">
        <v>189</v>
      </c>
      <c r="C36" s="173" t="s">
        <v>179</v>
      </c>
      <c r="D36" s="60"/>
      <c r="E36" s="164"/>
      <c r="F36" s="60"/>
      <c r="G36" s="164"/>
      <c r="H36" s="60" t="s">
        <v>191</v>
      </c>
      <c r="I36" s="164"/>
      <c r="J36" s="60" t="s">
        <v>191</v>
      </c>
      <c r="K36" s="164"/>
      <c r="L36" s="60" t="s">
        <v>191</v>
      </c>
      <c r="M36" s="164"/>
      <c r="N36" s="60" t="s">
        <v>191</v>
      </c>
      <c r="O36" s="164"/>
      <c r="P36" s="60" t="s">
        <v>191</v>
      </c>
      <c r="Q36" s="164"/>
      <c r="R36" s="60"/>
      <c r="S36" s="164"/>
      <c r="T36" s="60"/>
      <c r="U36" s="164"/>
      <c r="V36" s="60"/>
      <c r="W36" s="242"/>
      <c r="X36" s="60" t="s">
        <v>129</v>
      </c>
      <c r="Y36" s="164"/>
      <c r="Z36" s="60"/>
      <c r="AA36" s="164"/>
      <c r="AB36" s="1256"/>
      <c r="AC36" s="1257"/>
      <c r="AD36" s="48"/>
      <c r="AE36" s="48"/>
      <c r="AF36" s="48"/>
      <c r="AG36" s="48"/>
      <c r="AH36" s="48"/>
      <c r="AI36" s="48"/>
      <c r="AJ36" s="48"/>
      <c r="AK36" s="48"/>
      <c r="AL36" s="48"/>
      <c r="AM36" s="48"/>
      <c r="AN36" s="48"/>
      <c r="AO36" s="48"/>
      <c r="AP36" s="48"/>
      <c r="AQ36" s="48"/>
      <c r="AR36" s="48"/>
      <c r="AS36" s="48"/>
      <c r="AT36" s="48"/>
      <c r="AU36" s="48"/>
      <c r="AV36" s="48"/>
      <c r="AW36" s="48"/>
      <c r="AX36" s="48"/>
      <c r="AY36" s="48"/>
      <c r="AZ36" s="48"/>
      <c r="BA36" s="48"/>
      <c r="BB36" s="48"/>
      <c r="BC36" s="48"/>
      <c r="BD36" s="48"/>
      <c r="BE36" s="48"/>
      <c r="BF36" s="48"/>
      <c r="BG36" s="48"/>
      <c r="BH36" s="48"/>
      <c r="BI36" s="48"/>
      <c r="BJ36" s="48"/>
      <c r="BK36" s="48"/>
      <c r="BL36" s="48"/>
      <c r="BM36" s="48"/>
      <c r="BN36" s="48"/>
      <c r="BO36" s="48"/>
      <c r="BP36" s="48"/>
      <c r="BQ36" s="48"/>
      <c r="BR36" s="48"/>
      <c r="BS36" s="48"/>
      <c r="BT36" s="48"/>
      <c r="BU36" s="48"/>
      <c r="BV36" s="48"/>
      <c r="BW36" s="48"/>
      <c r="BX36" s="48"/>
      <c r="BY36" s="48"/>
      <c r="BZ36" s="48"/>
      <c r="CA36" s="48"/>
      <c r="CB36" s="48"/>
      <c r="CC36" s="48"/>
      <c r="CD36" s="48"/>
      <c r="CE36" s="48"/>
      <c r="CF36" s="48"/>
      <c r="CG36" s="48"/>
      <c r="CH36" s="48"/>
      <c r="CI36" s="48"/>
      <c r="CJ36" s="48"/>
      <c r="CK36" s="48"/>
      <c r="CL36" s="48"/>
      <c r="CM36" s="48"/>
      <c r="CN36" s="48"/>
      <c r="CO36" s="48"/>
      <c r="CP36" s="48"/>
      <c r="CQ36" s="48"/>
      <c r="CR36" s="48"/>
      <c r="CS36" s="48"/>
      <c r="CT36" s="48"/>
      <c r="CU36" s="48"/>
      <c r="CV36" s="48"/>
      <c r="CW36" s="48"/>
      <c r="CX36" s="48"/>
      <c r="CY36" s="48"/>
      <c r="CZ36" s="48"/>
      <c r="DA36" s="48"/>
      <c r="DB36" s="48"/>
      <c r="DC36" s="48"/>
      <c r="DD36" s="48"/>
      <c r="DE36" s="48"/>
      <c r="DF36" s="48"/>
      <c r="DG36" s="48"/>
      <c r="DH36" s="48"/>
      <c r="DI36" s="48"/>
      <c r="DJ36" s="48"/>
      <c r="DK36" s="48"/>
      <c r="DL36" s="48"/>
      <c r="DM36" s="48"/>
      <c r="DN36" s="48"/>
      <c r="DO36" s="48"/>
      <c r="DP36" s="48"/>
    </row>
    <row r="37" spans="1:120" ht="14.4">
      <c r="B37" s="47"/>
      <c r="D37" s="48"/>
      <c r="E37" s="48"/>
      <c r="F37" s="48"/>
      <c r="G37" s="48"/>
      <c r="H37" s="48"/>
      <c r="I37" s="48"/>
      <c r="J37" s="48"/>
      <c r="K37" s="48"/>
      <c r="L37" s="48"/>
      <c r="M37" s="48"/>
      <c r="N37" s="48"/>
      <c r="O37" s="48"/>
      <c r="P37" s="48"/>
      <c r="Q37" s="48"/>
      <c r="R37" s="48"/>
      <c r="S37" s="48"/>
      <c r="T37" s="48"/>
      <c r="U37" s="48"/>
      <c r="V37" s="48"/>
      <c r="W37" s="48"/>
      <c r="X37" s="48"/>
      <c r="Y37" s="48"/>
      <c r="Z37" s="48"/>
      <c r="AA37" s="48"/>
      <c r="AC37" s="48"/>
      <c r="AD37" s="47"/>
      <c r="AE37" s="47"/>
      <c r="AF37" s="47"/>
      <c r="AG37" s="47"/>
      <c r="AH37" s="47"/>
      <c r="AI37" s="47"/>
      <c r="AJ37" s="47"/>
      <c r="AK37" s="47"/>
      <c r="AL37" s="47"/>
      <c r="AM37" s="47"/>
      <c r="AN37" s="47"/>
      <c r="AO37" s="47"/>
      <c r="AP37" s="47"/>
      <c r="AQ37" s="47"/>
      <c r="AR37" s="47"/>
      <c r="AS37" s="47"/>
      <c r="AT37" s="47"/>
      <c r="AU37" s="47"/>
      <c r="AV37" s="47"/>
      <c r="AW37" s="47"/>
      <c r="AX37" s="47"/>
      <c r="AY37" s="47"/>
      <c r="AZ37" s="47"/>
      <c r="BA37" s="47"/>
      <c r="BB37" s="47"/>
      <c r="BC37" s="47"/>
      <c r="BD37" s="47"/>
      <c r="BE37" s="47"/>
      <c r="BF37" s="47"/>
      <c r="BG37" s="47"/>
      <c r="BH37" s="47"/>
      <c r="BI37" s="47"/>
      <c r="BJ37" s="47"/>
      <c r="BK37" s="47"/>
      <c r="BL37" s="47"/>
      <c r="BM37" s="47"/>
      <c r="BN37" s="47"/>
      <c r="BO37" s="47"/>
      <c r="BP37" s="47"/>
      <c r="BQ37" s="47"/>
      <c r="BR37" s="47"/>
      <c r="BS37" s="47"/>
      <c r="BT37" s="47"/>
      <c r="BU37" s="47"/>
      <c r="BV37" s="47"/>
      <c r="BW37" s="47"/>
      <c r="BX37" s="47"/>
      <c r="BY37" s="47"/>
      <c r="BZ37" s="47"/>
      <c r="CA37" s="47"/>
      <c r="CB37" s="47"/>
      <c r="CC37" s="47"/>
      <c r="CD37" s="47"/>
      <c r="CE37" s="47"/>
      <c r="CF37" s="47"/>
      <c r="CG37" s="47"/>
      <c r="CH37" s="47"/>
      <c r="CI37" s="47"/>
      <c r="CJ37" s="47"/>
      <c r="CK37" s="47"/>
      <c r="CL37" s="47"/>
      <c r="CM37" s="47"/>
      <c r="CN37" s="47"/>
      <c r="CO37" s="47"/>
      <c r="CP37" s="47"/>
      <c r="CQ37" s="47"/>
      <c r="CR37" s="47"/>
      <c r="CS37" s="47"/>
      <c r="CT37" s="47"/>
      <c r="CU37" s="47"/>
      <c r="CV37" s="47"/>
      <c r="CW37" s="47"/>
      <c r="CX37" s="47"/>
      <c r="CY37" s="47"/>
      <c r="CZ37" s="47"/>
      <c r="DA37" s="47"/>
      <c r="DB37" s="47"/>
      <c r="DC37" s="47"/>
      <c r="DD37" s="47"/>
      <c r="DE37" s="47"/>
      <c r="DF37" s="47"/>
      <c r="DG37" s="47"/>
      <c r="DH37" s="47"/>
      <c r="DI37" s="47"/>
      <c r="DJ37" s="47"/>
      <c r="DK37" s="47"/>
      <c r="DL37" s="47"/>
      <c r="DM37" s="47"/>
      <c r="DN37" s="47"/>
      <c r="DO37" s="47"/>
      <c r="DP37" s="47"/>
    </row>
  </sheetData>
  <mergeCells count="41">
    <mergeCell ref="A32:A36"/>
    <mergeCell ref="AB32:AC32"/>
    <mergeCell ref="AB33:AC33"/>
    <mergeCell ref="AB35:AC35"/>
    <mergeCell ref="AB36:AC36"/>
    <mergeCell ref="A20:A25"/>
    <mergeCell ref="AB20:AC20"/>
    <mergeCell ref="AB21:AC21"/>
    <mergeCell ref="AB22:AC22"/>
    <mergeCell ref="AB25:AC25"/>
    <mergeCell ref="A27:A31"/>
    <mergeCell ref="AB27:AC27"/>
    <mergeCell ref="AB28:AC28"/>
    <mergeCell ref="AB29:AC29"/>
    <mergeCell ref="AB31:AC31"/>
    <mergeCell ref="A7:A13"/>
    <mergeCell ref="AB7:AC7"/>
    <mergeCell ref="AB10:AC10"/>
    <mergeCell ref="N5:O5"/>
    <mergeCell ref="P5:Q5"/>
    <mergeCell ref="R5:S5"/>
    <mergeCell ref="T5:U5"/>
    <mergeCell ref="V5:W5"/>
    <mergeCell ref="X5:Y5"/>
    <mergeCell ref="A14:A19"/>
    <mergeCell ref="AB14:AC14"/>
    <mergeCell ref="AB15:AC15"/>
    <mergeCell ref="AB16:AC16"/>
    <mergeCell ref="AB19:AC19"/>
    <mergeCell ref="A1:AC1"/>
    <mergeCell ref="A3:AC3"/>
    <mergeCell ref="V4:AA4"/>
    <mergeCell ref="B5:B6"/>
    <mergeCell ref="C5:C6"/>
    <mergeCell ref="D5:E5"/>
    <mergeCell ref="F5:G5"/>
    <mergeCell ref="H5:I5"/>
    <mergeCell ref="J5:K5"/>
    <mergeCell ref="L5:M5"/>
    <mergeCell ref="Z5:AA5"/>
    <mergeCell ref="AB5:AC6"/>
  </mergeCells>
  <phoneticPr fontId="8"/>
  <printOptions horizontalCentered="1" verticalCentered="1"/>
  <pageMargins left="0.19685039370078741" right="0.19685039370078741" top="0.59055118110236227" bottom="0.19685039370078741" header="0" footer="0"/>
  <pageSetup paperSize="9" scale="53" orientation="landscape"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tabColor rgb="FFFF0000"/>
    <pageSetUpPr fitToPage="1"/>
  </sheetPr>
  <dimension ref="A2:AH189"/>
  <sheetViews>
    <sheetView view="pageBreakPreview" zoomScale="50" zoomScaleNormal="100" zoomScaleSheetLayoutView="50" workbookViewId="0">
      <pane xSplit="9" ySplit="27" topLeftCell="K28" activePane="bottomRight" state="frozen"/>
      <selection activeCell="A64" sqref="A64:AB64"/>
      <selection pane="topRight" activeCell="A64" sqref="A64:AB64"/>
      <selection pane="bottomLeft" activeCell="A64" sqref="A64:AB64"/>
      <selection pane="bottomRight" activeCell="I24" sqref="I24"/>
    </sheetView>
  </sheetViews>
  <sheetFormatPr defaultColWidth="9" defaultRowHeight="13.2"/>
  <cols>
    <col min="1" max="1" width="4.6640625" style="759" customWidth="1"/>
    <col min="2" max="2" width="15.21875" style="761" customWidth="1"/>
    <col min="3" max="3" width="62.77734375" style="761" bestFit="1" customWidth="1"/>
    <col min="4" max="4" width="19.88671875" style="761" customWidth="1"/>
    <col min="5" max="8" width="25.77734375" style="761" customWidth="1"/>
    <col min="9" max="9" width="34" style="761" customWidth="1"/>
    <col min="10" max="33" width="11.21875" style="761" customWidth="1"/>
    <col min="34" max="34" width="134.33203125" style="761" bestFit="1" customWidth="1"/>
    <col min="35" max="16384" width="9" style="346"/>
  </cols>
  <sheetData>
    <row r="2" spans="1:34" ht="33.6" thickBot="1">
      <c r="A2" s="340" t="s">
        <v>648</v>
      </c>
      <c r="B2" s="341"/>
      <c r="C2" s="341"/>
      <c r="D2" s="341"/>
      <c r="E2" s="341"/>
      <c r="F2" s="341"/>
      <c r="G2" s="342"/>
      <c r="H2" s="343"/>
      <c r="I2" s="341"/>
      <c r="J2" s="341"/>
      <c r="K2" s="344"/>
      <c r="L2" s="341"/>
      <c r="M2" s="344"/>
      <c r="N2" s="341"/>
      <c r="O2" s="341"/>
      <c r="P2" s="341"/>
      <c r="Q2" s="341"/>
      <c r="R2" s="341"/>
      <c r="S2" s="341"/>
      <c r="T2" s="341"/>
      <c r="U2" s="341"/>
      <c r="V2" s="341"/>
      <c r="W2" s="341"/>
      <c r="X2" s="341"/>
      <c r="Y2" s="341"/>
      <c r="Z2" s="341"/>
      <c r="AA2" s="341"/>
      <c r="AB2" s="341"/>
      <c r="AC2" s="341"/>
      <c r="AD2" s="341"/>
      <c r="AE2" s="341"/>
      <c r="AF2" s="341"/>
      <c r="AG2" s="341"/>
      <c r="AH2" s="345"/>
    </row>
    <row r="3" spans="1:34" ht="28.8" thickTop="1">
      <c r="A3" s="347"/>
      <c r="B3" s="348"/>
      <c r="C3" s="348"/>
      <c r="D3" s="348"/>
      <c r="E3" s="348"/>
      <c r="F3" s="348"/>
      <c r="G3" s="348"/>
      <c r="H3" s="348"/>
      <c r="I3" s="348"/>
      <c r="J3" s="348"/>
      <c r="K3" s="349"/>
      <c r="L3" s="348"/>
      <c r="M3" s="349"/>
      <c r="N3" s="348"/>
      <c r="O3" s="348"/>
      <c r="P3" s="348"/>
      <c r="Q3" s="348"/>
      <c r="R3" s="348"/>
      <c r="S3" s="348"/>
      <c r="T3" s="348"/>
      <c r="U3" s="348"/>
      <c r="V3" s="348"/>
      <c r="W3" s="348"/>
      <c r="X3" s="348"/>
      <c r="Y3" s="348"/>
      <c r="Z3" s="348"/>
      <c r="AA3" s="348"/>
      <c r="AB3" s="348"/>
      <c r="AC3" s="348"/>
      <c r="AD3" s="348"/>
      <c r="AE3" s="348"/>
      <c r="AF3" s="348"/>
      <c r="AG3" s="348"/>
      <c r="AH3" s="348"/>
    </row>
    <row r="4" spans="1:34" ht="28.5" customHeight="1" thickBot="1">
      <c r="A4" s="350"/>
      <c r="B4" s="351" t="s">
        <v>232</v>
      </c>
      <c r="C4" s="352"/>
      <c r="D4" s="352"/>
      <c r="E4" s="352"/>
      <c r="F4" s="352"/>
      <c r="G4" s="352"/>
      <c r="H4" s="352"/>
      <c r="I4" s="352"/>
      <c r="J4" s="352"/>
      <c r="K4" s="352"/>
      <c r="L4" s="352"/>
      <c r="M4" s="352"/>
      <c r="N4" s="352"/>
      <c r="O4" s="352"/>
      <c r="P4" s="352"/>
      <c r="Q4" s="352"/>
      <c r="R4" s="352"/>
      <c r="S4" s="352"/>
      <c r="T4" s="352"/>
      <c r="U4" s="352"/>
      <c r="V4" s="352"/>
      <c r="W4" s="352"/>
      <c r="X4" s="352"/>
      <c r="Y4" s="352"/>
      <c r="Z4" s="352"/>
      <c r="AA4" s="352"/>
      <c r="AB4" s="352"/>
      <c r="AC4" s="352"/>
      <c r="AD4" s="352"/>
      <c r="AE4" s="352"/>
      <c r="AF4" s="352"/>
      <c r="AG4" s="352"/>
      <c r="AH4" s="352"/>
    </row>
    <row r="5" spans="1:34" ht="23.25" customHeight="1">
      <c r="A5" s="353"/>
      <c r="B5" s="1287" t="s">
        <v>233</v>
      </c>
      <c r="C5" s="1299"/>
      <c r="D5" s="1299"/>
      <c r="E5" s="1299"/>
      <c r="F5" s="1299"/>
      <c r="G5" s="1299"/>
      <c r="H5" s="1299"/>
      <c r="I5" s="1300"/>
      <c r="J5" s="1287" t="s">
        <v>234</v>
      </c>
      <c r="K5" s="1299"/>
      <c r="L5" s="1299"/>
      <c r="M5" s="1299"/>
      <c r="N5" s="1299"/>
      <c r="O5" s="1299"/>
      <c r="P5" s="1299"/>
      <c r="Q5" s="1299"/>
      <c r="R5" s="1299"/>
      <c r="S5" s="1299"/>
      <c r="T5" s="1300"/>
      <c r="U5" s="1287" t="s">
        <v>23</v>
      </c>
      <c r="V5" s="1299"/>
      <c r="W5" s="1300"/>
      <c r="X5" s="354"/>
      <c r="Y5" s="354"/>
      <c r="Z5" s="354"/>
      <c r="AA5" s="354"/>
      <c r="AB5" s="354"/>
      <c r="AC5" s="354"/>
      <c r="AD5" s="354"/>
      <c r="AE5" s="354"/>
      <c r="AF5" s="354"/>
      <c r="AG5" s="354"/>
      <c r="AH5" s="354"/>
    </row>
    <row r="6" spans="1:34" ht="23.25" customHeight="1">
      <c r="A6" s="355"/>
      <c r="B6" s="356" t="s">
        <v>235</v>
      </c>
      <c r="C6" s="357" t="s">
        <v>348</v>
      </c>
      <c r="D6" s="357" t="s">
        <v>236</v>
      </c>
      <c r="E6" s="357" t="s">
        <v>237</v>
      </c>
      <c r="F6" s="1301" t="s">
        <v>238</v>
      </c>
      <c r="G6" s="1302"/>
      <c r="H6" s="1302"/>
      <c r="I6" s="1303"/>
      <c r="J6" s="1304" t="s">
        <v>239</v>
      </c>
      <c r="K6" s="1302"/>
      <c r="L6" s="1305"/>
      <c r="M6" s="1301" t="s">
        <v>240</v>
      </c>
      <c r="N6" s="1302"/>
      <c r="O6" s="1302"/>
      <c r="P6" s="1305"/>
      <c r="Q6" s="1301" t="s">
        <v>241</v>
      </c>
      <c r="R6" s="1302"/>
      <c r="S6" s="1302"/>
      <c r="T6" s="1303"/>
      <c r="U6" s="358" t="s">
        <v>242</v>
      </c>
      <c r="V6" s="359" t="s">
        <v>243</v>
      </c>
      <c r="W6" s="360" t="s">
        <v>244</v>
      </c>
      <c r="X6" s="361"/>
      <c r="Y6" s="361"/>
      <c r="Z6" s="361"/>
      <c r="AA6" s="361"/>
      <c r="AB6" s="361"/>
      <c r="AC6" s="361"/>
      <c r="AD6" s="361"/>
      <c r="AE6" s="361"/>
      <c r="AF6" s="361"/>
      <c r="AG6" s="361"/>
      <c r="AH6" s="361"/>
    </row>
    <row r="7" spans="1:34" ht="23.25" customHeight="1">
      <c r="A7" s="355"/>
      <c r="B7" s="362"/>
      <c r="C7" s="363"/>
      <c r="D7" s="364"/>
      <c r="E7" s="365"/>
      <c r="F7" s="366" t="s">
        <v>245</v>
      </c>
      <c r="G7" s="366" t="s">
        <v>246</v>
      </c>
      <c r="H7" s="366" t="s">
        <v>247</v>
      </c>
      <c r="I7" s="367" t="s">
        <v>248</v>
      </c>
      <c r="J7" s="368" t="s">
        <v>249</v>
      </c>
      <c r="K7" s="369" t="s">
        <v>250</v>
      </c>
      <c r="L7" s="369" t="s">
        <v>251</v>
      </c>
      <c r="M7" s="369" t="s">
        <v>252</v>
      </c>
      <c r="N7" s="369" t="s">
        <v>253</v>
      </c>
      <c r="O7" s="369" t="s">
        <v>254</v>
      </c>
      <c r="P7" s="369" t="s">
        <v>255</v>
      </c>
      <c r="Q7" s="369" t="s">
        <v>256</v>
      </c>
      <c r="R7" s="369" t="s">
        <v>257</v>
      </c>
      <c r="S7" s="369" t="s">
        <v>258</v>
      </c>
      <c r="T7" s="370" t="s">
        <v>259</v>
      </c>
      <c r="U7" s="371"/>
      <c r="V7" s="372"/>
      <c r="W7" s="373"/>
      <c r="X7" s="361"/>
      <c r="Y7" s="361"/>
      <c r="Z7" s="361"/>
      <c r="AA7" s="361"/>
      <c r="AB7" s="361"/>
      <c r="AC7" s="361"/>
      <c r="AD7" s="361"/>
      <c r="AE7" s="361"/>
      <c r="AF7" s="361"/>
      <c r="AG7" s="361"/>
      <c r="AH7" s="361"/>
    </row>
    <row r="8" spans="1:34" ht="23.25" customHeight="1" thickBot="1">
      <c r="A8" s="353"/>
      <c r="B8" s="374" t="s">
        <v>260</v>
      </c>
      <c r="C8" s="375">
        <v>2584.13</v>
      </c>
      <c r="D8" s="376">
        <v>44498</v>
      </c>
      <c r="E8" s="377" t="str">
        <f ca="1">DATEDIF(D8,TODAY(),"Y")&amp;"年"&amp;DATEDIF(D8,TODAY(),"YM")&amp;"ヵ月"</f>
        <v>1年7ヵ月</v>
      </c>
      <c r="F8" s="378">
        <v>11</v>
      </c>
      <c r="G8" s="378" t="s">
        <v>349</v>
      </c>
      <c r="H8" s="378">
        <v>1</v>
      </c>
      <c r="I8" s="379">
        <v>49.55</v>
      </c>
      <c r="J8" s="380" t="s">
        <v>261</v>
      </c>
      <c r="K8" s="380" t="s">
        <v>262</v>
      </c>
      <c r="L8" s="380" t="s">
        <v>262</v>
      </c>
      <c r="M8" s="381" t="s">
        <v>262</v>
      </c>
      <c r="N8" s="381" t="s">
        <v>262</v>
      </c>
      <c r="O8" s="380" t="s">
        <v>262</v>
      </c>
      <c r="P8" s="380" t="s">
        <v>262</v>
      </c>
      <c r="Q8" s="382" t="s">
        <v>350</v>
      </c>
      <c r="R8" s="380" t="s">
        <v>262</v>
      </c>
      <c r="S8" s="380" t="s">
        <v>262</v>
      </c>
      <c r="T8" s="383" t="s">
        <v>262</v>
      </c>
      <c r="U8" s="384" t="s">
        <v>262</v>
      </c>
      <c r="V8" s="380" t="s">
        <v>262</v>
      </c>
      <c r="W8" s="385" t="s">
        <v>262</v>
      </c>
      <c r="X8" s="354"/>
      <c r="Y8" s="354"/>
      <c r="Z8" s="354"/>
      <c r="AA8" s="354"/>
      <c r="AB8" s="354"/>
      <c r="AC8" s="354"/>
      <c r="AD8" s="354"/>
      <c r="AE8" s="354"/>
      <c r="AF8" s="354"/>
      <c r="AG8" s="354"/>
      <c r="AH8" s="354"/>
    </row>
    <row r="9" spans="1:34" ht="23.25" customHeight="1">
      <c r="A9" s="353"/>
      <c r="B9" s="354"/>
      <c r="C9" s="354"/>
      <c r="D9" s="354"/>
      <c r="E9" s="354"/>
      <c r="F9" s="349"/>
      <c r="G9" s="349"/>
      <c r="H9" s="349"/>
      <c r="I9" s="349"/>
      <c r="J9" s="354"/>
      <c r="K9" s="354"/>
      <c r="L9" s="354"/>
      <c r="M9" s="354"/>
      <c r="N9" s="354"/>
      <c r="O9" s="354"/>
      <c r="P9" s="354"/>
      <c r="Q9" s="354"/>
      <c r="R9" s="354"/>
      <c r="S9" s="354"/>
      <c r="T9" s="354"/>
      <c r="U9" s="354"/>
      <c r="V9" s="354"/>
      <c r="W9" s="354"/>
      <c r="X9" s="354"/>
      <c r="Y9" s="354"/>
      <c r="Z9" s="354"/>
      <c r="AA9" s="354"/>
      <c r="AB9" s="354"/>
      <c r="AC9" s="354"/>
      <c r="AD9" s="354"/>
      <c r="AE9" s="354"/>
      <c r="AF9" s="354"/>
      <c r="AG9" s="354"/>
      <c r="AH9" s="354"/>
    </row>
    <row r="10" spans="1:34" ht="23.25" customHeight="1" thickBot="1">
      <c r="A10" s="353"/>
      <c r="B10" s="351" t="s">
        <v>263</v>
      </c>
      <c r="C10" s="354"/>
      <c r="D10" s="354"/>
      <c r="E10" s="354"/>
      <c r="F10" s="354"/>
      <c r="G10" s="354"/>
      <c r="H10" s="354"/>
      <c r="I10" s="354"/>
      <c r="J10" s="354"/>
      <c r="K10" s="354"/>
      <c r="L10" s="354"/>
      <c r="M10" s="354"/>
      <c r="N10" s="354"/>
      <c r="O10" s="354"/>
      <c r="P10" s="354"/>
      <c r="Q10" s="354"/>
      <c r="R10" s="354"/>
      <c r="S10" s="354"/>
      <c r="T10" s="354"/>
      <c r="U10" s="354"/>
      <c r="V10" s="354"/>
      <c r="W10" s="354"/>
      <c r="X10" s="354"/>
      <c r="Y10" s="354"/>
      <c r="Z10" s="354"/>
      <c r="AA10" s="354"/>
      <c r="AB10" s="354"/>
      <c r="AC10" s="354"/>
      <c r="AD10" s="354"/>
      <c r="AE10" s="354"/>
      <c r="AF10" s="354"/>
      <c r="AG10" s="354"/>
      <c r="AH10" s="354"/>
    </row>
    <row r="11" spans="1:34" ht="23.25" customHeight="1">
      <c r="A11" s="350"/>
      <c r="B11" s="1287" t="s">
        <v>264</v>
      </c>
      <c r="C11" s="1274"/>
      <c r="D11" s="1274"/>
      <c r="E11" s="1274"/>
      <c r="F11" s="1274"/>
      <c r="G11" s="1318"/>
      <c r="H11" s="386" t="s">
        <v>265</v>
      </c>
      <c r="I11" s="1287" t="s">
        <v>316</v>
      </c>
      <c r="J11" s="1274"/>
      <c r="K11" s="1274"/>
      <c r="L11" s="1274"/>
      <c r="M11" s="1274"/>
      <c r="N11" s="1274"/>
      <c r="O11" s="1318"/>
      <c r="P11" s="354"/>
      <c r="Q11" s="361"/>
      <c r="R11" s="354"/>
      <c r="S11" s="361"/>
      <c r="T11" s="354"/>
      <c r="U11" s="354"/>
      <c r="V11" s="354"/>
      <c r="W11" s="354"/>
      <c r="X11" s="354"/>
      <c r="Y11" s="354"/>
      <c r="Z11" s="354"/>
      <c r="AA11" s="354"/>
      <c r="AB11" s="354"/>
      <c r="AC11" s="354"/>
      <c r="AD11" s="354"/>
      <c r="AE11" s="354"/>
      <c r="AF11" s="354"/>
      <c r="AG11" s="354"/>
      <c r="AH11" s="354"/>
    </row>
    <row r="12" spans="1:34" ht="30" customHeight="1">
      <c r="A12" s="350"/>
      <c r="B12" s="387" t="s">
        <v>266</v>
      </c>
      <c r="C12" s="366" t="s">
        <v>267</v>
      </c>
      <c r="D12" s="366" t="s">
        <v>268</v>
      </c>
      <c r="E12" s="388" t="s">
        <v>269</v>
      </c>
      <c r="F12" s="389" t="s">
        <v>270</v>
      </c>
      <c r="G12" s="390" t="s">
        <v>271</v>
      </c>
      <c r="H12" s="391" t="s">
        <v>272</v>
      </c>
      <c r="I12" s="358" t="s">
        <v>351</v>
      </c>
      <c r="J12" s="1302" t="s">
        <v>352</v>
      </c>
      <c r="K12" s="1305"/>
      <c r="L12" s="1301" t="s">
        <v>353</v>
      </c>
      <c r="M12" s="1305"/>
      <c r="N12" s="1319" t="s">
        <v>354</v>
      </c>
      <c r="O12" s="1320"/>
      <c r="P12" s="392"/>
      <c r="Q12" s="354"/>
      <c r="R12" s="361"/>
      <c r="S12" s="354"/>
      <c r="T12" s="361"/>
      <c r="U12" s="354"/>
      <c r="V12" s="354"/>
      <c r="W12" s="354"/>
      <c r="X12" s="354"/>
      <c r="Y12" s="354"/>
      <c r="Z12" s="354"/>
      <c r="AA12" s="354"/>
      <c r="AB12" s="354"/>
      <c r="AC12" s="354"/>
      <c r="AD12" s="354"/>
      <c r="AE12" s="354"/>
      <c r="AF12" s="354"/>
      <c r="AG12" s="354"/>
      <c r="AH12" s="354"/>
    </row>
    <row r="13" spans="1:34" ht="23.25" customHeight="1" thickBot="1">
      <c r="A13" s="350"/>
      <c r="B13" s="374" t="s">
        <v>273</v>
      </c>
      <c r="C13" s="381" t="s">
        <v>355</v>
      </c>
      <c r="D13" s="381" t="s">
        <v>356</v>
      </c>
      <c r="E13" s="380" t="s">
        <v>357</v>
      </c>
      <c r="F13" s="380" t="s">
        <v>262</v>
      </c>
      <c r="G13" s="380" t="s">
        <v>262</v>
      </c>
      <c r="H13" s="393" t="s">
        <v>262</v>
      </c>
      <c r="I13" s="384" t="s">
        <v>261</v>
      </c>
      <c r="J13" s="1321" t="s">
        <v>358</v>
      </c>
      <c r="K13" s="1322"/>
      <c r="L13" s="1323"/>
      <c r="M13" s="1322"/>
      <c r="N13" s="1321" t="s">
        <v>349</v>
      </c>
      <c r="O13" s="1324"/>
      <c r="P13" s="394"/>
      <c r="Q13" s="361"/>
      <c r="R13" s="361"/>
      <c r="S13" s="361"/>
      <c r="T13" s="361"/>
      <c r="U13" s="354"/>
      <c r="V13" s="354"/>
      <c r="W13" s="354"/>
      <c r="X13" s="354"/>
      <c r="Y13" s="354"/>
      <c r="Z13" s="354"/>
      <c r="AA13" s="354"/>
      <c r="AB13" s="354"/>
      <c r="AC13" s="354"/>
      <c r="AD13" s="354"/>
      <c r="AE13" s="354"/>
      <c r="AF13" s="354"/>
      <c r="AG13" s="354"/>
      <c r="AH13" s="354"/>
    </row>
    <row r="14" spans="1:34" ht="16.2">
      <c r="A14" s="350"/>
      <c r="B14" s="354"/>
      <c r="C14" s="354"/>
      <c r="D14" s="354"/>
      <c r="E14" s="354"/>
      <c r="F14" s="354"/>
      <c r="G14" s="354"/>
      <c r="H14" s="354"/>
      <c r="I14" s="395"/>
      <c r="J14" s="361"/>
      <c r="K14" s="354"/>
      <c r="L14" s="361"/>
      <c r="M14" s="354"/>
      <c r="N14" s="361"/>
      <c r="O14" s="361"/>
      <c r="P14" s="361"/>
      <c r="Q14" s="361"/>
      <c r="R14" s="361"/>
      <c r="S14" s="361"/>
      <c r="T14" s="361"/>
      <c r="U14" s="354"/>
      <c r="V14" s="354"/>
      <c r="W14" s="354"/>
      <c r="X14" s="354"/>
      <c r="Y14" s="354"/>
      <c r="Z14" s="354"/>
      <c r="AA14" s="354"/>
      <c r="AB14" s="354"/>
      <c r="AC14" s="354"/>
      <c r="AD14" s="354"/>
      <c r="AE14" s="354"/>
      <c r="AF14" s="354"/>
      <c r="AG14" s="354"/>
      <c r="AH14" s="354"/>
    </row>
    <row r="15" spans="1:34" ht="23.4">
      <c r="A15" s="350"/>
      <c r="B15" s="351" t="s">
        <v>274</v>
      </c>
      <c r="C15" s="354"/>
      <c r="D15" s="354"/>
      <c r="E15" s="354"/>
      <c r="F15" s="354"/>
      <c r="G15" s="354"/>
      <c r="H15" s="354"/>
      <c r="I15" s="354"/>
      <c r="J15" s="354"/>
      <c r="K15" s="354"/>
      <c r="L15" s="354"/>
      <c r="M15" s="354"/>
      <c r="N15" s="354"/>
      <c r="O15" s="354"/>
      <c r="P15" s="354"/>
      <c r="Q15" s="354"/>
      <c r="R15" s="354"/>
      <c r="S15" s="354"/>
      <c r="T15" s="354"/>
      <c r="U15" s="354"/>
      <c r="V15" s="354"/>
      <c r="W15" s="354"/>
      <c r="X15" s="354"/>
      <c r="Y15" s="354"/>
      <c r="Z15" s="354"/>
      <c r="AA15" s="354"/>
      <c r="AB15" s="354"/>
      <c r="AC15" s="354"/>
      <c r="AD15" s="354"/>
      <c r="AE15" s="354"/>
      <c r="AF15" s="354"/>
      <c r="AG15" s="354"/>
      <c r="AH15" s="354"/>
    </row>
    <row r="16" spans="1:34" ht="23.25" customHeight="1" thickBot="1">
      <c r="A16" s="350"/>
      <c r="B16" s="396" t="s">
        <v>359</v>
      </c>
      <c r="C16" s="354"/>
      <c r="D16" s="354"/>
      <c r="E16" s="354"/>
      <c r="F16" s="354"/>
      <c r="G16" s="354"/>
      <c r="H16" s="354"/>
      <c r="I16" s="354"/>
      <c r="J16" s="354"/>
      <c r="K16" s="354"/>
      <c r="L16" s="354"/>
      <c r="M16" s="354"/>
      <c r="N16" s="354"/>
      <c r="O16" s="354"/>
      <c r="P16" s="354"/>
      <c r="Q16" s="354"/>
      <c r="R16" s="354"/>
      <c r="S16" s="354"/>
      <c r="T16" s="354"/>
      <c r="U16" s="397"/>
      <c r="V16" s="354"/>
      <c r="W16" s="354"/>
      <c r="X16" s="354"/>
      <c r="Y16" s="354"/>
      <c r="Z16" s="354"/>
      <c r="AA16" s="354"/>
      <c r="AB16" s="354"/>
      <c r="AC16" s="354"/>
      <c r="AD16" s="354"/>
      <c r="AE16" s="354"/>
      <c r="AF16" s="354"/>
      <c r="AG16" s="354"/>
      <c r="AH16" s="354"/>
    </row>
    <row r="17" spans="1:34" ht="23.25" customHeight="1">
      <c r="A17" s="350"/>
      <c r="B17" s="1275" t="s">
        <v>284</v>
      </c>
      <c r="C17" s="1278" t="s">
        <v>275</v>
      </c>
      <c r="D17" s="1281" t="s">
        <v>282</v>
      </c>
      <c r="E17" s="1306"/>
      <c r="F17" s="1309" t="s">
        <v>277</v>
      </c>
      <c r="G17" s="1310"/>
      <c r="H17" s="1310"/>
      <c r="I17" s="1311"/>
      <c r="J17" s="1287" t="s">
        <v>278</v>
      </c>
      <c r="K17" s="1265"/>
      <c r="L17" s="1264" t="s">
        <v>92</v>
      </c>
      <c r="M17" s="1265"/>
      <c r="N17" s="1264" t="s">
        <v>93</v>
      </c>
      <c r="O17" s="1265"/>
      <c r="P17" s="1264" t="s">
        <v>94</v>
      </c>
      <c r="Q17" s="1265"/>
      <c r="R17" s="1264" t="s">
        <v>95</v>
      </c>
      <c r="S17" s="1265"/>
      <c r="T17" s="1264" t="s">
        <v>96</v>
      </c>
      <c r="U17" s="1265"/>
      <c r="V17" s="1274" t="s">
        <v>97</v>
      </c>
      <c r="W17" s="1265"/>
      <c r="X17" s="1264" t="s">
        <v>98</v>
      </c>
      <c r="Y17" s="1265"/>
      <c r="Z17" s="1264" t="s">
        <v>99</v>
      </c>
      <c r="AA17" s="1265"/>
      <c r="AB17" s="1264" t="s">
        <v>279</v>
      </c>
      <c r="AC17" s="1265"/>
      <c r="AD17" s="1264" t="s">
        <v>280</v>
      </c>
      <c r="AE17" s="1265"/>
      <c r="AF17" s="1264" t="s">
        <v>281</v>
      </c>
      <c r="AG17" s="1265"/>
      <c r="AH17" s="398" t="s">
        <v>107</v>
      </c>
    </row>
    <row r="18" spans="1:34" ht="23.25" customHeight="1">
      <c r="A18" s="350"/>
      <c r="B18" s="1276"/>
      <c r="C18" s="1279"/>
      <c r="D18" s="1282"/>
      <c r="E18" s="1307"/>
      <c r="F18" s="1312"/>
      <c r="G18" s="1313"/>
      <c r="H18" s="1313"/>
      <c r="I18" s="1314"/>
      <c r="J18" s="1270" t="s">
        <v>60</v>
      </c>
      <c r="K18" s="1272" t="s">
        <v>61</v>
      </c>
      <c r="L18" s="1258" t="s">
        <v>60</v>
      </c>
      <c r="M18" s="1260" t="s">
        <v>61</v>
      </c>
      <c r="N18" s="1258" t="s">
        <v>60</v>
      </c>
      <c r="O18" s="1260" t="s">
        <v>61</v>
      </c>
      <c r="P18" s="1258" t="s">
        <v>60</v>
      </c>
      <c r="Q18" s="1260" t="s">
        <v>61</v>
      </c>
      <c r="R18" s="1258" t="s">
        <v>60</v>
      </c>
      <c r="S18" s="1260" t="s">
        <v>61</v>
      </c>
      <c r="T18" s="1258" t="s">
        <v>60</v>
      </c>
      <c r="U18" s="1260" t="s">
        <v>61</v>
      </c>
      <c r="V18" s="1262" t="s">
        <v>60</v>
      </c>
      <c r="W18" s="1260" t="s">
        <v>61</v>
      </c>
      <c r="X18" s="1258" t="s">
        <v>60</v>
      </c>
      <c r="Y18" s="1260" t="s">
        <v>61</v>
      </c>
      <c r="Z18" s="1258" t="s">
        <v>60</v>
      </c>
      <c r="AA18" s="1260" t="s">
        <v>61</v>
      </c>
      <c r="AB18" s="1258" t="s">
        <v>60</v>
      </c>
      <c r="AC18" s="1260" t="s">
        <v>61</v>
      </c>
      <c r="AD18" s="1258" t="s">
        <v>60</v>
      </c>
      <c r="AE18" s="1260" t="s">
        <v>61</v>
      </c>
      <c r="AF18" s="1258" t="s">
        <v>60</v>
      </c>
      <c r="AG18" s="1260" t="s">
        <v>61</v>
      </c>
      <c r="AH18" s="399"/>
    </row>
    <row r="19" spans="1:34" ht="23.25" customHeight="1">
      <c r="A19" s="350"/>
      <c r="B19" s="1277"/>
      <c r="C19" s="1280"/>
      <c r="D19" s="1283"/>
      <c r="E19" s="1308"/>
      <c r="F19" s="1315"/>
      <c r="G19" s="1316"/>
      <c r="H19" s="1316"/>
      <c r="I19" s="1317"/>
      <c r="J19" s="1271"/>
      <c r="K19" s="1273"/>
      <c r="L19" s="1259"/>
      <c r="M19" s="1261"/>
      <c r="N19" s="1259"/>
      <c r="O19" s="1261"/>
      <c r="P19" s="1259"/>
      <c r="Q19" s="1261"/>
      <c r="R19" s="1259"/>
      <c r="S19" s="1261"/>
      <c r="T19" s="1259"/>
      <c r="U19" s="1261"/>
      <c r="V19" s="1263"/>
      <c r="W19" s="1261"/>
      <c r="X19" s="1259"/>
      <c r="Y19" s="1261"/>
      <c r="Z19" s="1259"/>
      <c r="AA19" s="1261"/>
      <c r="AB19" s="1259"/>
      <c r="AC19" s="1261"/>
      <c r="AD19" s="1259"/>
      <c r="AE19" s="1261"/>
      <c r="AF19" s="1259"/>
      <c r="AG19" s="1261"/>
      <c r="AH19" s="400"/>
    </row>
    <row r="20" spans="1:34" ht="23.25" customHeight="1">
      <c r="A20" s="350"/>
      <c r="B20" s="401"/>
      <c r="C20" s="402"/>
      <c r="D20" s="1288"/>
      <c r="E20" s="1289"/>
      <c r="F20" s="1290"/>
      <c r="G20" s="1290"/>
      <c r="H20" s="1290"/>
      <c r="I20" s="1291"/>
      <c r="J20" s="403"/>
      <c r="K20" s="404"/>
      <c r="L20" s="405"/>
      <c r="M20" s="404"/>
      <c r="N20" s="405"/>
      <c r="O20" s="404"/>
      <c r="P20" s="405"/>
      <c r="Q20" s="404"/>
      <c r="R20" s="405"/>
      <c r="S20" s="404"/>
      <c r="T20" s="405"/>
      <c r="U20" s="404"/>
      <c r="V20" s="406"/>
      <c r="W20" s="404"/>
      <c r="X20" s="405"/>
      <c r="Y20" s="404"/>
      <c r="Z20" s="405"/>
      <c r="AA20" s="404"/>
      <c r="AB20" s="405"/>
      <c r="AC20" s="404"/>
      <c r="AD20" s="405"/>
      <c r="AE20" s="404"/>
      <c r="AF20" s="405"/>
      <c r="AG20" s="404"/>
      <c r="AH20" s="407"/>
    </row>
    <row r="21" spans="1:34" ht="23.25" customHeight="1">
      <c r="A21" s="350"/>
      <c r="B21" s="401"/>
      <c r="C21" s="408"/>
      <c r="D21" s="1292"/>
      <c r="E21" s="1293"/>
      <c r="F21" s="409"/>
      <c r="G21" s="409"/>
      <c r="H21" s="409"/>
      <c r="I21" s="410"/>
      <c r="J21" s="411"/>
      <c r="K21" s="412"/>
      <c r="L21" s="413"/>
      <c r="M21" s="412"/>
      <c r="N21" s="413"/>
      <c r="O21" s="412"/>
      <c r="P21" s="413"/>
      <c r="Q21" s="412"/>
      <c r="R21" s="413"/>
      <c r="S21" s="412"/>
      <c r="T21" s="413"/>
      <c r="U21" s="412"/>
      <c r="V21" s="414"/>
      <c r="W21" s="412"/>
      <c r="X21" s="413"/>
      <c r="Y21" s="412"/>
      <c r="Z21" s="413"/>
      <c r="AA21" s="412"/>
      <c r="AB21" s="413"/>
      <c r="AC21" s="412"/>
      <c r="AD21" s="413"/>
      <c r="AE21" s="412"/>
      <c r="AF21" s="413"/>
      <c r="AG21" s="412"/>
      <c r="AH21" s="415"/>
    </row>
    <row r="22" spans="1:34" ht="23.25" customHeight="1" thickBot="1">
      <c r="A22" s="350"/>
      <c r="B22" s="416"/>
      <c r="C22" s="417"/>
      <c r="D22" s="1294"/>
      <c r="E22" s="1295"/>
      <c r="F22" s="1296"/>
      <c r="G22" s="1297"/>
      <c r="H22" s="1297"/>
      <c r="I22" s="1298"/>
      <c r="J22" s="418"/>
      <c r="K22" s="419"/>
      <c r="L22" s="420"/>
      <c r="M22" s="419"/>
      <c r="N22" s="420"/>
      <c r="O22" s="419"/>
      <c r="P22" s="420"/>
      <c r="Q22" s="419"/>
      <c r="R22" s="420"/>
      <c r="S22" s="419"/>
      <c r="T22" s="420"/>
      <c r="U22" s="419"/>
      <c r="V22" s="421"/>
      <c r="W22" s="419"/>
      <c r="X22" s="420"/>
      <c r="Y22" s="419"/>
      <c r="Z22" s="420"/>
      <c r="AA22" s="419"/>
      <c r="AB22" s="420"/>
      <c r="AC22" s="419"/>
      <c r="AD22" s="420"/>
      <c r="AE22" s="419"/>
      <c r="AF22" s="420"/>
      <c r="AG22" s="419"/>
      <c r="AH22" s="422"/>
    </row>
    <row r="23" spans="1:34" ht="23.4">
      <c r="A23" s="350"/>
      <c r="B23" s="351"/>
      <c r="C23" s="354"/>
      <c r="D23" s="354"/>
      <c r="E23" s="354"/>
      <c r="F23" s="354"/>
      <c r="G23" s="354"/>
      <c r="H23" s="354"/>
      <c r="I23" s="354"/>
      <c r="J23" s="354"/>
      <c r="K23" s="354"/>
      <c r="L23" s="354"/>
      <c r="M23" s="354"/>
      <c r="N23" s="354"/>
      <c r="O23" s="354"/>
      <c r="P23" s="354"/>
      <c r="Q23" s="354"/>
      <c r="R23" s="354"/>
      <c r="S23" s="354"/>
      <c r="T23" s="354"/>
      <c r="U23" s="354"/>
      <c r="V23" s="354"/>
      <c r="W23" s="354"/>
      <c r="X23" s="354"/>
      <c r="Y23" s="354"/>
      <c r="Z23" s="354"/>
      <c r="AA23" s="354"/>
      <c r="AB23" s="354"/>
      <c r="AC23" s="354"/>
      <c r="AD23" s="354"/>
      <c r="AE23" s="354"/>
      <c r="AF23" s="354"/>
      <c r="AG23" s="354"/>
      <c r="AH23" s="354"/>
    </row>
    <row r="24" spans="1:34" ht="19.8" thickBot="1">
      <c r="A24" s="350"/>
      <c r="B24" s="396" t="s">
        <v>283</v>
      </c>
      <c r="C24" s="354"/>
      <c r="D24" s="354"/>
      <c r="E24" s="354"/>
      <c r="F24" s="354"/>
      <c r="G24" s="423"/>
      <c r="H24" s="354"/>
      <c r="I24" s="424" t="s">
        <v>360</v>
      </c>
      <c r="J24" s="354"/>
      <c r="K24" s="354"/>
      <c r="L24" s="354"/>
      <c r="M24" s="354"/>
      <c r="N24" s="354"/>
      <c r="O24" s="354"/>
      <c r="P24" s="354"/>
      <c r="Q24" s="354"/>
      <c r="R24" s="354"/>
      <c r="S24" s="354"/>
      <c r="T24" s="354"/>
      <c r="U24" s="354"/>
      <c r="V24" s="354"/>
      <c r="W24" s="354"/>
      <c r="X24" s="354"/>
      <c r="Y24" s="354"/>
      <c r="Z24" s="354"/>
      <c r="AA24" s="354"/>
      <c r="AB24" s="354"/>
      <c r="AC24" s="354"/>
      <c r="AD24" s="354"/>
      <c r="AE24" s="354"/>
      <c r="AF24" s="354"/>
      <c r="AG24" s="354"/>
      <c r="AH24" s="354"/>
    </row>
    <row r="25" spans="1:34" ht="16.2">
      <c r="A25" s="425"/>
      <c r="B25" s="1275" t="s">
        <v>284</v>
      </c>
      <c r="C25" s="1278" t="s">
        <v>275</v>
      </c>
      <c r="D25" s="1281" t="s">
        <v>276</v>
      </c>
      <c r="E25" s="426"/>
      <c r="F25" s="426"/>
      <c r="G25" s="427"/>
      <c r="H25" s="428"/>
      <c r="I25" s="1284" t="s">
        <v>285</v>
      </c>
      <c r="J25" s="1287" t="s">
        <v>278</v>
      </c>
      <c r="K25" s="1265"/>
      <c r="L25" s="1264" t="s">
        <v>92</v>
      </c>
      <c r="M25" s="1265"/>
      <c r="N25" s="1264" t="s">
        <v>93</v>
      </c>
      <c r="O25" s="1265"/>
      <c r="P25" s="1264" t="s">
        <v>94</v>
      </c>
      <c r="Q25" s="1265"/>
      <c r="R25" s="1264" t="s">
        <v>95</v>
      </c>
      <c r="S25" s="1265"/>
      <c r="T25" s="1264" t="s">
        <v>96</v>
      </c>
      <c r="U25" s="1265"/>
      <c r="V25" s="1274" t="s">
        <v>97</v>
      </c>
      <c r="W25" s="1265"/>
      <c r="X25" s="1264" t="s">
        <v>98</v>
      </c>
      <c r="Y25" s="1265"/>
      <c r="Z25" s="1264" t="s">
        <v>99</v>
      </c>
      <c r="AA25" s="1265"/>
      <c r="AB25" s="1264" t="s">
        <v>279</v>
      </c>
      <c r="AC25" s="1265"/>
      <c r="AD25" s="1264" t="s">
        <v>280</v>
      </c>
      <c r="AE25" s="1265"/>
      <c r="AF25" s="1264" t="s">
        <v>281</v>
      </c>
      <c r="AG25" s="1265"/>
      <c r="AH25" s="398" t="s">
        <v>107</v>
      </c>
    </row>
    <row r="26" spans="1:34" ht="16.2">
      <c r="A26" s="425"/>
      <c r="B26" s="1276"/>
      <c r="C26" s="1279"/>
      <c r="D26" s="1282"/>
      <c r="E26" s="1266" t="s">
        <v>282</v>
      </c>
      <c r="F26" s="1266" t="s">
        <v>286</v>
      </c>
      <c r="G26" s="1268" t="s">
        <v>287</v>
      </c>
      <c r="H26" s="1269"/>
      <c r="I26" s="1285"/>
      <c r="J26" s="1270" t="s">
        <v>60</v>
      </c>
      <c r="K26" s="1272" t="s">
        <v>61</v>
      </c>
      <c r="L26" s="1258" t="s">
        <v>60</v>
      </c>
      <c r="M26" s="1260" t="s">
        <v>61</v>
      </c>
      <c r="N26" s="1258" t="s">
        <v>60</v>
      </c>
      <c r="O26" s="1260" t="s">
        <v>61</v>
      </c>
      <c r="P26" s="1258" t="s">
        <v>60</v>
      </c>
      <c r="Q26" s="1260" t="s">
        <v>61</v>
      </c>
      <c r="R26" s="1258" t="s">
        <v>60</v>
      </c>
      <c r="S26" s="1260" t="s">
        <v>61</v>
      </c>
      <c r="T26" s="1258" t="s">
        <v>60</v>
      </c>
      <c r="U26" s="1260" t="s">
        <v>61</v>
      </c>
      <c r="V26" s="1262" t="s">
        <v>60</v>
      </c>
      <c r="W26" s="1260" t="s">
        <v>61</v>
      </c>
      <c r="X26" s="1258" t="s">
        <v>60</v>
      </c>
      <c r="Y26" s="1260" t="s">
        <v>61</v>
      </c>
      <c r="Z26" s="1258" t="s">
        <v>60</v>
      </c>
      <c r="AA26" s="1260" t="s">
        <v>61</v>
      </c>
      <c r="AB26" s="1258" t="s">
        <v>60</v>
      </c>
      <c r="AC26" s="1260" t="s">
        <v>61</v>
      </c>
      <c r="AD26" s="1258" t="s">
        <v>60</v>
      </c>
      <c r="AE26" s="1260" t="s">
        <v>61</v>
      </c>
      <c r="AF26" s="1258" t="s">
        <v>60</v>
      </c>
      <c r="AG26" s="1260" t="s">
        <v>61</v>
      </c>
      <c r="AH26" s="399"/>
    </row>
    <row r="27" spans="1:34" ht="16.2">
      <c r="A27" s="425"/>
      <c r="B27" s="1277"/>
      <c r="C27" s="1280"/>
      <c r="D27" s="1283"/>
      <c r="E27" s="1267"/>
      <c r="F27" s="1267"/>
      <c r="G27" s="429" t="s">
        <v>288</v>
      </c>
      <c r="H27" s="430" t="s">
        <v>289</v>
      </c>
      <c r="I27" s="1286"/>
      <c r="J27" s="1271"/>
      <c r="K27" s="1273"/>
      <c r="L27" s="1259"/>
      <c r="M27" s="1261"/>
      <c r="N27" s="1259"/>
      <c r="O27" s="1261"/>
      <c r="P27" s="1259"/>
      <c r="Q27" s="1261"/>
      <c r="R27" s="1259"/>
      <c r="S27" s="1261"/>
      <c r="T27" s="1259"/>
      <c r="U27" s="1261"/>
      <c r="V27" s="1263"/>
      <c r="W27" s="1261"/>
      <c r="X27" s="1259"/>
      <c r="Y27" s="1261"/>
      <c r="Z27" s="1259"/>
      <c r="AA27" s="1261"/>
      <c r="AB27" s="1259"/>
      <c r="AC27" s="1261"/>
      <c r="AD27" s="1259"/>
      <c r="AE27" s="1261"/>
      <c r="AF27" s="1259"/>
      <c r="AG27" s="1261"/>
      <c r="AH27" s="400"/>
    </row>
    <row r="28" spans="1:34" ht="23.25" customHeight="1">
      <c r="A28" s="425"/>
      <c r="B28" s="431" t="s">
        <v>37</v>
      </c>
      <c r="C28" s="432" t="s">
        <v>361</v>
      </c>
      <c r="D28" s="433" t="s">
        <v>362</v>
      </c>
      <c r="E28" s="434" t="s">
        <v>294</v>
      </c>
      <c r="F28" s="435" t="s">
        <v>261</v>
      </c>
      <c r="G28" s="436" t="s">
        <v>76</v>
      </c>
      <c r="H28" s="436" t="s">
        <v>76</v>
      </c>
      <c r="I28" s="437" t="s">
        <v>363</v>
      </c>
      <c r="J28" s="403" t="s">
        <v>658</v>
      </c>
      <c r="K28" s="404">
        <v>23</v>
      </c>
      <c r="L28" s="405"/>
      <c r="M28" s="404"/>
      <c r="N28" s="405"/>
      <c r="O28" s="404"/>
      <c r="P28" s="405"/>
      <c r="Q28" s="404"/>
      <c r="R28" s="405"/>
      <c r="S28" s="404"/>
      <c r="T28" s="413"/>
      <c r="U28" s="404"/>
      <c r="V28" s="406"/>
      <c r="W28" s="404"/>
      <c r="X28" s="405"/>
      <c r="Y28" s="404"/>
      <c r="Z28" s="405"/>
      <c r="AA28" s="404"/>
      <c r="AB28" s="405"/>
      <c r="AC28" s="404"/>
      <c r="AD28" s="405"/>
      <c r="AE28" s="404"/>
      <c r="AF28" s="413"/>
      <c r="AG28" s="404"/>
      <c r="AH28" s="438" t="s">
        <v>365</v>
      </c>
    </row>
    <row r="29" spans="1:34" ht="23.25" customHeight="1">
      <c r="A29" s="425"/>
      <c r="B29" s="439"/>
      <c r="C29" s="440" t="s">
        <v>366</v>
      </c>
      <c r="D29" s="305" t="s">
        <v>362</v>
      </c>
      <c r="E29" s="441" t="s">
        <v>294</v>
      </c>
      <c r="F29" s="435" t="s">
        <v>261</v>
      </c>
      <c r="G29" s="305" t="s">
        <v>295</v>
      </c>
      <c r="H29" s="305" t="s">
        <v>295</v>
      </c>
      <c r="I29" s="442" t="s">
        <v>363</v>
      </c>
      <c r="J29" s="411" t="s">
        <v>364</v>
      </c>
      <c r="K29" s="412"/>
      <c r="L29" s="413"/>
      <c r="M29" s="412"/>
      <c r="N29" s="413"/>
      <c r="O29" s="412"/>
      <c r="P29" s="413"/>
      <c r="Q29" s="412"/>
      <c r="R29" s="413"/>
      <c r="S29" s="412"/>
      <c r="T29" s="413"/>
      <c r="U29" s="412"/>
      <c r="V29" s="414"/>
      <c r="W29" s="412"/>
      <c r="X29" s="413"/>
      <c r="Y29" s="412"/>
      <c r="Z29" s="413"/>
      <c r="AA29" s="412"/>
      <c r="AB29" s="413"/>
      <c r="AC29" s="412"/>
      <c r="AD29" s="413"/>
      <c r="AE29" s="412"/>
      <c r="AF29" s="413"/>
      <c r="AG29" s="412"/>
      <c r="AH29" s="443" t="s">
        <v>367</v>
      </c>
    </row>
    <row r="30" spans="1:34" ht="25.5" customHeight="1">
      <c r="A30" s="444"/>
      <c r="B30" s="445"/>
      <c r="C30" s="446" t="s">
        <v>90</v>
      </c>
      <c r="D30" s="305" t="s">
        <v>362</v>
      </c>
      <c r="E30" s="447" t="s">
        <v>294</v>
      </c>
      <c r="F30" s="435" t="s">
        <v>261</v>
      </c>
      <c r="G30" s="448" t="s">
        <v>368</v>
      </c>
      <c r="H30" s="448" t="s">
        <v>368</v>
      </c>
      <c r="I30" s="442" t="s">
        <v>363</v>
      </c>
      <c r="J30" s="449" t="s">
        <v>658</v>
      </c>
      <c r="K30" s="450">
        <v>23</v>
      </c>
      <c r="L30" s="451"/>
      <c r="M30" s="450"/>
      <c r="N30" s="451"/>
      <c r="O30" s="450"/>
      <c r="P30" s="451"/>
      <c r="Q30" s="450"/>
      <c r="R30" s="451"/>
      <c r="S30" s="450"/>
      <c r="T30" s="413"/>
      <c r="U30" s="412"/>
      <c r="V30" s="414"/>
      <c r="W30" s="450"/>
      <c r="X30" s="451"/>
      <c r="Y30" s="450"/>
      <c r="Z30" s="451"/>
      <c r="AA30" s="450"/>
      <c r="AB30" s="451"/>
      <c r="AC30" s="450"/>
      <c r="AD30" s="451"/>
      <c r="AE30" s="450"/>
      <c r="AF30" s="451"/>
      <c r="AG30" s="450"/>
      <c r="AH30" s="443" t="s">
        <v>369</v>
      </c>
    </row>
    <row r="31" spans="1:34" ht="23.25" customHeight="1">
      <c r="A31" s="425"/>
      <c r="B31" s="439"/>
      <c r="C31" s="440" t="s">
        <v>296</v>
      </c>
      <c r="D31" s="305" t="s">
        <v>362</v>
      </c>
      <c r="E31" s="441" t="s">
        <v>294</v>
      </c>
      <c r="F31" s="435" t="s">
        <v>261</v>
      </c>
      <c r="G31" s="433" t="s">
        <v>76</v>
      </c>
      <c r="H31" s="433" t="s">
        <v>76</v>
      </c>
      <c r="I31" s="442" t="s">
        <v>558</v>
      </c>
      <c r="J31" s="413" t="s">
        <v>370</v>
      </c>
      <c r="K31" s="452" t="s">
        <v>559</v>
      </c>
      <c r="L31" s="413" t="s">
        <v>370</v>
      </c>
      <c r="M31" s="452" t="s">
        <v>559</v>
      </c>
      <c r="N31" s="413" t="s">
        <v>371</v>
      </c>
      <c r="O31" s="452"/>
      <c r="P31" s="413" t="s">
        <v>370</v>
      </c>
      <c r="Q31" s="452"/>
      <c r="R31" s="413" t="s">
        <v>370</v>
      </c>
      <c r="S31" s="452"/>
      <c r="T31" s="413" t="s">
        <v>372</v>
      </c>
      <c r="U31" s="452"/>
      <c r="V31" s="414" t="s">
        <v>370</v>
      </c>
      <c r="W31" s="452"/>
      <c r="X31" s="413" t="s">
        <v>370</v>
      </c>
      <c r="Y31" s="452"/>
      <c r="Z31" s="413" t="s">
        <v>371</v>
      </c>
      <c r="AA31" s="452"/>
      <c r="AB31" s="413" t="s">
        <v>370</v>
      </c>
      <c r="AC31" s="452"/>
      <c r="AD31" s="413" t="s">
        <v>370</v>
      </c>
      <c r="AE31" s="452"/>
      <c r="AF31" s="413" t="s">
        <v>371</v>
      </c>
      <c r="AG31" s="452"/>
      <c r="AH31" s="443" t="s">
        <v>373</v>
      </c>
    </row>
    <row r="32" spans="1:34" ht="23.25" customHeight="1">
      <c r="A32" s="425"/>
      <c r="B32" s="439"/>
      <c r="C32" s="440" t="s">
        <v>296</v>
      </c>
      <c r="D32" s="305" t="s">
        <v>362</v>
      </c>
      <c r="E32" s="441" t="s">
        <v>294</v>
      </c>
      <c r="F32" s="435" t="s">
        <v>262</v>
      </c>
      <c r="G32" s="433" t="s">
        <v>76</v>
      </c>
      <c r="H32" s="453"/>
      <c r="I32" s="454"/>
      <c r="J32" s="413"/>
      <c r="K32" s="452"/>
      <c r="L32" s="413"/>
      <c r="M32" s="452"/>
      <c r="N32" s="413"/>
      <c r="O32" s="452"/>
      <c r="P32" s="413"/>
      <c r="Q32" s="452"/>
      <c r="R32" s="413"/>
      <c r="S32" s="455"/>
      <c r="T32" s="413"/>
      <c r="U32" s="452"/>
      <c r="V32" s="456"/>
      <c r="W32" s="452"/>
      <c r="X32" s="457"/>
      <c r="Y32" s="452"/>
      <c r="Z32" s="457"/>
      <c r="AA32" s="452"/>
      <c r="AB32" s="457"/>
      <c r="AC32" s="452"/>
      <c r="AD32" s="413"/>
      <c r="AE32" s="452"/>
      <c r="AF32" s="413"/>
      <c r="AG32" s="452"/>
      <c r="AH32" s="443"/>
    </row>
    <row r="33" spans="1:34" ht="23.25" customHeight="1">
      <c r="A33" s="425"/>
      <c r="B33" s="439"/>
      <c r="C33" s="440" t="s">
        <v>296</v>
      </c>
      <c r="D33" s="305" t="s">
        <v>362</v>
      </c>
      <c r="E33" s="441" t="s">
        <v>294</v>
      </c>
      <c r="F33" s="435" t="s">
        <v>262</v>
      </c>
      <c r="G33" s="433" t="s">
        <v>76</v>
      </c>
      <c r="H33" s="453"/>
      <c r="I33" s="454"/>
      <c r="J33" s="413"/>
      <c r="K33" s="452"/>
      <c r="L33" s="413"/>
      <c r="M33" s="452"/>
      <c r="N33" s="413"/>
      <c r="O33" s="452"/>
      <c r="P33" s="413"/>
      <c r="Q33" s="452"/>
      <c r="R33" s="413"/>
      <c r="S33" s="455"/>
      <c r="T33" s="413"/>
      <c r="U33" s="452"/>
      <c r="V33" s="456"/>
      <c r="W33" s="452"/>
      <c r="X33" s="457"/>
      <c r="Y33" s="452"/>
      <c r="Z33" s="457"/>
      <c r="AA33" s="452"/>
      <c r="AB33" s="457"/>
      <c r="AC33" s="452"/>
      <c r="AD33" s="413"/>
      <c r="AE33" s="452"/>
      <c r="AF33" s="413"/>
      <c r="AG33" s="452"/>
      <c r="AH33" s="443"/>
    </row>
    <row r="34" spans="1:34" ht="23.25" customHeight="1">
      <c r="A34" s="425"/>
      <c r="B34" s="439"/>
      <c r="C34" s="458" t="s">
        <v>374</v>
      </c>
      <c r="D34" s="305" t="s">
        <v>362</v>
      </c>
      <c r="E34" s="459" t="s">
        <v>294</v>
      </c>
      <c r="F34" s="435" t="s">
        <v>262</v>
      </c>
      <c r="G34" s="305" t="s">
        <v>76</v>
      </c>
      <c r="H34" s="460"/>
      <c r="I34" s="461"/>
      <c r="J34" s="457"/>
      <c r="K34" s="452"/>
      <c r="L34" s="457"/>
      <c r="M34" s="452"/>
      <c r="N34" s="457"/>
      <c r="O34" s="452"/>
      <c r="P34" s="457"/>
      <c r="Q34" s="452"/>
      <c r="R34" s="457"/>
      <c r="S34" s="455"/>
      <c r="T34" s="457"/>
      <c r="U34" s="452"/>
      <c r="V34" s="456"/>
      <c r="W34" s="452"/>
      <c r="X34" s="457"/>
      <c r="Y34" s="452"/>
      <c r="Z34" s="457"/>
      <c r="AA34" s="452"/>
      <c r="AB34" s="457"/>
      <c r="AC34" s="452"/>
      <c r="AD34" s="457"/>
      <c r="AE34" s="452"/>
      <c r="AF34" s="457"/>
      <c r="AG34" s="452"/>
      <c r="AH34" s="443"/>
    </row>
    <row r="35" spans="1:34" ht="23.1" customHeight="1">
      <c r="A35" s="425"/>
      <c r="B35" s="439"/>
      <c r="C35" s="458" t="s">
        <v>374</v>
      </c>
      <c r="D35" s="305" t="s">
        <v>362</v>
      </c>
      <c r="E35" s="459" t="s">
        <v>294</v>
      </c>
      <c r="F35" s="435" t="s">
        <v>262</v>
      </c>
      <c r="G35" s="305" t="s">
        <v>76</v>
      </c>
      <c r="H35" s="460"/>
      <c r="I35" s="461"/>
      <c r="J35" s="457"/>
      <c r="K35" s="452"/>
      <c r="L35" s="457"/>
      <c r="M35" s="452"/>
      <c r="N35" s="457"/>
      <c r="O35" s="452"/>
      <c r="P35" s="457"/>
      <c r="Q35" s="452"/>
      <c r="R35" s="457"/>
      <c r="S35" s="455"/>
      <c r="T35" s="457"/>
      <c r="U35" s="452"/>
      <c r="V35" s="456"/>
      <c r="W35" s="452"/>
      <c r="X35" s="457"/>
      <c r="Y35" s="452"/>
      <c r="Z35" s="457"/>
      <c r="AA35" s="452"/>
      <c r="AB35" s="457"/>
      <c r="AC35" s="452"/>
      <c r="AD35" s="457"/>
      <c r="AE35" s="452"/>
      <c r="AF35" s="457"/>
      <c r="AG35" s="452"/>
      <c r="AH35" s="443"/>
    </row>
    <row r="36" spans="1:34" ht="23.1" customHeight="1">
      <c r="A36" s="425"/>
      <c r="B36" s="439"/>
      <c r="C36" s="458" t="s">
        <v>375</v>
      </c>
      <c r="D36" s="305" t="s">
        <v>362</v>
      </c>
      <c r="E36" s="441" t="s">
        <v>294</v>
      </c>
      <c r="F36" s="435" t="s">
        <v>262</v>
      </c>
      <c r="G36" s="433" t="s">
        <v>216</v>
      </c>
      <c r="H36" s="433"/>
      <c r="I36" s="461"/>
      <c r="J36" s="462"/>
      <c r="K36" s="463"/>
      <c r="L36" s="462"/>
      <c r="M36" s="463"/>
      <c r="N36" s="462"/>
      <c r="O36" s="463"/>
      <c r="P36" s="462"/>
      <c r="Q36" s="463"/>
      <c r="R36" s="462"/>
      <c r="S36" s="463"/>
      <c r="T36" s="462"/>
      <c r="U36" s="463"/>
      <c r="V36" s="462"/>
      <c r="W36" s="463"/>
      <c r="X36" s="462"/>
      <c r="Y36" s="463"/>
      <c r="Z36" s="462"/>
      <c r="AA36" s="463"/>
      <c r="AB36" s="462"/>
      <c r="AC36" s="463"/>
      <c r="AD36" s="462"/>
      <c r="AE36" s="463"/>
      <c r="AF36" s="462"/>
      <c r="AG36" s="463"/>
      <c r="AH36" s="464"/>
    </row>
    <row r="37" spans="1:34" ht="23.1" customHeight="1">
      <c r="A37" s="425"/>
      <c r="B37" s="439"/>
      <c r="C37" s="458" t="s">
        <v>376</v>
      </c>
      <c r="D37" s="305" t="s">
        <v>362</v>
      </c>
      <c r="E37" s="459" t="s">
        <v>294</v>
      </c>
      <c r="F37" s="435" t="s">
        <v>262</v>
      </c>
      <c r="G37" s="305" t="s">
        <v>76</v>
      </c>
      <c r="H37" s="460"/>
      <c r="I37" s="461"/>
      <c r="J37" s="456"/>
      <c r="K37" s="452"/>
      <c r="L37" s="457"/>
      <c r="M37" s="452"/>
      <c r="N37" s="457"/>
      <c r="O37" s="452"/>
      <c r="P37" s="457"/>
      <c r="Q37" s="452"/>
      <c r="R37" s="457"/>
      <c r="S37" s="455"/>
      <c r="T37" s="457"/>
      <c r="U37" s="452"/>
      <c r="V37" s="456"/>
      <c r="W37" s="452"/>
      <c r="X37" s="457"/>
      <c r="Y37" s="452"/>
      <c r="Z37" s="457"/>
      <c r="AA37" s="452"/>
      <c r="AB37" s="457"/>
      <c r="AC37" s="452"/>
      <c r="AD37" s="457"/>
      <c r="AE37" s="452"/>
      <c r="AF37" s="457"/>
      <c r="AG37" s="452"/>
      <c r="AH37" s="443"/>
    </row>
    <row r="38" spans="1:34" ht="23.1" customHeight="1">
      <c r="A38" s="425"/>
      <c r="B38" s="439"/>
      <c r="C38" s="458" t="s">
        <v>377</v>
      </c>
      <c r="D38" s="305" t="s">
        <v>362</v>
      </c>
      <c r="E38" s="459" t="s">
        <v>294</v>
      </c>
      <c r="F38" s="435" t="s">
        <v>262</v>
      </c>
      <c r="G38" s="305" t="s">
        <v>76</v>
      </c>
      <c r="H38" s="460"/>
      <c r="I38" s="461"/>
      <c r="J38" s="456"/>
      <c r="K38" s="452"/>
      <c r="L38" s="457"/>
      <c r="M38" s="452"/>
      <c r="N38" s="457"/>
      <c r="O38" s="452"/>
      <c r="P38" s="457"/>
      <c r="Q38" s="452"/>
      <c r="R38" s="457"/>
      <c r="S38" s="455"/>
      <c r="T38" s="457"/>
      <c r="U38" s="452"/>
      <c r="V38" s="456"/>
      <c r="W38" s="452"/>
      <c r="X38" s="457"/>
      <c r="Y38" s="452"/>
      <c r="Z38" s="457"/>
      <c r="AA38" s="452"/>
      <c r="AB38" s="457"/>
      <c r="AC38" s="452"/>
      <c r="AD38" s="457"/>
      <c r="AE38" s="452"/>
      <c r="AF38" s="457"/>
      <c r="AG38" s="452"/>
      <c r="AH38" s="443"/>
    </row>
    <row r="39" spans="1:34" ht="23.1" customHeight="1" thickBot="1">
      <c r="A39" s="425"/>
      <c r="B39" s="465"/>
      <c r="C39" s="466" t="s">
        <v>378</v>
      </c>
      <c r="D39" s="467" t="s">
        <v>362</v>
      </c>
      <c r="E39" s="468" t="s">
        <v>294</v>
      </c>
      <c r="F39" s="469" t="s">
        <v>262</v>
      </c>
      <c r="G39" s="467" t="s">
        <v>76</v>
      </c>
      <c r="H39" s="470"/>
      <c r="I39" s="422"/>
      <c r="J39" s="421"/>
      <c r="K39" s="419"/>
      <c r="L39" s="420"/>
      <c r="M39" s="419"/>
      <c r="N39" s="420"/>
      <c r="O39" s="419"/>
      <c r="P39" s="420"/>
      <c r="Q39" s="419"/>
      <c r="R39" s="420"/>
      <c r="S39" s="471"/>
      <c r="T39" s="420"/>
      <c r="U39" s="419"/>
      <c r="V39" s="421"/>
      <c r="W39" s="419"/>
      <c r="X39" s="420"/>
      <c r="Y39" s="419"/>
      <c r="Z39" s="420"/>
      <c r="AA39" s="419"/>
      <c r="AB39" s="420"/>
      <c r="AC39" s="419"/>
      <c r="AD39" s="420"/>
      <c r="AE39" s="419"/>
      <c r="AF39" s="420"/>
      <c r="AG39" s="419"/>
      <c r="AH39" s="472"/>
    </row>
    <row r="40" spans="1:34" ht="23.25" customHeight="1">
      <c r="A40" s="425"/>
      <c r="B40" s="439" t="s">
        <v>41</v>
      </c>
      <c r="C40" s="440" t="s">
        <v>379</v>
      </c>
      <c r="D40" s="433" t="s">
        <v>362</v>
      </c>
      <c r="E40" s="441" t="s">
        <v>299</v>
      </c>
      <c r="F40" s="473" t="s">
        <v>261</v>
      </c>
      <c r="G40" s="453" t="s">
        <v>380</v>
      </c>
      <c r="H40" s="474" t="s">
        <v>381</v>
      </c>
      <c r="I40" s="454" t="s">
        <v>382</v>
      </c>
      <c r="J40" s="413" t="s">
        <v>371</v>
      </c>
      <c r="K40" s="452">
        <v>4</v>
      </c>
      <c r="L40" s="413"/>
      <c r="M40" s="412"/>
      <c r="N40" s="413" t="s">
        <v>371</v>
      </c>
      <c r="O40" s="452"/>
      <c r="P40" s="413"/>
      <c r="Q40" s="412"/>
      <c r="R40" s="413" t="s">
        <v>372</v>
      </c>
      <c r="S40" s="452"/>
      <c r="T40" s="413"/>
      <c r="U40" s="412"/>
      <c r="V40" s="413" t="s">
        <v>371</v>
      </c>
      <c r="W40" s="452"/>
      <c r="X40" s="413"/>
      <c r="Y40" s="412"/>
      <c r="Z40" s="413" t="s">
        <v>371</v>
      </c>
      <c r="AA40" s="452"/>
      <c r="AB40" s="413"/>
      <c r="AC40" s="412"/>
      <c r="AD40" s="413" t="s">
        <v>371</v>
      </c>
      <c r="AE40" s="452"/>
      <c r="AF40" s="413"/>
      <c r="AG40" s="412"/>
      <c r="AH40" s="475" t="s">
        <v>383</v>
      </c>
    </row>
    <row r="41" spans="1:34" ht="23.25" customHeight="1">
      <c r="A41" s="425"/>
      <c r="B41" s="439"/>
      <c r="C41" s="476" t="s">
        <v>384</v>
      </c>
      <c r="D41" s="305" t="s">
        <v>362</v>
      </c>
      <c r="E41" s="477" t="s">
        <v>385</v>
      </c>
      <c r="F41" s="435" t="s">
        <v>262</v>
      </c>
      <c r="G41" s="478" t="s">
        <v>386</v>
      </c>
      <c r="H41" s="479"/>
      <c r="I41" s="480"/>
      <c r="J41" s="481"/>
      <c r="K41" s="482"/>
      <c r="L41" s="481"/>
      <c r="M41" s="482"/>
      <c r="N41" s="481"/>
      <c r="O41" s="482"/>
      <c r="P41" s="481"/>
      <c r="Q41" s="482"/>
      <c r="R41" s="481"/>
      <c r="S41" s="482"/>
      <c r="T41" s="481"/>
      <c r="U41" s="482"/>
      <c r="V41" s="483"/>
      <c r="W41" s="482"/>
      <c r="X41" s="481"/>
      <c r="Y41" s="482"/>
      <c r="Z41" s="481"/>
      <c r="AA41" s="482"/>
      <c r="AB41" s="481"/>
      <c r="AC41" s="482"/>
      <c r="AD41" s="481"/>
      <c r="AE41" s="482"/>
      <c r="AF41" s="481"/>
      <c r="AG41" s="482"/>
      <c r="AH41" s="484"/>
    </row>
    <row r="42" spans="1:34" ht="25.5" customHeight="1" thickBot="1">
      <c r="A42" s="485"/>
      <c r="B42" s="486"/>
      <c r="C42" s="487" t="s">
        <v>387</v>
      </c>
      <c r="D42" s="467" t="s">
        <v>362</v>
      </c>
      <c r="E42" s="488" t="s">
        <v>385</v>
      </c>
      <c r="F42" s="469" t="s">
        <v>262</v>
      </c>
      <c r="G42" s="489" t="s">
        <v>76</v>
      </c>
      <c r="H42" s="490"/>
      <c r="I42" s="422"/>
      <c r="J42" s="491"/>
      <c r="K42" s="492"/>
      <c r="L42" s="491"/>
      <c r="M42" s="492"/>
      <c r="N42" s="420"/>
      <c r="O42" s="492"/>
      <c r="P42" s="491"/>
      <c r="Q42" s="492"/>
      <c r="R42" s="491"/>
      <c r="S42" s="492"/>
      <c r="T42" s="491"/>
      <c r="U42" s="492"/>
      <c r="V42" s="493"/>
      <c r="W42" s="492"/>
      <c r="X42" s="491"/>
      <c r="Y42" s="492"/>
      <c r="Z42" s="491"/>
      <c r="AA42" s="492"/>
      <c r="AB42" s="491"/>
      <c r="AC42" s="492"/>
      <c r="AD42" s="491"/>
      <c r="AE42" s="492"/>
      <c r="AF42" s="491"/>
      <c r="AG42" s="492"/>
      <c r="AH42" s="494"/>
    </row>
    <row r="43" spans="1:34" ht="23.25" customHeight="1">
      <c r="A43" s="425"/>
      <c r="B43" s="439" t="s">
        <v>91</v>
      </c>
      <c r="C43" s="440" t="s">
        <v>302</v>
      </c>
      <c r="D43" s="433" t="s">
        <v>362</v>
      </c>
      <c r="E43" s="441" t="s">
        <v>265</v>
      </c>
      <c r="F43" s="473" t="s">
        <v>262</v>
      </c>
      <c r="G43" s="433" t="s">
        <v>388</v>
      </c>
      <c r="H43" s="453"/>
      <c r="I43" s="495"/>
      <c r="J43" s="413"/>
      <c r="K43" s="412"/>
      <c r="L43" s="413"/>
      <c r="M43" s="412"/>
      <c r="N43" s="413"/>
      <c r="O43" s="412"/>
      <c r="P43" s="413"/>
      <c r="Q43" s="412"/>
      <c r="R43" s="413"/>
      <c r="S43" s="412"/>
      <c r="T43" s="413"/>
      <c r="U43" s="412"/>
      <c r="V43" s="413"/>
      <c r="W43" s="412"/>
      <c r="X43" s="413"/>
      <c r="Y43" s="412"/>
      <c r="Z43" s="413"/>
      <c r="AA43" s="412"/>
      <c r="AB43" s="413"/>
      <c r="AC43" s="412"/>
      <c r="AD43" s="413"/>
      <c r="AE43" s="412"/>
      <c r="AF43" s="413"/>
      <c r="AG43" s="412"/>
      <c r="AH43" s="475"/>
    </row>
    <row r="44" spans="1:34" ht="23.25" customHeight="1">
      <c r="A44" s="425"/>
      <c r="B44" s="439"/>
      <c r="C44" s="440" t="s">
        <v>389</v>
      </c>
      <c r="D44" s="433" t="s">
        <v>362</v>
      </c>
      <c r="E44" s="441" t="s">
        <v>265</v>
      </c>
      <c r="F44" s="473" t="s">
        <v>261</v>
      </c>
      <c r="G44" s="441" t="s">
        <v>390</v>
      </c>
      <c r="H44" s="441" t="s">
        <v>391</v>
      </c>
      <c r="I44" s="496" t="s">
        <v>229</v>
      </c>
      <c r="J44" s="413"/>
      <c r="K44" s="412"/>
      <c r="L44" s="413"/>
      <c r="M44" s="412"/>
      <c r="N44" s="413"/>
      <c r="O44" s="412"/>
      <c r="P44" s="413"/>
      <c r="Q44" s="412"/>
      <c r="R44" s="413" t="s">
        <v>371</v>
      </c>
      <c r="S44" s="412"/>
      <c r="T44" s="413"/>
      <c r="U44" s="412"/>
      <c r="V44" s="414"/>
      <c r="W44" s="412"/>
      <c r="X44" s="413"/>
      <c r="Y44" s="412"/>
      <c r="Z44" s="413"/>
      <c r="AA44" s="412"/>
      <c r="AB44" s="413"/>
      <c r="AC44" s="412"/>
      <c r="AD44" s="413"/>
      <c r="AE44" s="412"/>
      <c r="AF44" s="413"/>
      <c r="AG44" s="412"/>
      <c r="AH44" s="475"/>
    </row>
    <row r="45" spans="1:34" ht="23.25" customHeight="1">
      <c r="A45" s="425"/>
      <c r="B45" s="439"/>
      <c r="C45" s="440" t="s">
        <v>392</v>
      </c>
      <c r="D45" s="433" t="s">
        <v>362</v>
      </c>
      <c r="E45" s="441" t="s">
        <v>265</v>
      </c>
      <c r="F45" s="473" t="s">
        <v>262</v>
      </c>
      <c r="G45" s="441" t="s">
        <v>390</v>
      </c>
      <c r="H45" s="497"/>
      <c r="I45" s="454"/>
      <c r="J45" s="413"/>
      <c r="K45" s="412"/>
      <c r="L45" s="413"/>
      <c r="M45" s="412"/>
      <c r="N45" s="413"/>
      <c r="O45" s="412"/>
      <c r="P45" s="413"/>
      <c r="Q45" s="412"/>
      <c r="R45" s="413"/>
      <c r="S45" s="412"/>
      <c r="T45" s="413"/>
      <c r="U45" s="412"/>
      <c r="V45" s="414"/>
      <c r="W45" s="412"/>
      <c r="X45" s="413"/>
      <c r="Y45" s="412"/>
      <c r="Z45" s="413"/>
      <c r="AA45" s="412"/>
      <c r="AB45" s="413"/>
      <c r="AC45" s="412"/>
      <c r="AD45" s="413"/>
      <c r="AE45" s="412"/>
      <c r="AF45" s="413"/>
      <c r="AG45" s="412"/>
      <c r="AH45" s="475"/>
    </row>
    <row r="46" spans="1:34" ht="25.5" customHeight="1">
      <c r="A46" s="485"/>
      <c r="B46" s="498"/>
      <c r="C46" s="499" t="s">
        <v>393</v>
      </c>
      <c r="D46" s="305" t="s">
        <v>362</v>
      </c>
      <c r="E46" s="500" t="s">
        <v>265</v>
      </c>
      <c r="F46" s="435" t="s">
        <v>261</v>
      </c>
      <c r="G46" s="309" t="s">
        <v>216</v>
      </c>
      <c r="H46" s="501" t="s">
        <v>394</v>
      </c>
      <c r="I46" s="552" t="s">
        <v>301</v>
      </c>
      <c r="J46" s="413" t="s">
        <v>371</v>
      </c>
      <c r="K46" s="412" t="s">
        <v>654</v>
      </c>
      <c r="L46" s="413" t="s">
        <v>395</v>
      </c>
      <c r="M46" s="412">
        <v>17</v>
      </c>
      <c r="N46" s="413" t="s">
        <v>371</v>
      </c>
      <c r="O46" s="412"/>
      <c r="P46" s="413" t="s">
        <v>371</v>
      </c>
      <c r="Q46" s="412"/>
      <c r="R46" s="413" t="s">
        <v>371</v>
      </c>
      <c r="S46" s="412"/>
      <c r="T46" s="413" t="s">
        <v>371</v>
      </c>
      <c r="U46" s="412"/>
      <c r="V46" s="413" t="s">
        <v>371</v>
      </c>
      <c r="W46" s="412"/>
      <c r="X46" s="413" t="s">
        <v>395</v>
      </c>
      <c r="Y46" s="412"/>
      <c r="Z46" s="413" t="s">
        <v>371</v>
      </c>
      <c r="AA46" s="412"/>
      <c r="AB46" s="413" t="s">
        <v>371</v>
      </c>
      <c r="AC46" s="412"/>
      <c r="AD46" s="413" t="s">
        <v>371</v>
      </c>
      <c r="AE46" s="412"/>
      <c r="AF46" s="413" t="s">
        <v>371</v>
      </c>
      <c r="AG46" s="412"/>
      <c r="AH46" s="502" t="s">
        <v>641</v>
      </c>
    </row>
    <row r="47" spans="1:34" ht="23.25" customHeight="1">
      <c r="A47" s="425"/>
      <c r="B47" s="439"/>
      <c r="C47" s="440" t="s">
        <v>396</v>
      </c>
      <c r="D47" s="305" t="s">
        <v>362</v>
      </c>
      <c r="E47" s="441" t="s">
        <v>265</v>
      </c>
      <c r="F47" s="435" t="s">
        <v>262</v>
      </c>
      <c r="G47" s="433" t="s">
        <v>397</v>
      </c>
      <c r="H47" s="453"/>
      <c r="I47" s="454"/>
      <c r="J47" s="411"/>
      <c r="K47" s="412"/>
      <c r="L47" s="413"/>
      <c r="M47" s="412"/>
      <c r="N47" s="413"/>
      <c r="O47" s="412"/>
      <c r="P47" s="413"/>
      <c r="Q47" s="412"/>
      <c r="R47" s="413"/>
      <c r="S47" s="412"/>
      <c r="T47" s="413"/>
      <c r="U47" s="412"/>
      <c r="V47" s="414"/>
      <c r="W47" s="412"/>
      <c r="X47" s="413"/>
      <c r="Y47" s="412"/>
      <c r="Z47" s="413"/>
      <c r="AA47" s="412"/>
      <c r="AB47" s="413"/>
      <c r="AC47" s="412"/>
      <c r="AD47" s="413"/>
      <c r="AE47" s="412"/>
      <c r="AF47" s="413"/>
      <c r="AG47" s="412"/>
      <c r="AH47" s="443"/>
    </row>
    <row r="48" spans="1:34" ht="23.25" customHeight="1">
      <c r="A48" s="425"/>
      <c r="B48" s="439"/>
      <c r="C48" s="440" t="s">
        <v>398</v>
      </c>
      <c r="D48" s="305" t="s">
        <v>362</v>
      </c>
      <c r="E48" s="441" t="s">
        <v>265</v>
      </c>
      <c r="F48" s="435" t="s">
        <v>262</v>
      </c>
      <c r="G48" s="433" t="s">
        <v>76</v>
      </c>
      <c r="H48" s="453"/>
      <c r="I48" s="461"/>
      <c r="J48" s="411"/>
      <c r="K48" s="412"/>
      <c r="L48" s="413"/>
      <c r="M48" s="412"/>
      <c r="N48" s="413"/>
      <c r="O48" s="412"/>
      <c r="P48" s="413"/>
      <c r="Q48" s="412"/>
      <c r="R48" s="413"/>
      <c r="S48" s="412"/>
      <c r="T48" s="413"/>
      <c r="U48" s="412"/>
      <c r="V48" s="414"/>
      <c r="W48" s="412"/>
      <c r="X48" s="413"/>
      <c r="Y48" s="412"/>
      <c r="Z48" s="413"/>
      <c r="AA48" s="412"/>
      <c r="AB48" s="413"/>
      <c r="AC48" s="412"/>
      <c r="AD48" s="413"/>
      <c r="AE48" s="412"/>
      <c r="AF48" s="413"/>
      <c r="AG48" s="412"/>
      <c r="AH48" s="443"/>
    </row>
    <row r="49" spans="1:34" ht="23.25" customHeight="1">
      <c r="A49" s="425"/>
      <c r="B49" s="439"/>
      <c r="C49" s="440" t="s">
        <v>399</v>
      </c>
      <c r="D49" s="305" t="s">
        <v>362</v>
      </c>
      <c r="E49" s="441" t="s">
        <v>265</v>
      </c>
      <c r="F49" s="435" t="s">
        <v>261</v>
      </c>
      <c r="G49" s="433" t="s">
        <v>400</v>
      </c>
      <c r="H49" s="453" t="s">
        <v>381</v>
      </c>
      <c r="I49" s="496" t="s">
        <v>229</v>
      </c>
      <c r="J49" s="411"/>
      <c r="K49" s="412"/>
      <c r="L49" s="413"/>
      <c r="M49" s="412"/>
      <c r="N49" s="413"/>
      <c r="O49" s="412"/>
      <c r="P49" s="413"/>
      <c r="Q49" s="412"/>
      <c r="R49" s="413"/>
      <c r="S49" s="412"/>
      <c r="T49" s="413"/>
      <c r="U49" s="412"/>
      <c r="V49" s="413" t="s">
        <v>371</v>
      </c>
      <c r="W49" s="412"/>
      <c r="X49" s="413" t="s">
        <v>371</v>
      </c>
      <c r="Y49" s="412"/>
      <c r="Z49" s="413"/>
      <c r="AA49" s="412"/>
      <c r="AB49" s="413" t="s">
        <v>371</v>
      </c>
      <c r="AC49" s="412"/>
      <c r="AD49" s="413"/>
      <c r="AE49" s="412"/>
      <c r="AF49" s="413"/>
      <c r="AG49" s="412"/>
      <c r="AH49" s="443" t="s">
        <v>401</v>
      </c>
    </row>
    <row r="50" spans="1:34" ht="23.25" customHeight="1">
      <c r="A50" s="425"/>
      <c r="B50" s="439"/>
      <c r="C50" s="440" t="s">
        <v>402</v>
      </c>
      <c r="D50" s="305" t="s">
        <v>362</v>
      </c>
      <c r="E50" s="441" t="s">
        <v>265</v>
      </c>
      <c r="F50" s="435" t="s">
        <v>262</v>
      </c>
      <c r="G50" s="309" t="s">
        <v>403</v>
      </c>
      <c r="H50" s="309"/>
      <c r="I50" s="454"/>
      <c r="J50" s="411"/>
      <c r="K50" s="412"/>
      <c r="L50" s="413"/>
      <c r="M50" s="412"/>
      <c r="N50" s="413"/>
      <c r="O50" s="412"/>
      <c r="P50" s="413"/>
      <c r="Q50" s="412"/>
      <c r="R50" s="413"/>
      <c r="S50" s="412"/>
      <c r="T50" s="413"/>
      <c r="U50" s="412"/>
      <c r="V50" s="414"/>
      <c r="W50" s="412"/>
      <c r="X50" s="413"/>
      <c r="Y50" s="412"/>
      <c r="Z50" s="413"/>
      <c r="AA50" s="412"/>
      <c r="AB50" s="413"/>
      <c r="AC50" s="412"/>
      <c r="AD50" s="413"/>
      <c r="AE50" s="412"/>
      <c r="AF50" s="413"/>
      <c r="AG50" s="412"/>
      <c r="AH50" s="443"/>
    </row>
    <row r="51" spans="1:34" ht="23.25" customHeight="1">
      <c r="A51" s="425"/>
      <c r="B51" s="439"/>
      <c r="C51" s="440" t="s">
        <v>404</v>
      </c>
      <c r="D51" s="305" t="s">
        <v>362</v>
      </c>
      <c r="E51" s="441" t="s">
        <v>265</v>
      </c>
      <c r="F51" s="435" t="s">
        <v>262</v>
      </c>
      <c r="G51" s="433" t="s">
        <v>76</v>
      </c>
      <c r="H51" s="453"/>
      <c r="I51" s="454"/>
      <c r="J51" s="411"/>
      <c r="K51" s="412"/>
      <c r="L51" s="413"/>
      <c r="M51" s="412"/>
      <c r="N51" s="413"/>
      <c r="O51" s="412"/>
      <c r="P51" s="413"/>
      <c r="Q51" s="412"/>
      <c r="R51" s="413"/>
      <c r="S51" s="412"/>
      <c r="T51" s="413"/>
      <c r="U51" s="412"/>
      <c r="V51" s="414"/>
      <c r="W51" s="412"/>
      <c r="X51" s="413"/>
      <c r="Y51" s="412"/>
      <c r="Z51" s="413"/>
      <c r="AA51" s="412"/>
      <c r="AB51" s="413"/>
      <c r="AC51" s="412"/>
      <c r="AD51" s="413"/>
      <c r="AE51" s="412"/>
      <c r="AF51" s="413"/>
      <c r="AG51" s="412"/>
      <c r="AH51" s="443"/>
    </row>
    <row r="52" spans="1:34" ht="23.25" customHeight="1">
      <c r="A52" s="425"/>
      <c r="B52" s="439"/>
      <c r="C52" s="440" t="s">
        <v>405</v>
      </c>
      <c r="D52" s="305" t="s">
        <v>362</v>
      </c>
      <c r="E52" s="441" t="s">
        <v>265</v>
      </c>
      <c r="F52" s="435" t="s">
        <v>262</v>
      </c>
      <c r="G52" s="433" t="s">
        <v>298</v>
      </c>
      <c r="H52" s="433"/>
      <c r="I52" s="454"/>
      <c r="J52" s="411"/>
      <c r="K52" s="412"/>
      <c r="L52" s="413"/>
      <c r="M52" s="412"/>
      <c r="N52" s="413"/>
      <c r="O52" s="412"/>
      <c r="P52" s="413"/>
      <c r="Q52" s="412"/>
      <c r="R52" s="413"/>
      <c r="S52" s="412"/>
      <c r="T52" s="413"/>
      <c r="U52" s="412"/>
      <c r="V52" s="414"/>
      <c r="W52" s="412"/>
      <c r="X52" s="413"/>
      <c r="Y52" s="412"/>
      <c r="Z52" s="413"/>
      <c r="AA52" s="412"/>
      <c r="AB52" s="413"/>
      <c r="AC52" s="412"/>
      <c r="AD52" s="413"/>
      <c r="AE52" s="412"/>
      <c r="AF52" s="413"/>
      <c r="AG52" s="412"/>
      <c r="AH52" s="443"/>
    </row>
    <row r="53" spans="1:34" ht="23.25" customHeight="1">
      <c r="A53" s="425"/>
      <c r="B53" s="439"/>
      <c r="C53" s="440" t="s">
        <v>406</v>
      </c>
      <c r="D53" s="305" t="s">
        <v>362</v>
      </c>
      <c r="E53" s="441" t="s">
        <v>265</v>
      </c>
      <c r="F53" s="435" t="s">
        <v>262</v>
      </c>
      <c r="G53" s="433" t="s">
        <v>298</v>
      </c>
      <c r="H53" s="433"/>
      <c r="I53" s="454"/>
      <c r="J53" s="414"/>
      <c r="K53" s="412"/>
      <c r="L53" s="413"/>
      <c r="M53" s="412"/>
      <c r="N53" s="413"/>
      <c r="O53" s="412"/>
      <c r="P53" s="413"/>
      <c r="Q53" s="412"/>
      <c r="R53" s="413"/>
      <c r="S53" s="412"/>
      <c r="T53" s="413"/>
      <c r="U53" s="412"/>
      <c r="V53" s="414"/>
      <c r="W53" s="412"/>
      <c r="X53" s="413"/>
      <c r="Y53" s="412"/>
      <c r="Z53" s="413"/>
      <c r="AA53" s="412"/>
      <c r="AB53" s="413"/>
      <c r="AC53" s="412"/>
      <c r="AD53" s="413"/>
      <c r="AE53" s="412"/>
      <c r="AF53" s="413"/>
      <c r="AG53" s="412"/>
      <c r="AH53" s="443"/>
    </row>
    <row r="54" spans="1:34" ht="23.25" customHeight="1">
      <c r="A54" s="425"/>
      <c r="B54" s="439"/>
      <c r="C54" s="440" t="s">
        <v>407</v>
      </c>
      <c r="D54" s="305" t="s">
        <v>362</v>
      </c>
      <c r="E54" s="441" t="s">
        <v>265</v>
      </c>
      <c r="F54" s="435" t="s">
        <v>262</v>
      </c>
      <c r="G54" s="433" t="s">
        <v>408</v>
      </c>
      <c r="H54" s="453"/>
      <c r="I54" s="454"/>
      <c r="J54" s="413"/>
      <c r="K54" s="452"/>
      <c r="L54" s="413"/>
      <c r="M54" s="452"/>
      <c r="N54" s="413"/>
      <c r="O54" s="452"/>
      <c r="P54" s="413"/>
      <c r="Q54" s="452"/>
      <c r="R54" s="413"/>
      <c r="S54" s="452"/>
      <c r="T54" s="413"/>
      <c r="U54" s="452"/>
      <c r="V54" s="414"/>
      <c r="W54" s="452"/>
      <c r="X54" s="413"/>
      <c r="Y54" s="452"/>
      <c r="Z54" s="413"/>
      <c r="AA54" s="452"/>
      <c r="AB54" s="413"/>
      <c r="AC54" s="452"/>
      <c r="AD54" s="413"/>
      <c r="AE54" s="452"/>
      <c r="AF54" s="413"/>
      <c r="AG54" s="452"/>
      <c r="AH54" s="443"/>
    </row>
    <row r="55" spans="1:34" ht="23.25" customHeight="1">
      <c r="A55" s="425"/>
      <c r="B55" s="439"/>
      <c r="C55" s="440" t="s">
        <v>409</v>
      </c>
      <c r="D55" s="305" t="s">
        <v>362</v>
      </c>
      <c r="E55" s="441" t="s">
        <v>265</v>
      </c>
      <c r="F55" s="435" t="s">
        <v>262</v>
      </c>
      <c r="G55" s="433" t="s">
        <v>408</v>
      </c>
      <c r="H55" s="453"/>
      <c r="I55" s="454"/>
      <c r="J55" s="413"/>
      <c r="K55" s="452"/>
      <c r="L55" s="413"/>
      <c r="M55" s="452"/>
      <c r="N55" s="413"/>
      <c r="O55" s="452"/>
      <c r="P55" s="413"/>
      <c r="Q55" s="452"/>
      <c r="R55" s="413"/>
      <c r="S55" s="452"/>
      <c r="T55" s="413"/>
      <c r="U55" s="452"/>
      <c r="V55" s="414"/>
      <c r="W55" s="452"/>
      <c r="X55" s="413"/>
      <c r="Y55" s="452"/>
      <c r="Z55" s="413"/>
      <c r="AA55" s="452"/>
      <c r="AB55" s="413"/>
      <c r="AC55" s="452"/>
      <c r="AD55" s="413"/>
      <c r="AE55" s="452"/>
      <c r="AF55" s="413"/>
      <c r="AG55" s="452"/>
      <c r="AH55" s="443"/>
    </row>
    <row r="56" spans="1:34" ht="23.25" customHeight="1">
      <c r="A56" s="425"/>
      <c r="B56" s="439"/>
      <c r="C56" s="440" t="s">
        <v>410</v>
      </c>
      <c r="D56" s="305" t="s">
        <v>362</v>
      </c>
      <c r="E56" s="441" t="s">
        <v>265</v>
      </c>
      <c r="F56" s="478" t="s">
        <v>262</v>
      </c>
      <c r="G56" s="433" t="s">
        <v>408</v>
      </c>
      <c r="H56" s="453"/>
      <c r="I56" s="454"/>
      <c r="J56" s="411"/>
      <c r="K56" s="412"/>
      <c r="L56" s="413"/>
      <c r="M56" s="412"/>
      <c r="N56" s="413"/>
      <c r="O56" s="412"/>
      <c r="P56" s="413"/>
      <c r="Q56" s="412"/>
      <c r="R56" s="413"/>
      <c r="S56" s="412"/>
      <c r="T56" s="413"/>
      <c r="U56" s="412"/>
      <c r="V56" s="414"/>
      <c r="W56" s="412"/>
      <c r="X56" s="413"/>
      <c r="Y56" s="412"/>
      <c r="Z56" s="413"/>
      <c r="AA56" s="412"/>
      <c r="AB56" s="413"/>
      <c r="AC56" s="412"/>
      <c r="AD56" s="413"/>
      <c r="AE56" s="412"/>
      <c r="AF56" s="413"/>
      <c r="AG56" s="412"/>
      <c r="AH56" s="443"/>
    </row>
    <row r="57" spans="1:34" ht="23.25" customHeight="1">
      <c r="A57" s="425"/>
      <c r="B57" s="439"/>
      <c r="C57" s="440" t="s">
        <v>411</v>
      </c>
      <c r="D57" s="305" t="s">
        <v>362</v>
      </c>
      <c r="E57" s="441" t="s">
        <v>265</v>
      </c>
      <c r="F57" s="435" t="s">
        <v>262</v>
      </c>
      <c r="G57" s="433" t="s">
        <v>298</v>
      </c>
      <c r="H57" s="453"/>
      <c r="I57" s="454"/>
      <c r="J57" s="411"/>
      <c r="K57" s="412"/>
      <c r="L57" s="413"/>
      <c r="M57" s="412"/>
      <c r="N57" s="413"/>
      <c r="O57" s="412"/>
      <c r="P57" s="413"/>
      <c r="Q57" s="412"/>
      <c r="R57" s="413"/>
      <c r="S57" s="412"/>
      <c r="T57" s="413"/>
      <c r="U57" s="412"/>
      <c r="V57" s="414"/>
      <c r="W57" s="412"/>
      <c r="X57" s="413"/>
      <c r="Y57" s="412"/>
      <c r="Z57" s="413"/>
      <c r="AA57" s="412"/>
      <c r="AB57" s="413"/>
      <c r="AC57" s="412"/>
      <c r="AD57" s="413"/>
      <c r="AE57" s="412"/>
      <c r="AF57" s="413"/>
      <c r="AG57" s="412"/>
      <c r="AH57" s="443"/>
    </row>
    <row r="58" spans="1:34" ht="23.25" customHeight="1">
      <c r="A58" s="425"/>
      <c r="B58" s="439"/>
      <c r="C58" s="440" t="s">
        <v>412</v>
      </c>
      <c r="D58" s="305" t="s">
        <v>362</v>
      </c>
      <c r="E58" s="441" t="s">
        <v>265</v>
      </c>
      <c r="F58" s="435" t="s">
        <v>262</v>
      </c>
      <c r="G58" s="433" t="s">
        <v>298</v>
      </c>
      <c r="H58" s="453"/>
      <c r="I58" s="454"/>
      <c r="J58" s="411"/>
      <c r="K58" s="412"/>
      <c r="L58" s="413"/>
      <c r="M58" s="412"/>
      <c r="N58" s="413"/>
      <c r="O58" s="412"/>
      <c r="P58" s="413"/>
      <c r="Q58" s="412"/>
      <c r="R58" s="413"/>
      <c r="S58" s="412"/>
      <c r="T58" s="413"/>
      <c r="U58" s="412"/>
      <c r="V58" s="414"/>
      <c r="W58" s="412"/>
      <c r="X58" s="413"/>
      <c r="Y58" s="412"/>
      <c r="Z58" s="413"/>
      <c r="AA58" s="412"/>
      <c r="AB58" s="413"/>
      <c r="AC58" s="412"/>
      <c r="AD58" s="413"/>
      <c r="AE58" s="412"/>
      <c r="AF58" s="413"/>
      <c r="AG58" s="412"/>
      <c r="AH58" s="443"/>
    </row>
    <row r="59" spans="1:34" ht="23.25" customHeight="1">
      <c r="A59" s="425"/>
      <c r="B59" s="439"/>
      <c r="C59" s="440" t="s">
        <v>303</v>
      </c>
      <c r="D59" s="305" t="s">
        <v>362</v>
      </c>
      <c r="E59" s="441" t="s">
        <v>265</v>
      </c>
      <c r="F59" s="435" t="s">
        <v>262</v>
      </c>
      <c r="G59" s="478" t="s">
        <v>413</v>
      </c>
      <c r="H59" s="453" t="s">
        <v>394</v>
      </c>
      <c r="I59" s="308" t="s">
        <v>187</v>
      </c>
      <c r="J59" s="413"/>
      <c r="K59" s="412"/>
      <c r="L59" s="413"/>
      <c r="M59" s="412"/>
      <c r="N59" s="413"/>
      <c r="O59" s="412"/>
      <c r="P59" s="413"/>
      <c r="Q59" s="412"/>
      <c r="R59" s="413"/>
      <c r="S59" s="412"/>
      <c r="T59" s="413"/>
      <c r="U59" s="412"/>
      <c r="V59" s="413"/>
      <c r="W59" s="412"/>
      <c r="X59" s="413"/>
      <c r="Y59" s="412"/>
      <c r="Z59" s="413"/>
      <c r="AA59" s="412"/>
      <c r="AB59" s="413"/>
      <c r="AC59" s="412"/>
      <c r="AD59" s="413"/>
      <c r="AE59" s="412"/>
      <c r="AF59" s="413"/>
      <c r="AG59" s="412"/>
      <c r="AH59" s="443"/>
    </row>
    <row r="60" spans="1:34" ht="23.25" customHeight="1">
      <c r="A60" s="425"/>
      <c r="B60" s="439"/>
      <c r="C60" s="440" t="s">
        <v>414</v>
      </c>
      <c r="D60" s="305" t="s">
        <v>362</v>
      </c>
      <c r="E60" s="441" t="s">
        <v>265</v>
      </c>
      <c r="F60" s="435" t="s">
        <v>262</v>
      </c>
      <c r="G60" s="433" t="s">
        <v>76</v>
      </c>
      <c r="H60" s="433" t="s">
        <v>76</v>
      </c>
      <c r="I60" s="454"/>
      <c r="J60" s="411"/>
      <c r="K60" s="412"/>
      <c r="L60" s="413"/>
      <c r="M60" s="412"/>
      <c r="N60" s="413"/>
      <c r="O60" s="412"/>
      <c r="P60" s="413"/>
      <c r="Q60" s="412"/>
      <c r="R60" s="413"/>
      <c r="S60" s="412"/>
      <c r="T60" s="413"/>
      <c r="U60" s="412"/>
      <c r="V60" s="414"/>
      <c r="W60" s="412"/>
      <c r="X60" s="413"/>
      <c r="Y60" s="412"/>
      <c r="Z60" s="413"/>
      <c r="AA60" s="412"/>
      <c r="AB60" s="413"/>
      <c r="AC60" s="412"/>
      <c r="AD60" s="413"/>
      <c r="AE60" s="412"/>
      <c r="AF60" s="413"/>
      <c r="AG60" s="412"/>
      <c r="AH60" s="443"/>
    </row>
    <row r="61" spans="1:34" ht="22.5" customHeight="1">
      <c r="A61" s="425"/>
      <c r="B61" s="439"/>
      <c r="C61" s="503" t="s">
        <v>415</v>
      </c>
      <c r="D61" s="305" t="s">
        <v>362</v>
      </c>
      <c r="E61" s="459" t="s">
        <v>265</v>
      </c>
      <c r="F61" s="435" t="s">
        <v>262</v>
      </c>
      <c r="G61" s="305" t="s">
        <v>76</v>
      </c>
      <c r="H61" s="460"/>
      <c r="I61" s="461"/>
      <c r="J61" s="504"/>
      <c r="K61" s="452"/>
      <c r="L61" s="457"/>
      <c r="M61" s="452"/>
      <c r="N61" s="457"/>
      <c r="O61" s="452"/>
      <c r="P61" s="457"/>
      <c r="Q61" s="452"/>
      <c r="R61" s="457"/>
      <c r="S61" s="452"/>
      <c r="T61" s="457"/>
      <c r="U61" s="452"/>
      <c r="V61" s="456"/>
      <c r="W61" s="452"/>
      <c r="X61" s="457"/>
      <c r="Y61" s="452"/>
      <c r="Z61" s="457"/>
      <c r="AA61" s="452"/>
      <c r="AB61" s="457"/>
      <c r="AC61" s="452"/>
      <c r="AD61" s="457"/>
      <c r="AE61" s="452"/>
      <c r="AF61" s="457"/>
      <c r="AG61" s="452"/>
      <c r="AH61" s="443"/>
    </row>
    <row r="62" spans="1:34" ht="49.2" thickBot="1">
      <c r="A62" s="425"/>
      <c r="B62" s="465"/>
      <c r="C62" s="505" t="s">
        <v>416</v>
      </c>
      <c r="D62" s="467" t="s">
        <v>362</v>
      </c>
      <c r="E62" s="468" t="s">
        <v>265</v>
      </c>
      <c r="F62" s="469" t="s">
        <v>262</v>
      </c>
      <c r="G62" s="467" t="s">
        <v>76</v>
      </c>
      <c r="H62" s="467"/>
      <c r="I62" s="422"/>
      <c r="J62" s="418"/>
      <c r="K62" s="419"/>
      <c r="L62" s="420"/>
      <c r="M62" s="419"/>
      <c r="N62" s="420"/>
      <c r="O62" s="419"/>
      <c r="P62" s="420"/>
      <c r="Q62" s="419"/>
      <c r="R62" s="420"/>
      <c r="S62" s="419"/>
      <c r="T62" s="420"/>
      <c r="U62" s="419"/>
      <c r="V62" s="421"/>
      <c r="W62" s="419"/>
      <c r="X62" s="420"/>
      <c r="Y62" s="419"/>
      <c r="Z62" s="420"/>
      <c r="AA62" s="419"/>
      <c r="AB62" s="420"/>
      <c r="AC62" s="419"/>
      <c r="AD62" s="420"/>
      <c r="AE62" s="419"/>
      <c r="AF62" s="420"/>
      <c r="AG62" s="419"/>
      <c r="AH62" s="472"/>
    </row>
    <row r="63" spans="1:34" ht="23.25" customHeight="1">
      <c r="A63" s="425"/>
      <c r="B63" s="439" t="s">
        <v>24</v>
      </c>
      <c r="C63" s="440" t="s">
        <v>417</v>
      </c>
      <c r="D63" s="433" t="s">
        <v>362</v>
      </c>
      <c r="E63" s="441" t="s">
        <v>264</v>
      </c>
      <c r="F63" s="501" t="s">
        <v>262</v>
      </c>
      <c r="G63" s="453" t="s">
        <v>386</v>
      </c>
      <c r="H63" s="453"/>
      <c r="I63" s="454"/>
      <c r="J63" s="411"/>
      <c r="K63" s="412"/>
      <c r="L63" s="413"/>
      <c r="M63" s="412"/>
      <c r="N63" s="413"/>
      <c r="O63" s="412"/>
      <c r="P63" s="413"/>
      <c r="Q63" s="412"/>
      <c r="R63" s="413"/>
      <c r="S63" s="412"/>
      <c r="T63" s="413"/>
      <c r="U63" s="412"/>
      <c r="V63" s="414"/>
      <c r="W63" s="412"/>
      <c r="X63" s="413"/>
      <c r="Y63" s="412"/>
      <c r="Z63" s="413"/>
      <c r="AA63" s="412"/>
      <c r="AB63" s="413"/>
      <c r="AC63" s="412"/>
      <c r="AD63" s="413"/>
      <c r="AE63" s="412"/>
      <c r="AF63" s="413"/>
      <c r="AG63" s="412"/>
      <c r="AH63" s="506"/>
    </row>
    <row r="64" spans="1:34" ht="23.25" customHeight="1">
      <c r="A64" s="425"/>
      <c r="B64" s="439"/>
      <c r="C64" s="440" t="s">
        <v>418</v>
      </c>
      <c r="D64" s="305" t="s">
        <v>362</v>
      </c>
      <c r="E64" s="441" t="s">
        <v>264</v>
      </c>
      <c r="F64" s="435" t="s">
        <v>262</v>
      </c>
      <c r="G64" s="453" t="s">
        <v>386</v>
      </c>
      <c r="H64" s="453"/>
      <c r="I64" s="454"/>
      <c r="J64" s="413"/>
      <c r="K64" s="412"/>
      <c r="L64" s="413"/>
      <c r="M64" s="412"/>
      <c r="N64" s="413"/>
      <c r="O64" s="412"/>
      <c r="P64" s="413"/>
      <c r="Q64" s="412"/>
      <c r="R64" s="413"/>
      <c r="S64" s="412"/>
      <c r="T64" s="413"/>
      <c r="U64" s="412"/>
      <c r="V64" s="414"/>
      <c r="W64" s="412"/>
      <c r="X64" s="413"/>
      <c r="Y64" s="412"/>
      <c r="Z64" s="413"/>
      <c r="AA64" s="412"/>
      <c r="AB64" s="413"/>
      <c r="AC64" s="412"/>
      <c r="AD64" s="413"/>
      <c r="AE64" s="412"/>
      <c r="AF64" s="413"/>
      <c r="AG64" s="412"/>
      <c r="AH64" s="443"/>
    </row>
    <row r="65" spans="1:34" ht="23.4" customHeight="1">
      <c r="A65" s="425"/>
      <c r="B65" s="439"/>
      <c r="C65" s="440" t="s">
        <v>304</v>
      </c>
      <c r="D65" s="305" t="s">
        <v>362</v>
      </c>
      <c r="E65" s="441" t="s">
        <v>264</v>
      </c>
      <c r="F65" s="435" t="s">
        <v>261</v>
      </c>
      <c r="G65" s="433" t="s">
        <v>298</v>
      </c>
      <c r="H65" s="433" t="s">
        <v>298</v>
      </c>
      <c r="I65" s="507" t="s">
        <v>305</v>
      </c>
      <c r="J65" s="413" t="s">
        <v>371</v>
      </c>
      <c r="K65" s="412">
        <v>28</v>
      </c>
      <c r="L65" s="413"/>
      <c r="M65" s="412"/>
      <c r="N65" s="413"/>
      <c r="O65" s="508"/>
      <c r="P65" s="413"/>
      <c r="Q65" s="412"/>
      <c r="R65" s="413"/>
      <c r="S65" s="412"/>
      <c r="T65" s="413"/>
      <c r="U65" s="412"/>
      <c r="V65" s="413" t="s">
        <v>372</v>
      </c>
      <c r="W65" s="412"/>
      <c r="X65" s="413"/>
      <c r="Y65" s="412"/>
      <c r="Z65" s="413"/>
      <c r="AA65" s="412"/>
      <c r="AB65" s="413"/>
      <c r="AC65" s="412"/>
      <c r="AD65" s="413"/>
      <c r="AE65" s="412"/>
      <c r="AF65" s="413"/>
      <c r="AG65" s="412"/>
      <c r="AH65" s="443" t="s">
        <v>419</v>
      </c>
    </row>
    <row r="66" spans="1:34" ht="25.5" customHeight="1">
      <c r="A66" s="509"/>
      <c r="B66" s="510"/>
      <c r="C66" s="499" t="s">
        <v>420</v>
      </c>
      <c r="D66" s="305" t="s">
        <v>362</v>
      </c>
      <c r="E66" s="441" t="s">
        <v>264</v>
      </c>
      <c r="F66" s="435" t="s">
        <v>262</v>
      </c>
      <c r="G66" s="478" t="s">
        <v>380</v>
      </c>
      <c r="H66" s="433" t="s">
        <v>76</v>
      </c>
      <c r="I66" s="454"/>
      <c r="J66" s="511"/>
      <c r="K66" s="512"/>
      <c r="L66" s="513"/>
      <c r="M66" s="512"/>
      <c r="N66" s="513"/>
      <c r="O66" s="512"/>
      <c r="P66" s="513"/>
      <c r="Q66" s="512"/>
      <c r="R66" s="513"/>
      <c r="S66" s="512"/>
      <c r="T66" s="513"/>
      <c r="U66" s="512"/>
      <c r="V66" s="414"/>
      <c r="W66" s="512"/>
      <c r="X66" s="513"/>
      <c r="Y66" s="512"/>
      <c r="Z66" s="513"/>
      <c r="AA66" s="512"/>
      <c r="AB66" s="513"/>
      <c r="AC66" s="512"/>
      <c r="AD66" s="513"/>
      <c r="AE66" s="512"/>
      <c r="AF66" s="513"/>
      <c r="AG66" s="512"/>
      <c r="AH66" s="514"/>
    </row>
    <row r="67" spans="1:34" ht="23.25" customHeight="1">
      <c r="A67" s="425"/>
      <c r="B67" s="439"/>
      <c r="C67" s="440" t="s">
        <v>421</v>
      </c>
      <c r="D67" s="305" t="s">
        <v>362</v>
      </c>
      <c r="E67" s="441" t="s">
        <v>264</v>
      </c>
      <c r="F67" s="435" t="s">
        <v>262</v>
      </c>
      <c r="G67" s="433" t="s">
        <v>76</v>
      </c>
      <c r="H67" s="433" t="s">
        <v>76</v>
      </c>
      <c r="I67" s="454"/>
      <c r="J67" s="515"/>
      <c r="K67" s="412"/>
      <c r="L67" s="513"/>
      <c r="M67" s="512"/>
      <c r="N67" s="513"/>
      <c r="O67" s="512"/>
      <c r="P67" s="513"/>
      <c r="Q67" s="512"/>
      <c r="R67" s="513"/>
      <c r="S67" s="512"/>
      <c r="T67" s="513"/>
      <c r="U67" s="512"/>
      <c r="V67" s="414"/>
      <c r="W67" s="512"/>
      <c r="X67" s="513"/>
      <c r="Y67" s="512"/>
      <c r="Z67" s="513"/>
      <c r="AA67" s="512"/>
      <c r="AB67" s="513"/>
      <c r="AC67" s="512"/>
      <c r="AD67" s="513"/>
      <c r="AE67" s="512"/>
      <c r="AF67" s="513"/>
      <c r="AG67" s="512"/>
      <c r="AH67" s="514"/>
    </row>
    <row r="68" spans="1:34" ht="32.4">
      <c r="A68" s="425"/>
      <c r="B68" s="439"/>
      <c r="C68" s="516" t="s">
        <v>422</v>
      </c>
      <c r="D68" s="305" t="s">
        <v>423</v>
      </c>
      <c r="E68" s="441" t="s">
        <v>424</v>
      </c>
      <c r="F68" s="501" t="s">
        <v>262</v>
      </c>
      <c r="G68" s="433" t="s">
        <v>425</v>
      </c>
      <c r="H68" s="453"/>
      <c r="I68" s="517"/>
      <c r="J68" s="511"/>
      <c r="K68" s="412"/>
      <c r="L68" s="518"/>
      <c r="M68" s="519"/>
      <c r="N68" s="518"/>
      <c r="O68" s="519"/>
      <c r="P68" s="518"/>
      <c r="Q68" s="519"/>
      <c r="R68" s="518"/>
      <c r="S68" s="519"/>
      <c r="T68" s="518"/>
      <c r="U68" s="519"/>
      <c r="V68" s="414"/>
      <c r="W68" s="519"/>
      <c r="X68" s="518"/>
      <c r="Y68" s="519"/>
      <c r="Z68" s="518"/>
      <c r="AA68" s="519"/>
      <c r="AB68" s="518"/>
      <c r="AC68" s="519"/>
      <c r="AD68" s="518"/>
      <c r="AE68" s="519"/>
      <c r="AF68" s="518"/>
      <c r="AG68" s="519"/>
      <c r="AH68" s="514"/>
    </row>
    <row r="69" spans="1:34" ht="23.25" customHeight="1">
      <c r="A69" s="425"/>
      <c r="B69" s="439"/>
      <c r="C69" s="440" t="s">
        <v>306</v>
      </c>
      <c r="D69" s="305" t="s">
        <v>362</v>
      </c>
      <c r="E69" s="441" t="s">
        <v>264</v>
      </c>
      <c r="F69" s="435" t="s">
        <v>261</v>
      </c>
      <c r="G69" s="453" t="s">
        <v>380</v>
      </c>
      <c r="H69" s="453" t="s">
        <v>380</v>
      </c>
      <c r="I69" s="520" t="s">
        <v>229</v>
      </c>
      <c r="J69" s="411"/>
      <c r="K69" s="412"/>
      <c r="L69" s="413"/>
      <c r="M69" s="412"/>
      <c r="N69" s="413"/>
      <c r="O69" s="412"/>
      <c r="P69" s="413"/>
      <c r="Q69" s="412"/>
      <c r="R69" s="413"/>
      <c r="S69" s="412"/>
      <c r="T69" s="413"/>
      <c r="U69" s="412"/>
      <c r="V69" s="414" t="s">
        <v>560</v>
      </c>
      <c r="W69" s="412"/>
      <c r="X69" s="413"/>
      <c r="Y69" s="412"/>
      <c r="Z69" s="413"/>
      <c r="AA69" s="412"/>
      <c r="AB69" s="413"/>
      <c r="AC69" s="412"/>
      <c r="AD69" s="413"/>
      <c r="AE69" s="412"/>
      <c r="AF69" s="413"/>
      <c r="AG69" s="412"/>
      <c r="AH69" s="443" t="s">
        <v>561</v>
      </c>
    </row>
    <row r="70" spans="1:34" ht="23.25" customHeight="1">
      <c r="A70" s="521"/>
      <c r="B70" s="522"/>
      <c r="C70" s="440" t="s">
        <v>307</v>
      </c>
      <c r="D70" s="305" t="s">
        <v>362</v>
      </c>
      <c r="E70" s="441" t="s">
        <v>264</v>
      </c>
      <c r="F70" s="435" t="s">
        <v>261</v>
      </c>
      <c r="G70" s="433" t="s">
        <v>76</v>
      </c>
      <c r="H70" s="453" t="s">
        <v>380</v>
      </c>
      <c r="I70" s="520" t="s">
        <v>229</v>
      </c>
      <c r="J70" s="413"/>
      <c r="K70" s="412"/>
      <c r="L70" s="413"/>
      <c r="M70" s="412"/>
      <c r="N70" s="413"/>
      <c r="O70" s="412"/>
      <c r="P70" s="413"/>
      <c r="Q70" s="412"/>
      <c r="R70" s="413"/>
      <c r="S70" s="412"/>
      <c r="T70" s="413"/>
      <c r="U70" s="412"/>
      <c r="V70" s="414" t="s">
        <v>560</v>
      </c>
      <c r="W70" s="412"/>
      <c r="X70" s="413"/>
      <c r="Y70" s="412"/>
      <c r="Z70" s="413"/>
      <c r="AA70" s="412"/>
      <c r="AB70" s="413"/>
      <c r="AC70" s="412"/>
      <c r="AD70" s="413"/>
      <c r="AE70" s="412"/>
      <c r="AF70" s="413"/>
      <c r="AG70" s="412"/>
      <c r="AH70" s="443" t="s">
        <v>561</v>
      </c>
    </row>
    <row r="71" spans="1:34" ht="23.25" customHeight="1">
      <c r="A71" s="425"/>
      <c r="B71" s="439"/>
      <c r="C71" s="440" t="s">
        <v>308</v>
      </c>
      <c r="D71" s="305" t="s">
        <v>362</v>
      </c>
      <c r="E71" s="441" t="s">
        <v>264</v>
      </c>
      <c r="F71" s="435" t="s">
        <v>261</v>
      </c>
      <c r="G71" s="500" t="s">
        <v>427</v>
      </c>
      <c r="H71" s="500" t="s">
        <v>427</v>
      </c>
      <c r="I71" s="454" t="s">
        <v>426</v>
      </c>
      <c r="J71" s="411"/>
      <c r="K71" s="512"/>
      <c r="L71" s="413"/>
      <c r="M71" s="412"/>
      <c r="N71" s="413"/>
      <c r="O71" s="412"/>
      <c r="P71" s="413"/>
      <c r="Q71" s="412"/>
      <c r="R71" s="413"/>
      <c r="S71" s="412"/>
      <c r="T71" s="413"/>
      <c r="U71" s="412"/>
      <c r="V71" s="414"/>
      <c r="W71" s="412"/>
      <c r="X71" s="413"/>
      <c r="Y71" s="412"/>
      <c r="Z71" s="413"/>
      <c r="AA71" s="412"/>
      <c r="AB71" s="413"/>
      <c r="AC71" s="412"/>
      <c r="AD71" s="413"/>
      <c r="AE71" s="412"/>
      <c r="AF71" s="413"/>
      <c r="AG71" s="412"/>
      <c r="AH71" s="443"/>
    </row>
    <row r="72" spans="1:34" ht="22.5" customHeight="1">
      <c r="A72" s="485"/>
      <c r="B72" s="498"/>
      <c r="C72" s="523" t="s">
        <v>428</v>
      </c>
      <c r="D72" s="305" t="s">
        <v>362</v>
      </c>
      <c r="E72" s="500" t="s">
        <v>264</v>
      </c>
      <c r="F72" s="435" t="s">
        <v>262</v>
      </c>
      <c r="G72" s="500" t="s">
        <v>427</v>
      </c>
      <c r="H72" s="453"/>
      <c r="I72" s="517"/>
      <c r="J72" s="515"/>
      <c r="K72" s="512"/>
      <c r="L72" s="513"/>
      <c r="M72" s="512"/>
      <c r="N72" s="513"/>
      <c r="O72" s="512"/>
      <c r="P72" s="513"/>
      <c r="Q72" s="512"/>
      <c r="R72" s="513"/>
      <c r="S72" s="512"/>
      <c r="T72" s="513"/>
      <c r="U72" s="512"/>
      <c r="V72" s="524"/>
      <c r="W72" s="512"/>
      <c r="X72" s="513"/>
      <c r="Y72" s="512"/>
      <c r="Z72" s="513"/>
      <c r="AA72" s="512"/>
      <c r="AB72" s="513"/>
      <c r="AC72" s="512"/>
      <c r="AD72" s="513"/>
      <c r="AE72" s="512"/>
      <c r="AF72" s="513"/>
      <c r="AG72" s="512"/>
      <c r="AH72" s="443"/>
    </row>
    <row r="73" spans="1:34" ht="22.5" customHeight="1">
      <c r="A73" s="485"/>
      <c r="B73" s="498"/>
      <c r="C73" s="523" t="s">
        <v>429</v>
      </c>
      <c r="D73" s="305" t="s">
        <v>362</v>
      </c>
      <c r="E73" s="500" t="s">
        <v>264</v>
      </c>
      <c r="F73" s="435" t="s">
        <v>261</v>
      </c>
      <c r="G73" s="500" t="s">
        <v>430</v>
      </c>
      <c r="H73" s="309" t="s">
        <v>309</v>
      </c>
      <c r="I73" s="311" t="s">
        <v>111</v>
      </c>
      <c r="J73" s="515"/>
      <c r="K73" s="512"/>
      <c r="L73" s="513"/>
      <c r="M73" s="512"/>
      <c r="N73" s="513"/>
      <c r="O73" s="512"/>
      <c r="P73" s="513"/>
      <c r="Q73" s="512"/>
      <c r="R73" s="513"/>
      <c r="S73" s="512"/>
      <c r="T73" s="513"/>
      <c r="U73" s="512"/>
      <c r="V73" s="524"/>
      <c r="W73" s="512"/>
      <c r="X73" s="513"/>
      <c r="Y73" s="512"/>
      <c r="Z73" s="513"/>
      <c r="AA73" s="512"/>
      <c r="AB73" s="513"/>
      <c r="AC73" s="512"/>
      <c r="AD73" s="513"/>
      <c r="AE73" s="512"/>
      <c r="AF73" s="513"/>
      <c r="AG73" s="512"/>
      <c r="AH73" s="443"/>
    </row>
    <row r="74" spans="1:34" ht="22.5" customHeight="1">
      <c r="A74" s="485"/>
      <c r="B74" s="498"/>
      <c r="C74" s="525" t="s">
        <v>431</v>
      </c>
      <c r="D74" s="305" t="s">
        <v>362</v>
      </c>
      <c r="E74" s="500" t="s">
        <v>264</v>
      </c>
      <c r="F74" s="435" t="s">
        <v>262</v>
      </c>
      <c r="G74" s="500" t="s">
        <v>427</v>
      </c>
      <c r="H74" s="453"/>
      <c r="I74" s="517"/>
      <c r="J74" s="515"/>
      <c r="K74" s="512"/>
      <c r="L74" s="513"/>
      <c r="M74" s="512"/>
      <c r="N74" s="513"/>
      <c r="O74" s="512"/>
      <c r="P74" s="513"/>
      <c r="Q74" s="512"/>
      <c r="R74" s="513"/>
      <c r="S74" s="512"/>
      <c r="T74" s="513"/>
      <c r="U74" s="512"/>
      <c r="V74" s="524"/>
      <c r="W74" s="512"/>
      <c r="X74" s="513"/>
      <c r="Y74" s="512"/>
      <c r="Z74" s="513"/>
      <c r="AA74" s="512"/>
      <c r="AB74" s="513"/>
      <c r="AC74" s="512"/>
      <c r="AD74" s="513"/>
      <c r="AE74" s="512"/>
      <c r="AF74" s="513"/>
      <c r="AG74" s="512"/>
      <c r="AH74" s="514"/>
    </row>
    <row r="75" spans="1:34" ht="22.5" customHeight="1">
      <c r="A75" s="485"/>
      <c r="B75" s="498"/>
      <c r="C75" s="526" t="s">
        <v>432</v>
      </c>
      <c r="D75" s="305" t="s">
        <v>362</v>
      </c>
      <c r="E75" s="477" t="s">
        <v>264</v>
      </c>
      <c r="F75" s="435" t="s">
        <v>262</v>
      </c>
      <c r="G75" s="478" t="s">
        <v>433</v>
      </c>
      <c r="H75" s="453"/>
      <c r="I75" s="527"/>
      <c r="J75" s="515"/>
      <c r="K75" s="452"/>
      <c r="L75" s="513"/>
      <c r="M75" s="512"/>
      <c r="N75" s="513"/>
      <c r="O75" s="512"/>
      <c r="P75" s="513"/>
      <c r="Q75" s="512"/>
      <c r="R75" s="513"/>
      <c r="S75" s="512"/>
      <c r="T75" s="513"/>
      <c r="U75" s="512"/>
      <c r="V75" s="524"/>
      <c r="W75" s="512"/>
      <c r="X75" s="513"/>
      <c r="Y75" s="512"/>
      <c r="Z75" s="513"/>
      <c r="AA75" s="512"/>
      <c r="AB75" s="513"/>
      <c r="AC75" s="512"/>
      <c r="AD75" s="513"/>
      <c r="AE75" s="512"/>
      <c r="AF75" s="513"/>
      <c r="AG75" s="512"/>
      <c r="AH75" s="514"/>
    </row>
    <row r="76" spans="1:34" ht="23.25" customHeight="1" thickBot="1">
      <c r="A76" s="425"/>
      <c r="B76" s="465"/>
      <c r="C76" s="466" t="s">
        <v>434</v>
      </c>
      <c r="D76" s="467" t="s">
        <v>362</v>
      </c>
      <c r="E76" s="468" t="s">
        <v>264</v>
      </c>
      <c r="F76" s="469" t="s">
        <v>262</v>
      </c>
      <c r="G76" s="490" t="s">
        <v>386</v>
      </c>
      <c r="H76" s="470"/>
      <c r="I76" s="422"/>
      <c r="J76" s="418"/>
      <c r="K76" s="419"/>
      <c r="L76" s="420"/>
      <c r="M76" s="419"/>
      <c r="N76" s="420"/>
      <c r="O76" s="419"/>
      <c r="P76" s="420"/>
      <c r="Q76" s="419"/>
      <c r="R76" s="420"/>
      <c r="S76" s="419"/>
      <c r="T76" s="420"/>
      <c r="U76" s="419"/>
      <c r="V76" s="421"/>
      <c r="W76" s="419"/>
      <c r="X76" s="420"/>
      <c r="Y76" s="419"/>
      <c r="Z76" s="420"/>
      <c r="AA76" s="419"/>
      <c r="AB76" s="420"/>
      <c r="AC76" s="419"/>
      <c r="AD76" s="420"/>
      <c r="AE76" s="419"/>
      <c r="AF76" s="420"/>
      <c r="AG76" s="419"/>
      <c r="AH76" s="472"/>
    </row>
    <row r="77" spans="1:34" ht="23.25" customHeight="1">
      <c r="A77" s="425"/>
      <c r="B77" s="439" t="s">
        <v>23</v>
      </c>
      <c r="C77" s="440" t="s">
        <v>435</v>
      </c>
      <c r="D77" s="433" t="s">
        <v>362</v>
      </c>
      <c r="E77" s="441" t="s">
        <v>436</v>
      </c>
      <c r="F77" s="473" t="s">
        <v>262</v>
      </c>
      <c r="G77" s="441" t="s">
        <v>437</v>
      </c>
      <c r="H77" s="453"/>
      <c r="I77" s="528"/>
      <c r="J77" s="413"/>
      <c r="K77" s="412"/>
      <c r="L77" s="413"/>
      <c r="M77" s="412"/>
      <c r="N77" s="413"/>
      <c r="O77" s="412"/>
      <c r="P77" s="413"/>
      <c r="Q77" s="412"/>
      <c r="R77" s="413"/>
      <c r="S77" s="412"/>
      <c r="T77" s="413"/>
      <c r="U77" s="412"/>
      <c r="V77" s="414"/>
      <c r="W77" s="412"/>
      <c r="X77" s="413"/>
      <c r="Y77" s="412"/>
      <c r="Z77" s="413"/>
      <c r="AA77" s="412"/>
      <c r="AB77" s="413"/>
      <c r="AC77" s="412"/>
      <c r="AD77" s="413"/>
      <c r="AE77" s="412"/>
      <c r="AF77" s="413"/>
      <c r="AG77" s="412"/>
      <c r="AH77" s="529"/>
    </row>
    <row r="78" spans="1:34" ht="23.25" customHeight="1">
      <c r="A78" s="425"/>
      <c r="B78" s="439"/>
      <c r="C78" s="440" t="s">
        <v>438</v>
      </c>
      <c r="D78" s="433" t="s">
        <v>362</v>
      </c>
      <c r="E78" s="441" t="s">
        <v>436</v>
      </c>
      <c r="F78" s="473" t="s">
        <v>262</v>
      </c>
      <c r="G78" s="441" t="s">
        <v>439</v>
      </c>
      <c r="H78" s="501"/>
      <c r="I78" s="480"/>
      <c r="J78" s="414"/>
      <c r="K78" s="412"/>
      <c r="L78" s="413"/>
      <c r="M78" s="412"/>
      <c r="N78" s="413"/>
      <c r="O78" s="412"/>
      <c r="P78" s="413"/>
      <c r="Q78" s="412"/>
      <c r="R78" s="413"/>
      <c r="S78" s="412"/>
      <c r="T78" s="413"/>
      <c r="U78" s="412"/>
      <c r="V78" s="414"/>
      <c r="W78" s="412"/>
      <c r="X78" s="413"/>
      <c r="Y78" s="412"/>
      <c r="Z78" s="413"/>
      <c r="AA78" s="412"/>
      <c r="AB78" s="413"/>
      <c r="AC78" s="412"/>
      <c r="AD78" s="413"/>
      <c r="AE78" s="412"/>
      <c r="AF78" s="413"/>
      <c r="AG78" s="412"/>
      <c r="AH78" s="529"/>
    </row>
    <row r="79" spans="1:34" ht="23.25" customHeight="1">
      <c r="A79" s="425"/>
      <c r="B79" s="439"/>
      <c r="C79" s="458" t="s">
        <v>440</v>
      </c>
      <c r="D79" s="305" t="s">
        <v>362</v>
      </c>
      <c r="E79" s="459" t="s">
        <v>441</v>
      </c>
      <c r="F79" s="435" t="s">
        <v>262</v>
      </c>
      <c r="G79" s="530" t="s">
        <v>386</v>
      </c>
      <c r="H79" s="501"/>
      <c r="I79" s="531"/>
      <c r="J79" s="504"/>
      <c r="K79" s="452"/>
      <c r="L79" s="457"/>
      <c r="M79" s="452"/>
      <c r="N79" s="457"/>
      <c r="O79" s="452"/>
      <c r="P79" s="457"/>
      <c r="Q79" s="452"/>
      <c r="R79" s="457"/>
      <c r="S79" s="452"/>
      <c r="T79" s="457"/>
      <c r="U79" s="452"/>
      <c r="V79" s="456"/>
      <c r="W79" s="452"/>
      <c r="X79" s="457"/>
      <c r="Y79" s="452"/>
      <c r="Z79" s="457"/>
      <c r="AA79" s="452"/>
      <c r="AB79" s="457"/>
      <c r="AC79" s="452"/>
      <c r="AD79" s="457"/>
      <c r="AE79" s="452"/>
      <c r="AF79" s="457"/>
      <c r="AG79" s="452"/>
      <c r="AH79" s="443"/>
    </row>
    <row r="80" spans="1:34" ht="23.25" customHeight="1">
      <c r="A80" s="425"/>
      <c r="B80" s="439"/>
      <c r="C80" s="458" t="s">
        <v>442</v>
      </c>
      <c r="D80" s="305" t="s">
        <v>362</v>
      </c>
      <c r="E80" s="459" t="s">
        <v>443</v>
      </c>
      <c r="F80" s="435" t="s">
        <v>262</v>
      </c>
      <c r="G80" s="532" t="s">
        <v>444</v>
      </c>
      <c r="H80" s="501"/>
      <c r="I80" s="461"/>
      <c r="J80" s="504"/>
      <c r="K80" s="452"/>
      <c r="L80" s="413"/>
      <c r="M80" s="452"/>
      <c r="N80" s="457"/>
      <c r="O80" s="452"/>
      <c r="P80" s="457"/>
      <c r="Q80" s="452"/>
      <c r="R80" s="413"/>
      <c r="S80" s="452"/>
      <c r="T80" s="457"/>
      <c r="U80" s="452"/>
      <c r="V80" s="456"/>
      <c r="W80" s="452"/>
      <c r="X80" s="413"/>
      <c r="Y80" s="452"/>
      <c r="Z80" s="413"/>
      <c r="AA80" s="452"/>
      <c r="AB80" s="457"/>
      <c r="AC80" s="452"/>
      <c r="AD80" s="413"/>
      <c r="AE80" s="452"/>
      <c r="AF80" s="457"/>
      <c r="AG80" s="452"/>
      <c r="AH80" s="443"/>
    </row>
    <row r="81" spans="1:34" ht="22.5" customHeight="1">
      <c r="A81" s="485"/>
      <c r="B81" s="498"/>
      <c r="C81" s="523" t="s">
        <v>445</v>
      </c>
      <c r="D81" s="305" t="s">
        <v>362</v>
      </c>
      <c r="E81" s="500" t="s">
        <v>446</v>
      </c>
      <c r="F81" s="435" t="s">
        <v>262</v>
      </c>
      <c r="G81" s="307" t="s">
        <v>76</v>
      </c>
      <c r="H81" s="501"/>
      <c r="I81" s="454"/>
      <c r="J81" s="518"/>
      <c r="K81" s="512"/>
      <c r="L81" s="513"/>
      <c r="M81" s="512"/>
      <c r="N81" s="513"/>
      <c r="O81" s="512"/>
      <c r="P81" s="513"/>
      <c r="Q81" s="512"/>
      <c r="R81" s="513"/>
      <c r="S81" s="512"/>
      <c r="T81" s="457"/>
      <c r="U81" s="533"/>
      <c r="V81" s="414"/>
      <c r="W81" s="512"/>
      <c r="X81" s="513"/>
      <c r="Y81" s="512"/>
      <c r="Z81" s="513"/>
      <c r="AA81" s="512"/>
      <c r="AB81" s="513"/>
      <c r="AC81" s="512"/>
      <c r="AD81" s="513"/>
      <c r="AE81" s="512"/>
      <c r="AF81" s="513"/>
      <c r="AG81" s="512"/>
      <c r="AH81" s="514"/>
    </row>
    <row r="82" spans="1:34" ht="25.5" customHeight="1">
      <c r="A82" s="485"/>
      <c r="B82" s="498"/>
      <c r="C82" s="523" t="s">
        <v>447</v>
      </c>
      <c r="D82" s="305" t="s">
        <v>362</v>
      </c>
      <c r="E82" s="500" t="s">
        <v>446</v>
      </c>
      <c r="F82" s="435" t="s">
        <v>262</v>
      </c>
      <c r="G82" s="530" t="s">
        <v>386</v>
      </c>
      <c r="H82" s="501"/>
      <c r="I82" s="454"/>
      <c r="J82" s="534"/>
      <c r="K82" s="519"/>
      <c r="L82" s="518"/>
      <c r="M82" s="519"/>
      <c r="N82" s="518"/>
      <c r="O82" s="519"/>
      <c r="P82" s="518"/>
      <c r="Q82" s="519"/>
      <c r="R82" s="518"/>
      <c r="S82" s="519"/>
      <c r="T82" s="413"/>
      <c r="U82" s="519"/>
      <c r="V82" s="534"/>
      <c r="W82" s="519"/>
      <c r="X82" s="518"/>
      <c r="Y82" s="519"/>
      <c r="Z82" s="518"/>
      <c r="AA82" s="519"/>
      <c r="AB82" s="518"/>
      <c r="AC82" s="519"/>
      <c r="AD82" s="518"/>
      <c r="AE82" s="519"/>
      <c r="AF82" s="518"/>
      <c r="AG82" s="519"/>
      <c r="AH82" s="514"/>
    </row>
    <row r="83" spans="1:34" ht="23.25" customHeight="1">
      <c r="A83" s="425"/>
      <c r="B83" s="439"/>
      <c r="C83" s="535" t="s">
        <v>448</v>
      </c>
      <c r="D83" s="305" t="s">
        <v>362</v>
      </c>
      <c r="E83" s="459" t="s">
        <v>449</v>
      </c>
      <c r="F83" s="435" t="s">
        <v>262</v>
      </c>
      <c r="G83" s="305" t="s">
        <v>109</v>
      </c>
      <c r="H83" s="501"/>
      <c r="I83" s="536"/>
      <c r="J83" s="504"/>
      <c r="K83" s="452"/>
      <c r="L83" s="457"/>
      <c r="M83" s="512"/>
      <c r="N83" s="457"/>
      <c r="O83" s="452"/>
      <c r="P83" s="457"/>
      <c r="Q83" s="452"/>
      <c r="R83" s="457"/>
      <c r="S83" s="452"/>
      <c r="T83" s="457"/>
      <c r="U83" s="452"/>
      <c r="V83" s="456"/>
      <c r="W83" s="452"/>
      <c r="X83" s="457"/>
      <c r="Y83" s="452"/>
      <c r="Z83" s="457"/>
      <c r="AA83" s="452"/>
      <c r="AB83" s="457"/>
      <c r="AC83" s="452"/>
      <c r="AD83" s="457"/>
      <c r="AE83" s="452"/>
      <c r="AF83" s="457"/>
      <c r="AG83" s="452"/>
      <c r="AH83" s="443"/>
    </row>
    <row r="84" spans="1:34" ht="23.25" customHeight="1">
      <c r="A84" s="537"/>
      <c r="B84" s="439"/>
      <c r="C84" s="762" t="s">
        <v>450</v>
      </c>
      <c r="D84" s="763" t="s">
        <v>362</v>
      </c>
      <c r="E84" s="764" t="s">
        <v>311</v>
      </c>
      <c r="F84" s="765" t="s">
        <v>261</v>
      </c>
      <c r="G84" s="763" t="s">
        <v>76</v>
      </c>
      <c r="H84" s="763" t="s">
        <v>76</v>
      </c>
      <c r="I84" s="495" t="s">
        <v>451</v>
      </c>
      <c r="J84" s="766"/>
      <c r="K84" s="767"/>
      <c r="L84" s="768"/>
      <c r="M84" s="767"/>
      <c r="N84" s="769"/>
      <c r="O84" s="767"/>
      <c r="P84" s="768"/>
      <c r="Q84" s="767"/>
      <c r="R84" s="768"/>
      <c r="S84" s="767"/>
      <c r="T84" s="768"/>
      <c r="U84" s="767"/>
      <c r="V84" s="770"/>
      <c r="W84" s="767"/>
      <c r="X84" s="768"/>
      <c r="Y84" s="767"/>
      <c r="Z84" s="768"/>
      <c r="AA84" s="767"/>
      <c r="AB84" s="768"/>
      <c r="AC84" s="767"/>
      <c r="AD84" s="768"/>
      <c r="AE84" s="767"/>
      <c r="AF84" s="768"/>
      <c r="AG84" s="767"/>
      <c r="AH84" s="771"/>
    </row>
    <row r="85" spans="1:34" ht="22.5" customHeight="1">
      <c r="A85" s="485"/>
      <c r="B85" s="498"/>
      <c r="C85" s="523" t="s">
        <v>452</v>
      </c>
      <c r="D85" s="433" t="s">
        <v>362</v>
      </c>
      <c r="E85" s="500" t="s">
        <v>453</v>
      </c>
      <c r="F85" s="473" t="s">
        <v>262</v>
      </c>
      <c r="G85" s="309" t="s">
        <v>76</v>
      </c>
      <c r="H85" s="501"/>
      <c r="I85" s="454"/>
      <c r="J85" s="518"/>
      <c r="K85" s="519"/>
      <c r="L85" s="518"/>
      <c r="M85" s="519"/>
      <c r="N85" s="413"/>
      <c r="O85" s="519"/>
      <c r="P85" s="518"/>
      <c r="Q85" s="519"/>
      <c r="R85" s="518"/>
      <c r="S85" s="519"/>
      <c r="T85" s="518"/>
      <c r="U85" s="519"/>
      <c r="V85" s="534"/>
      <c r="W85" s="519"/>
      <c r="X85" s="518"/>
      <c r="Y85" s="519"/>
      <c r="Z85" s="518"/>
      <c r="AA85" s="519"/>
      <c r="AB85" s="518"/>
      <c r="AC85" s="519"/>
      <c r="AD85" s="518"/>
      <c r="AE85" s="519"/>
      <c r="AF85" s="518"/>
      <c r="AG85" s="519"/>
      <c r="AH85" s="539"/>
    </row>
    <row r="86" spans="1:34" ht="23.25" customHeight="1">
      <c r="A86" s="425"/>
      <c r="B86" s="439"/>
      <c r="C86" s="458" t="s">
        <v>320</v>
      </c>
      <c r="D86" s="305" t="s">
        <v>362</v>
      </c>
      <c r="E86" s="459" t="s">
        <v>321</v>
      </c>
      <c r="F86" s="435" t="s">
        <v>261</v>
      </c>
      <c r="G86" s="305" t="s">
        <v>322</v>
      </c>
      <c r="H86" s="460" t="s">
        <v>454</v>
      </c>
      <c r="I86" s="306" t="s">
        <v>455</v>
      </c>
      <c r="J86" s="504" t="s">
        <v>364</v>
      </c>
      <c r="K86" s="512"/>
      <c r="L86" s="513" t="s">
        <v>364</v>
      </c>
      <c r="M86" s="452"/>
      <c r="N86" s="457" t="s">
        <v>364</v>
      </c>
      <c r="O86" s="512"/>
      <c r="P86" s="457" t="s">
        <v>364</v>
      </c>
      <c r="Q86" s="452"/>
      <c r="R86" s="457" t="s">
        <v>364</v>
      </c>
      <c r="S86" s="452"/>
      <c r="T86" s="457" t="s">
        <v>364</v>
      </c>
      <c r="U86" s="512"/>
      <c r="V86" s="456" t="s">
        <v>364</v>
      </c>
      <c r="W86" s="452"/>
      <c r="X86" s="457" t="s">
        <v>364</v>
      </c>
      <c r="Y86" s="512"/>
      <c r="Z86" s="457" t="s">
        <v>364</v>
      </c>
      <c r="AA86" s="452"/>
      <c r="AB86" s="457" t="s">
        <v>364</v>
      </c>
      <c r="AC86" s="512"/>
      <c r="AD86" s="456" t="s">
        <v>364</v>
      </c>
      <c r="AE86" s="452"/>
      <c r="AF86" s="457" t="s">
        <v>364</v>
      </c>
      <c r="AG86" s="512"/>
      <c r="AH86" s="443" t="s">
        <v>456</v>
      </c>
    </row>
    <row r="87" spans="1:34" ht="22.5" customHeight="1">
      <c r="A87" s="425"/>
      <c r="B87" s="439"/>
      <c r="C87" s="503" t="s">
        <v>457</v>
      </c>
      <c r="D87" s="305" t="s">
        <v>362</v>
      </c>
      <c r="E87" s="459" t="s">
        <v>315</v>
      </c>
      <c r="F87" s="435" t="s">
        <v>261</v>
      </c>
      <c r="G87" s="459" t="s">
        <v>454</v>
      </c>
      <c r="H87" s="305" t="s">
        <v>322</v>
      </c>
      <c r="I87" s="540" t="s">
        <v>426</v>
      </c>
      <c r="J87" s="504"/>
      <c r="K87" s="452"/>
      <c r="L87" s="457"/>
      <c r="M87" s="452"/>
      <c r="N87" s="457"/>
      <c r="O87" s="452"/>
      <c r="P87" s="457"/>
      <c r="Q87" s="452"/>
      <c r="R87" s="457"/>
      <c r="S87" s="452"/>
      <c r="T87" s="457"/>
      <c r="U87" s="452"/>
      <c r="V87" s="456"/>
      <c r="W87" s="452"/>
      <c r="X87" s="457"/>
      <c r="Y87" s="452"/>
      <c r="Z87" s="457"/>
      <c r="AA87" s="452"/>
      <c r="AB87" s="457"/>
      <c r="AC87" s="452"/>
      <c r="AD87" s="457"/>
      <c r="AE87" s="452"/>
      <c r="AF87" s="457"/>
      <c r="AG87" s="452"/>
      <c r="AH87" s="443"/>
    </row>
    <row r="88" spans="1:34" ht="22.5" customHeight="1">
      <c r="A88" s="425"/>
      <c r="B88" s="439"/>
      <c r="C88" s="503" t="s">
        <v>458</v>
      </c>
      <c r="D88" s="305" t="s">
        <v>362</v>
      </c>
      <c r="E88" s="459" t="s">
        <v>315</v>
      </c>
      <c r="F88" s="435" t="s">
        <v>261</v>
      </c>
      <c r="G88" s="305" t="s">
        <v>459</v>
      </c>
      <c r="H88" s="305" t="s">
        <v>322</v>
      </c>
      <c r="I88" s="540" t="s">
        <v>426</v>
      </c>
      <c r="J88" s="504"/>
      <c r="K88" s="452"/>
      <c r="L88" s="457"/>
      <c r="M88" s="452"/>
      <c r="N88" s="457"/>
      <c r="O88" s="452"/>
      <c r="P88" s="457"/>
      <c r="Q88" s="452"/>
      <c r="R88" s="457"/>
      <c r="S88" s="452"/>
      <c r="T88" s="457"/>
      <c r="U88" s="452"/>
      <c r="V88" s="456"/>
      <c r="W88" s="452"/>
      <c r="X88" s="457"/>
      <c r="Y88" s="452"/>
      <c r="Z88" s="457"/>
      <c r="AA88" s="452"/>
      <c r="AB88" s="457"/>
      <c r="AC88" s="452"/>
      <c r="AD88" s="457"/>
      <c r="AE88" s="452"/>
      <c r="AF88" s="457"/>
      <c r="AG88" s="452"/>
      <c r="AH88" s="443"/>
    </row>
    <row r="89" spans="1:34" ht="51">
      <c r="A89" s="425"/>
      <c r="B89" s="439"/>
      <c r="C89" s="503" t="s">
        <v>460</v>
      </c>
      <c r="D89" s="305" t="s">
        <v>362</v>
      </c>
      <c r="E89" s="459" t="s">
        <v>315</v>
      </c>
      <c r="F89" s="435" t="s">
        <v>262</v>
      </c>
      <c r="G89" s="305" t="s">
        <v>461</v>
      </c>
      <c r="H89" s="460"/>
      <c r="I89" s="461"/>
      <c r="J89" s="504"/>
      <c r="K89" s="452"/>
      <c r="L89" s="457"/>
      <c r="M89" s="452"/>
      <c r="N89" s="457"/>
      <c r="O89" s="452"/>
      <c r="P89" s="457"/>
      <c r="Q89" s="452"/>
      <c r="R89" s="457"/>
      <c r="S89" s="452"/>
      <c r="T89" s="457"/>
      <c r="U89" s="452"/>
      <c r="V89" s="456"/>
      <c r="W89" s="452"/>
      <c r="X89" s="457"/>
      <c r="Y89" s="452"/>
      <c r="Z89" s="457"/>
      <c r="AA89" s="452"/>
      <c r="AB89" s="457"/>
      <c r="AC89" s="452"/>
      <c r="AD89" s="457"/>
      <c r="AE89" s="452"/>
      <c r="AF89" s="457"/>
      <c r="AG89" s="452"/>
      <c r="AH89" s="443"/>
    </row>
    <row r="90" spans="1:34" ht="32.4">
      <c r="A90" s="425"/>
      <c r="B90" s="439"/>
      <c r="C90" s="503" t="s">
        <v>462</v>
      </c>
      <c r="D90" s="305" t="s">
        <v>362</v>
      </c>
      <c r="E90" s="459" t="s">
        <v>315</v>
      </c>
      <c r="F90" s="435" t="s">
        <v>262</v>
      </c>
      <c r="G90" s="305" t="s">
        <v>463</v>
      </c>
      <c r="H90" s="460"/>
      <c r="I90" s="461"/>
      <c r="J90" s="504"/>
      <c r="K90" s="452"/>
      <c r="L90" s="457"/>
      <c r="M90" s="452"/>
      <c r="N90" s="457"/>
      <c r="O90" s="452"/>
      <c r="P90" s="457"/>
      <c r="Q90" s="452"/>
      <c r="R90" s="457"/>
      <c r="S90" s="452"/>
      <c r="T90" s="457"/>
      <c r="U90" s="452"/>
      <c r="V90" s="456"/>
      <c r="W90" s="452"/>
      <c r="X90" s="457"/>
      <c r="Y90" s="452"/>
      <c r="Z90" s="457"/>
      <c r="AA90" s="452"/>
      <c r="AB90" s="457"/>
      <c r="AC90" s="452"/>
      <c r="AD90" s="457"/>
      <c r="AE90" s="452"/>
      <c r="AF90" s="457"/>
      <c r="AG90" s="452"/>
      <c r="AH90" s="443"/>
    </row>
    <row r="91" spans="1:34" ht="28.2">
      <c r="A91" s="425"/>
      <c r="B91" s="439"/>
      <c r="C91" s="503" t="s">
        <v>464</v>
      </c>
      <c r="D91" s="305" t="s">
        <v>362</v>
      </c>
      <c r="E91" s="459" t="s">
        <v>315</v>
      </c>
      <c r="F91" s="435" t="s">
        <v>262</v>
      </c>
      <c r="G91" s="305" t="s">
        <v>459</v>
      </c>
      <c r="H91" s="460"/>
      <c r="I91" s="461"/>
      <c r="J91" s="504"/>
      <c r="K91" s="452"/>
      <c r="L91" s="457"/>
      <c r="M91" s="452"/>
      <c r="N91" s="457"/>
      <c r="O91" s="452"/>
      <c r="P91" s="457"/>
      <c r="Q91" s="452"/>
      <c r="R91" s="457"/>
      <c r="S91" s="452"/>
      <c r="T91" s="457"/>
      <c r="U91" s="452"/>
      <c r="V91" s="456"/>
      <c r="W91" s="452"/>
      <c r="X91" s="457"/>
      <c r="Y91" s="452"/>
      <c r="Z91" s="457"/>
      <c r="AA91" s="452"/>
      <c r="AB91" s="457"/>
      <c r="AC91" s="452"/>
      <c r="AD91" s="457"/>
      <c r="AE91" s="452"/>
      <c r="AF91" s="457"/>
      <c r="AG91" s="452"/>
      <c r="AH91" s="443"/>
    </row>
    <row r="92" spans="1:34" ht="23.25" customHeight="1">
      <c r="A92" s="425"/>
      <c r="B92" s="439"/>
      <c r="C92" s="458" t="s">
        <v>465</v>
      </c>
      <c r="D92" s="305" t="s">
        <v>362</v>
      </c>
      <c r="E92" s="459" t="s">
        <v>315</v>
      </c>
      <c r="F92" s="435" t="s">
        <v>262</v>
      </c>
      <c r="G92" s="541" t="s">
        <v>466</v>
      </c>
      <c r="H92" s="532"/>
      <c r="I92" s="542"/>
      <c r="J92" s="504"/>
      <c r="K92" s="452"/>
      <c r="L92" s="457"/>
      <c r="M92" s="452"/>
      <c r="N92" s="457"/>
      <c r="O92" s="452"/>
      <c r="P92" s="457"/>
      <c r="Q92" s="452"/>
      <c r="R92" s="457"/>
      <c r="S92" s="452"/>
      <c r="T92" s="457"/>
      <c r="U92" s="452"/>
      <c r="V92" s="456"/>
      <c r="W92" s="452"/>
      <c r="X92" s="457"/>
      <c r="Y92" s="452"/>
      <c r="Z92" s="413"/>
      <c r="AA92" s="452"/>
      <c r="AB92" s="457"/>
      <c r="AC92" s="452"/>
      <c r="AD92" s="457"/>
      <c r="AE92" s="452"/>
      <c r="AF92" s="457"/>
      <c r="AG92" s="452"/>
      <c r="AH92" s="443"/>
    </row>
    <row r="93" spans="1:34" ht="23.25" customHeight="1">
      <c r="A93" s="425"/>
      <c r="B93" s="439"/>
      <c r="C93" s="458" t="s">
        <v>467</v>
      </c>
      <c r="D93" s="305" t="s">
        <v>362</v>
      </c>
      <c r="E93" s="459" t="s">
        <v>468</v>
      </c>
      <c r="F93" s="435" t="s">
        <v>262</v>
      </c>
      <c r="G93" s="532" t="s">
        <v>454</v>
      </c>
      <c r="H93" s="543"/>
      <c r="I93" s="461"/>
      <c r="J93" s="504"/>
      <c r="K93" s="452"/>
      <c r="L93" s="413"/>
      <c r="M93" s="452"/>
      <c r="N93" s="457"/>
      <c r="O93" s="452"/>
      <c r="P93" s="457"/>
      <c r="Q93" s="452"/>
      <c r="R93" s="413"/>
      <c r="S93" s="452"/>
      <c r="T93" s="457"/>
      <c r="U93" s="452"/>
      <c r="V93" s="456"/>
      <c r="W93" s="452"/>
      <c r="X93" s="413"/>
      <c r="Y93" s="452"/>
      <c r="Z93" s="413"/>
      <c r="AA93" s="452"/>
      <c r="AB93" s="457"/>
      <c r="AC93" s="452"/>
      <c r="AD93" s="413"/>
      <c r="AE93" s="452"/>
      <c r="AF93" s="457"/>
      <c r="AG93" s="452"/>
      <c r="AH93" s="443"/>
    </row>
    <row r="94" spans="1:34" ht="22.5" customHeight="1">
      <c r="A94" s="444"/>
      <c r="B94" s="445"/>
      <c r="C94" s="544" t="s">
        <v>323</v>
      </c>
      <c r="D94" s="433" t="s">
        <v>362</v>
      </c>
      <c r="E94" s="545" t="s">
        <v>324</v>
      </c>
      <c r="F94" s="473" t="s">
        <v>261</v>
      </c>
      <c r="G94" s="546" t="s">
        <v>325</v>
      </c>
      <c r="H94" s="312" t="s">
        <v>326</v>
      </c>
      <c r="I94" s="547" t="s">
        <v>229</v>
      </c>
      <c r="J94" s="548" t="s">
        <v>657</v>
      </c>
      <c r="K94" s="450">
        <v>22</v>
      </c>
      <c r="L94" s="413"/>
      <c r="M94" s="450"/>
      <c r="N94" s="451" t="s">
        <v>191</v>
      </c>
      <c r="O94" s="450"/>
      <c r="P94" s="413"/>
      <c r="Q94" s="450"/>
      <c r="R94" s="413"/>
      <c r="S94" s="450"/>
      <c r="T94" s="413"/>
      <c r="U94" s="450"/>
      <c r="V94" s="449"/>
      <c r="W94" s="450"/>
      <c r="X94" s="413"/>
      <c r="Y94" s="450"/>
      <c r="Z94" s="413"/>
      <c r="AA94" s="450"/>
      <c r="AB94" s="451" t="s">
        <v>173</v>
      </c>
      <c r="AC94" s="450">
        <v>21</v>
      </c>
      <c r="AD94" s="413"/>
      <c r="AE94" s="450"/>
      <c r="AF94" s="413"/>
      <c r="AG94" s="450"/>
      <c r="AH94" s="549" t="s">
        <v>469</v>
      </c>
    </row>
    <row r="95" spans="1:34" ht="22.5" customHeight="1">
      <c r="A95" s="444"/>
      <c r="B95" s="445"/>
      <c r="C95" s="550" t="s">
        <v>470</v>
      </c>
      <c r="D95" s="305" t="s">
        <v>362</v>
      </c>
      <c r="E95" s="551" t="s">
        <v>324</v>
      </c>
      <c r="F95" s="435" t="s">
        <v>261</v>
      </c>
      <c r="G95" s="541" t="s">
        <v>471</v>
      </c>
      <c r="H95" s="312" t="s">
        <v>472</v>
      </c>
      <c r="I95" s="552" t="s">
        <v>301</v>
      </c>
      <c r="J95" s="553"/>
      <c r="K95" s="554"/>
      <c r="L95" s="555"/>
      <c r="M95" s="554"/>
      <c r="N95" s="553" t="s">
        <v>191</v>
      </c>
      <c r="O95" s="554"/>
      <c r="P95" s="513"/>
      <c r="Q95" s="554"/>
      <c r="R95" s="513"/>
      <c r="S95" s="554"/>
      <c r="T95" s="413"/>
      <c r="U95" s="554"/>
      <c r="V95" s="555"/>
      <c r="W95" s="554"/>
      <c r="X95" s="553"/>
      <c r="Y95" s="554"/>
      <c r="Z95" s="553"/>
      <c r="AA95" s="554"/>
      <c r="AB95" s="553"/>
      <c r="AC95" s="554"/>
      <c r="AD95" s="553"/>
      <c r="AE95" s="554"/>
      <c r="AF95" s="413"/>
      <c r="AG95" s="554"/>
      <c r="AH95" s="443"/>
    </row>
    <row r="96" spans="1:34" ht="22.5" customHeight="1">
      <c r="A96" s="444"/>
      <c r="B96" s="445"/>
      <c r="C96" s="556" t="s">
        <v>473</v>
      </c>
      <c r="D96" s="557" t="s">
        <v>362</v>
      </c>
      <c r="E96" s="551" t="s">
        <v>324</v>
      </c>
      <c r="F96" s="435" t="s">
        <v>262</v>
      </c>
      <c r="G96" s="309" t="s">
        <v>76</v>
      </c>
      <c r="H96" s="501"/>
      <c r="I96" s="558"/>
      <c r="J96" s="559"/>
      <c r="K96" s="560"/>
      <c r="L96" s="561"/>
      <c r="M96" s="560"/>
      <c r="N96" s="559"/>
      <c r="O96" s="560"/>
      <c r="P96" s="562"/>
      <c r="Q96" s="560"/>
      <c r="R96" s="562"/>
      <c r="S96" s="560"/>
      <c r="T96" s="559"/>
      <c r="U96" s="560"/>
      <c r="V96" s="561"/>
      <c r="W96" s="560"/>
      <c r="X96" s="559"/>
      <c r="Y96" s="560"/>
      <c r="Z96" s="559"/>
      <c r="AA96" s="560"/>
      <c r="AB96" s="559"/>
      <c r="AC96" s="560"/>
      <c r="AD96" s="559"/>
      <c r="AE96" s="560"/>
      <c r="AF96" s="559"/>
      <c r="AG96" s="560"/>
      <c r="AH96" s="484"/>
    </row>
    <row r="97" spans="1:34" ht="22.5" customHeight="1">
      <c r="A97" s="444"/>
      <c r="B97" s="445"/>
      <c r="C97" s="556" t="s">
        <v>474</v>
      </c>
      <c r="D97" s="557" t="s">
        <v>362</v>
      </c>
      <c r="E97" s="563" t="s">
        <v>324</v>
      </c>
      <c r="F97" s="435" t="s">
        <v>262</v>
      </c>
      <c r="G97" s="564" t="s">
        <v>368</v>
      </c>
      <c r="H97" s="565"/>
      <c r="I97" s="558"/>
      <c r="J97" s="559"/>
      <c r="K97" s="560"/>
      <c r="L97" s="553"/>
      <c r="M97" s="554"/>
      <c r="N97" s="553"/>
      <c r="O97" s="554"/>
      <c r="P97" s="513"/>
      <c r="Q97" s="554"/>
      <c r="R97" s="513"/>
      <c r="S97" s="554"/>
      <c r="T97" s="553"/>
      <c r="U97" s="554"/>
      <c r="V97" s="555"/>
      <c r="W97" s="554"/>
      <c r="X97" s="553"/>
      <c r="Y97" s="554"/>
      <c r="Z97" s="553"/>
      <c r="AA97" s="554"/>
      <c r="AB97" s="553"/>
      <c r="AC97" s="554"/>
      <c r="AD97" s="553"/>
      <c r="AE97" s="554"/>
      <c r="AF97" s="553"/>
      <c r="AG97" s="554"/>
      <c r="AH97" s="566"/>
    </row>
    <row r="98" spans="1:34" ht="23.25" customHeight="1">
      <c r="A98" s="444"/>
      <c r="B98" s="445"/>
      <c r="C98" s="550" t="s">
        <v>475</v>
      </c>
      <c r="D98" s="305" t="s">
        <v>362</v>
      </c>
      <c r="E98" s="551" t="s">
        <v>324</v>
      </c>
      <c r="F98" s="435" t="s">
        <v>262</v>
      </c>
      <c r="G98" s="307" t="s">
        <v>368</v>
      </c>
      <c r="H98" s="307"/>
      <c r="I98" s="531"/>
      <c r="J98" s="567"/>
      <c r="K98" s="554"/>
      <c r="L98" s="553"/>
      <c r="M98" s="554"/>
      <c r="N98" s="553"/>
      <c r="O98" s="554"/>
      <c r="P98" s="553"/>
      <c r="Q98" s="554"/>
      <c r="R98" s="553"/>
      <c r="S98" s="554"/>
      <c r="T98" s="553"/>
      <c r="U98" s="554"/>
      <c r="V98" s="555"/>
      <c r="W98" s="554"/>
      <c r="X98" s="553"/>
      <c r="Y98" s="554"/>
      <c r="Z98" s="553"/>
      <c r="AA98" s="554"/>
      <c r="AB98" s="553"/>
      <c r="AC98" s="554"/>
      <c r="AD98" s="553"/>
      <c r="AE98" s="554"/>
      <c r="AF98" s="553"/>
      <c r="AG98" s="554"/>
      <c r="AH98" s="566"/>
    </row>
    <row r="99" spans="1:34" ht="23.25" customHeight="1">
      <c r="A99" s="568"/>
      <c r="B99" s="569"/>
      <c r="C99" s="550" t="s">
        <v>476</v>
      </c>
      <c r="D99" s="305" t="s">
        <v>362</v>
      </c>
      <c r="E99" s="551" t="s">
        <v>477</v>
      </c>
      <c r="F99" s="435" t="s">
        <v>262</v>
      </c>
      <c r="G99" s="307" t="s">
        <v>368</v>
      </c>
      <c r="H99" s="307"/>
      <c r="I99" s="531"/>
      <c r="J99" s="567"/>
      <c r="K99" s="554"/>
      <c r="L99" s="553"/>
      <c r="M99" s="554"/>
      <c r="N99" s="553"/>
      <c r="O99" s="554"/>
      <c r="P99" s="553"/>
      <c r="Q99" s="554"/>
      <c r="R99" s="553"/>
      <c r="S99" s="554"/>
      <c r="T99" s="553"/>
      <c r="U99" s="554"/>
      <c r="V99" s="555"/>
      <c r="W99" s="554"/>
      <c r="X99" s="553"/>
      <c r="Y99" s="554"/>
      <c r="Z99" s="553"/>
      <c r="AA99" s="554"/>
      <c r="AB99" s="553"/>
      <c r="AC99" s="554"/>
      <c r="AD99" s="553"/>
      <c r="AE99" s="554"/>
      <c r="AF99" s="553"/>
      <c r="AG99" s="554"/>
      <c r="AH99" s="566"/>
    </row>
    <row r="100" spans="1:34" ht="23.25" customHeight="1">
      <c r="A100" s="568"/>
      <c r="B100" s="569"/>
      <c r="C100" s="550" t="s">
        <v>478</v>
      </c>
      <c r="D100" s="305" t="s">
        <v>362</v>
      </c>
      <c r="E100" s="551" t="s">
        <v>477</v>
      </c>
      <c r="F100" s="435" t="s">
        <v>262</v>
      </c>
      <c r="G100" s="541" t="s">
        <v>368</v>
      </c>
      <c r="H100" s="532"/>
      <c r="I100" s="531"/>
      <c r="J100" s="555"/>
      <c r="K100" s="554"/>
      <c r="L100" s="553"/>
      <c r="M100" s="554"/>
      <c r="N100" s="553"/>
      <c r="O100" s="554"/>
      <c r="P100" s="553"/>
      <c r="Q100" s="554"/>
      <c r="R100" s="553"/>
      <c r="S100" s="554"/>
      <c r="T100" s="553"/>
      <c r="U100" s="554"/>
      <c r="V100" s="555"/>
      <c r="W100" s="554"/>
      <c r="X100" s="553"/>
      <c r="Y100" s="554"/>
      <c r="Z100" s="553"/>
      <c r="AA100" s="554"/>
      <c r="AB100" s="553"/>
      <c r="AC100" s="554"/>
      <c r="AD100" s="553"/>
      <c r="AE100" s="554"/>
      <c r="AF100" s="553"/>
      <c r="AG100" s="554"/>
      <c r="AH100" s="566"/>
    </row>
    <row r="101" spans="1:34" ht="23.25" customHeight="1">
      <c r="A101" s="570"/>
      <c r="B101" s="571"/>
      <c r="C101" s="458" t="s">
        <v>479</v>
      </c>
      <c r="D101" s="305" t="s">
        <v>362</v>
      </c>
      <c r="E101" s="459" t="s">
        <v>480</v>
      </c>
      <c r="F101" s="435" t="s">
        <v>262</v>
      </c>
      <c r="G101" s="307" t="s">
        <v>403</v>
      </c>
      <c r="H101" s="478"/>
      <c r="I101" s="461"/>
      <c r="J101" s="457"/>
      <c r="K101" s="452"/>
      <c r="L101" s="457"/>
      <c r="M101" s="452"/>
      <c r="N101" s="457"/>
      <c r="O101" s="452"/>
      <c r="P101" s="457"/>
      <c r="Q101" s="452"/>
      <c r="R101" s="457"/>
      <c r="S101" s="452"/>
      <c r="T101" s="457"/>
      <c r="U101" s="452"/>
      <c r="V101" s="456"/>
      <c r="W101" s="452"/>
      <c r="X101" s="457"/>
      <c r="Y101" s="452"/>
      <c r="Z101" s="457"/>
      <c r="AA101" s="452"/>
      <c r="AB101" s="457"/>
      <c r="AC101" s="452"/>
      <c r="AD101" s="457"/>
      <c r="AE101" s="452"/>
      <c r="AF101" s="457"/>
      <c r="AG101" s="452"/>
      <c r="AH101" s="443"/>
    </row>
    <row r="102" spans="1:34" ht="23.25" customHeight="1">
      <c r="A102" s="444"/>
      <c r="B102" s="572"/>
      <c r="C102" s="458" t="s">
        <v>481</v>
      </c>
      <c r="D102" s="305" t="s">
        <v>362</v>
      </c>
      <c r="E102" s="459" t="s">
        <v>480</v>
      </c>
      <c r="F102" s="435" t="s">
        <v>262</v>
      </c>
      <c r="G102" s="305" t="s">
        <v>368</v>
      </c>
      <c r="H102" s="573"/>
      <c r="I102" s="531"/>
      <c r="J102" s="567"/>
      <c r="K102" s="554"/>
      <c r="L102" s="553"/>
      <c r="M102" s="554"/>
      <c r="N102" s="553"/>
      <c r="O102" s="554"/>
      <c r="P102" s="553"/>
      <c r="Q102" s="554"/>
      <c r="R102" s="553"/>
      <c r="S102" s="554"/>
      <c r="T102" s="553"/>
      <c r="U102" s="554"/>
      <c r="V102" s="555"/>
      <c r="W102" s="554"/>
      <c r="X102" s="553"/>
      <c r="Y102" s="554"/>
      <c r="Z102" s="553"/>
      <c r="AA102" s="554"/>
      <c r="AB102" s="553"/>
      <c r="AC102" s="554"/>
      <c r="AD102" s="553"/>
      <c r="AE102" s="554"/>
      <c r="AF102" s="553"/>
      <c r="AG102" s="554"/>
      <c r="AH102" s="566"/>
    </row>
    <row r="103" spans="1:34" ht="23.25" customHeight="1">
      <c r="A103" s="570"/>
      <c r="B103" s="571"/>
      <c r="C103" s="458" t="s">
        <v>482</v>
      </c>
      <c r="D103" s="305" t="s">
        <v>362</v>
      </c>
      <c r="E103" s="459" t="s">
        <v>483</v>
      </c>
      <c r="F103" s="435" t="s">
        <v>262</v>
      </c>
      <c r="G103" s="305" t="s">
        <v>368</v>
      </c>
      <c r="H103" s="460"/>
      <c r="I103" s="461"/>
      <c r="J103" s="457"/>
      <c r="K103" s="452"/>
      <c r="L103" s="457"/>
      <c r="M103" s="452"/>
      <c r="N103" s="457"/>
      <c r="O103" s="452"/>
      <c r="P103" s="457"/>
      <c r="Q103" s="452"/>
      <c r="R103" s="457"/>
      <c r="S103" s="452"/>
      <c r="T103" s="457"/>
      <c r="U103" s="452"/>
      <c r="V103" s="456"/>
      <c r="W103" s="452"/>
      <c r="X103" s="457"/>
      <c r="Y103" s="452"/>
      <c r="Z103" s="457"/>
      <c r="AA103" s="452"/>
      <c r="AB103" s="457"/>
      <c r="AC103" s="452"/>
      <c r="AD103" s="457"/>
      <c r="AE103" s="452"/>
      <c r="AF103" s="457"/>
      <c r="AG103" s="452"/>
      <c r="AH103" s="443"/>
    </row>
    <row r="104" spans="1:34" ht="23.25" customHeight="1">
      <c r="A104" s="570"/>
      <c r="B104" s="571"/>
      <c r="C104" s="458" t="s">
        <v>482</v>
      </c>
      <c r="D104" s="305" t="s">
        <v>362</v>
      </c>
      <c r="E104" s="459" t="s">
        <v>483</v>
      </c>
      <c r="F104" s="435" t="s">
        <v>262</v>
      </c>
      <c r="G104" s="305" t="s">
        <v>368</v>
      </c>
      <c r="H104" s="460"/>
      <c r="I104" s="461"/>
      <c r="J104" s="457"/>
      <c r="K104" s="452"/>
      <c r="L104" s="457"/>
      <c r="M104" s="452"/>
      <c r="N104" s="457"/>
      <c r="O104" s="452"/>
      <c r="P104" s="457"/>
      <c r="Q104" s="452"/>
      <c r="R104" s="457"/>
      <c r="S104" s="452"/>
      <c r="T104" s="457"/>
      <c r="U104" s="452"/>
      <c r="V104" s="456"/>
      <c r="W104" s="452"/>
      <c r="X104" s="457"/>
      <c r="Y104" s="452"/>
      <c r="Z104" s="457"/>
      <c r="AA104" s="452"/>
      <c r="AB104" s="457"/>
      <c r="AC104" s="452"/>
      <c r="AD104" s="457"/>
      <c r="AE104" s="452"/>
      <c r="AF104" s="457"/>
      <c r="AG104" s="452"/>
      <c r="AH104" s="443"/>
    </row>
    <row r="105" spans="1:34" ht="22.5" customHeight="1">
      <c r="A105" s="425"/>
      <c r="B105" s="439"/>
      <c r="C105" s="458" t="s">
        <v>484</v>
      </c>
      <c r="D105" s="305" t="s">
        <v>362</v>
      </c>
      <c r="E105" s="459" t="s">
        <v>485</v>
      </c>
      <c r="F105" s="435" t="s">
        <v>262</v>
      </c>
      <c r="G105" s="459" t="s">
        <v>437</v>
      </c>
      <c r="H105" s="460"/>
      <c r="I105" s="461"/>
      <c r="J105" s="456"/>
      <c r="K105" s="452"/>
      <c r="L105" s="457"/>
      <c r="M105" s="452"/>
      <c r="N105" s="457"/>
      <c r="O105" s="452"/>
      <c r="P105" s="457"/>
      <c r="Q105" s="452"/>
      <c r="R105" s="457"/>
      <c r="S105" s="455"/>
      <c r="T105" s="457"/>
      <c r="U105" s="452"/>
      <c r="V105" s="456"/>
      <c r="W105" s="452"/>
      <c r="X105" s="457"/>
      <c r="Y105" s="452"/>
      <c r="Z105" s="457"/>
      <c r="AA105" s="452"/>
      <c r="AB105" s="457"/>
      <c r="AC105" s="452"/>
      <c r="AD105" s="457"/>
      <c r="AE105" s="452"/>
      <c r="AF105" s="457"/>
      <c r="AG105" s="452"/>
      <c r="AH105" s="443"/>
    </row>
    <row r="106" spans="1:34" ht="23.1" customHeight="1">
      <c r="A106" s="425"/>
      <c r="B106" s="439"/>
      <c r="C106" s="458" t="s">
        <v>486</v>
      </c>
      <c r="D106" s="305" t="s">
        <v>362</v>
      </c>
      <c r="E106" s="459" t="s">
        <v>485</v>
      </c>
      <c r="F106" s="435" t="s">
        <v>262</v>
      </c>
      <c r="G106" s="459" t="s">
        <v>437</v>
      </c>
      <c r="H106" s="460"/>
      <c r="I106" s="461"/>
      <c r="J106" s="456"/>
      <c r="K106" s="452"/>
      <c r="L106" s="457"/>
      <c r="M106" s="452"/>
      <c r="N106" s="457"/>
      <c r="O106" s="452"/>
      <c r="P106" s="457"/>
      <c r="Q106" s="452"/>
      <c r="R106" s="457"/>
      <c r="S106" s="455"/>
      <c r="T106" s="457"/>
      <c r="U106" s="452"/>
      <c r="V106" s="456"/>
      <c r="W106" s="452"/>
      <c r="X106" s="457"/>
      <c r="Y106" s="452"/>
      <c r="Z106" s="457"/>
      <c r="AA106" s="452"/>
      <c r="AB106" s="457"/>
      <c r="AC106" s="452"/>
      <c r="AD106" s="457"/>
      <c r="AE106" s="452"/>
      <c r="AF106" s="457"/>
      <c r="AG106" s="452"/>
      <c r="AH106" s="443"/>
    </row>
    <row r="107" spans="1:34" ht="23.25" customHeight="1">
      <c r="A107" s="425"/>
      <c r="B107" s="439"/>
      <c r="C107" s="458" t="s">
        <v>487</v>
      </c>
      <c r="D107" s="305" t="s">
        <v>362</v>
      </c>
      <c r="E107" s="459" t="s">
        <v>488</v>
      </c>
      <c r="F107" s="435" t="s">
        <v>262</v>
      </c>
      <c r="G107" s="305" t="s">
        <v>489</v>
      </c>
      <c r="H107" s="460"/>
      <c r="I107" s="461"/>
      <c r="J107" s="457"/>
      <c r="K107" s="452"/>
      <c r="L107" s="457"/>
      <c r="M107" s="452"/>
      <c r="N107" s="457"/>
      <c r="O107" s="452"/>
      <c r="P107" s="457"/>
      <c r="Q107" s="452"/>
      <c r="R107" s="457"/>
      <c r="S107" s="452"/>
      <c r="T107" s="457"/>
      <c r="U107" s="452"/>
      <c r="V107" s="456"/>
      <c r="W107" s="452"/>
      <c r="X107" s="457"/>
      <c r="Y107" s="452"/>
      <c r="Z107" s="457"/>
      <c r="AA107" s="452"/>
      <c r="AB107" s="457"/>
      <c r="AC107" s="452"/>
      <c r="AD107" s="457"/>
      <c r="AE107" s="452"/>
      <c r="AF107" s="457"/>
      <c r="AG107" s="452"/>
      <c r="AH107" s="574"/>
    </row>
    <row r="108" spans="1:34" ht="23.25" customHeight="1">
      <c r="A108" s="444"/>
      <c r="B108" s="445"/>
      <c r="C108" s="550" t="s">
        <v>490</v>
      </c>
      <c r="D108" s="305" t="s">
        <v>362</v>
      </c>
      <c r="E108" s="551" t="s">
        <v>491</v>
      </c>
      <c r="F108" s="435" t="s">
        <v>262</v>
      </c>
      <c r="G108" s="478" t="s">
        <v>386</v>
      </c>
      <c r="H108" s="460"/>
      <c r="I108" s="461"/>
      <c r="J108" s="567"/>
      <c r="K108" s="554"/>
      <c r="L108" s="553"/>
      <c r="M108" s="554"/>
      <c r="N108" s="553"/>
      <c r="O108" s="554"/>
      <c r="P108" s="553"/>
      <c r="Q108" s="554"/>
      <c r="R108" s="553"/>
      <c r="S108" s="554"/>
      <c r="T108" s="553"/>
      <c r="U108" s="554"/>
      <c r="V108" s="555"/>
      <c r="W108" s="554"/>
      <c r="X108" s="553"/>
      <c r="Y108" s="554"/>
      <c r="Z108" s="553"/>
      <c r="AA108" s="554"/>
      <c r="AB108" s="553"/>
      <c r="AC108" s="554"/>
      <c r="AD108" s="553"/>
      <c r="AE108" s="554"/>
      <c r="AF108" s="553"/>
      <c r="AG108" s="554"/>
      <c r="AH108" s="566"/>
    </row>
    <row r="109" spans="1:34" ht="23.25" customHeight="1">
      <c r="A109" s="425"/>
      <c r="B109" s="439"/>
      <c r="C109" s="575" t="s">
        <v>492</v>
      </c>
      <c r="D109" s="305" t="s">
        <v>362</v>
      </c>
      <c r="E109" s="459" t="s">
        <v>493</v>
      </c>
      <c r="F109" s="435" t="s">
        <v>262</v>
      </c>
      <c r="G109" s="305" t="s">
        <v>494</v>
      </c>
      <c r="H109" s="460"/>
      <c r="I109" s="461"/>
      <c r="J109" s="457"/>
      <c r="K109" s="452"/>
      <c r="L109" s="457"/>
      <c r="M109" s="452"/>
      <c r="N109" s="457"/>
      <c r="O109" s="452"/>
      <c r="P109" s="457"/>
      <c r="Q109" s="452"/>
      <c r="R109" s="457"/>
      <c r="S109" s="452"/>
      <c r="T109" s="457"/>
      <c r="U109" s="452"/>
      <c r="V109" s="456"/>
      <c r="W109" s="452"/>
      <c r="X109" s="457"/>
      <c r="Y109" s="452"/>
      <c r="Z109" s="457"/>
      <c r="AA109" s="452"/>
      <c r="AB109" s="457"/>
      <c r="AC109" s="452"/>
      <c r="AD109" s="457"/>
      <c r="AE109" s="452"/>
      <c r="AF109" s="457"/>
      <c r="AG109" s="452"/>
      <c r="AH109" s="443"/>
    </row>
    <row r="110" spans="1:34" ht="23.25" customHeight="1">
      <c r="A110" s="444"/>
      <c r="B110" s="445"/>
      <c r="C110" s="458" t="s">
        <v>495</v>
      </c>
      <c r="D110" s="305" t="s">
        <v>362</v>
      </c>
      <c r="E110" s="459" t="s">
        <v>496</v>
      </c>
      <c r="F110" s="435" t="s">
        <v>262</v>
      </c>
      <c r="G110" s="305" t="s">
        <v>497</v>
      </c>
      <c r="H110" s="573"/>
      <c r="I110" s="531"/>
      <c r="J110" s="567"/>
      <c r="K110" s="554"/>
      <c r="L110" s="553"/>
      <c r="M110" s="554"/>
      <c r="N110" s="553"/>
      <c r="O110" s="554"/>
      <c r="P110" s="553"/>
      <c r="Q110" s="554"/>
      <c r="R110" s="553"/>
      <c r="S110" s="554"/>
      <c r="T110" s="553"/>
      <c r="U110" s="554"/>
      <c r="V110" s="555"/>
      <c r="W110" s="554"/>
      <c r="X110" s="553"/>
      <c r="Y110" s="554"/>
      <c r="Z110" s="553"/>
      <c r="AA110" s="554"/>
      <c r="AB110" s="553"/>
      <c r="AC110" s="554"/>
      <c r="AD110" s="553"/>
      <c r="AE110" s="554"/>
      <c r="AF110" s="553"/>
      <c r="AG110" s="554"/>
      <c r="AH110" s="566"/>
    </row>
    <row r="111" spans="1:34" ht="23.25" customHeight="1" thickBot="1">
      <c r="A111" s="444"/>
      <c r="B111" s="576"/>
      <c r="C111" s="466" t="s">
        <v>498</v>
      </c>
      <c r="D111" s="467" t="s">
        <v>362</v>
      </c>
      <c r="E111" s="468" t="s">
        <v>499</v>
      </c>
      <c r="F111" s="469" t="s">
        <v>262</v>
      </c>
      <c r="G111" s="489" t="s">
        <v>322</v>
      </c>
      <c r="H111" s="577"/>
      <c r="I111" s="578"/>
      <c r="J111" s="579"/>
      <c r="K111" s="580"/>
      <c r="L111" s="581"/>
      <c r="M111" s="580"/>
      <c r="N111" s="581"/>
      <c r="O111" s="580"/>
      <c r="P111" s="581"/>
      <c r="Q111" s="580"/>
      <c r="R111" s="581"/>
      <c r="S111" s="580"/>
      <c r="T111" s="581"/>
      <c r="U111" s="580"/>
      <c r="V111" s="582"/>
      <c r="W111" s="580"/>
      <c r="X111" s="581"/>
      <c r="Y111" s="580"/>
      <c r="Z111" s="581"/>
      <c r="AA111" s="580"/>
      <c r="AB111" s="581"/>
      <c r="AC111" s="580"/>
      <c r="AD111" s="581"/>
      <c r="AE111" s="580"/>
      <c r="AF111" s="581"/>
      <c r="AG111" s="580"/>
      <c r="AH111" s="583"/>
    </row>
    <row r="112" spans="1:34" ht="23.25" customHeight="1">
      <c r="A112" s="425"/>
      <c r="B112" s="584" t="s">
        <v>500</v>
      </c>
      <c r="C112" s="585" t="s">
        <v>501</v>
      </c>
      <c r="D112" s="586" t="s">
        <v>293</v>
      </c>
      <c r="E112" s="587" t="s">
        <v>502</v>
      </c>
      <c r="F112" s="588" t="s">
        <v>262</v>
      </c>
      <c r="G112" s="586" t="s">
        <v>76</v>
      </c>
      <c r="H112" s="588"/>
      <c r="I112" s="589"/>
      <c r="J112" s="590"/>
      <c r="K112" s="591"/>
      <c r="L112" s="592"/>
      <c r="M112" s="593"/>
      <c r="N112" s="592"/>
      <c r="O112" s="593"/>
      <c r="P112" s="594"/>
      <c r="Q112" s="591"/>
      <c r="R112" s="594"/>
      <c r="S112" s="591"/>
      <c r="T112" s="594"/>
      <c r="U112" s="591"/>
      <c r="V112" s="595"/>
      <c r="W112" s="591"/>
      <c r="X112" s="594"/>
      <c r="Y112" s="591"/>
      <c r="Z112" s="594"/>
      <c r="AA112" s="591"/>
      <c r="AB112" s="594"/>
      <c r="AC112" s="591"/>
      <c r="AD112" s="594"/>
      <c r="AE112" s="591"/>
      <c r="AF112" s="594"/>
      <c r="AG112" s="591"/>
      <c r="AH112" s="596"/>
    </row>
    <row r="113" spans="1:34" ht="23.25" customHeight="1">
      <c r="A113" s="425"/>
      <c r="B113" s="439"/>
      <c r="C113" s="440" t="s">
        <v>503</v>
      </c>
      <c r="D113" s="433" t="s">
        <v>362</v>
      </c>
      <c r="E113" s="441" t="s">
        <v>504</v>
      </c>
      <c r="F113" s="473" t="s">
        <v>261</v>
      </c>
      <c r="G113" s="433" t="s">
        <v>76</v>
      </c>
      <c r="H113" s="433" t="s">
        <v>76</v>
      </c>
      <c r="I113" s="454" t="s">
        <v>455</v>
      </c>
      <c r="J113" s="413"/>
      <c r="K113" s="412"/>
      <c r="L113" s="413" t="s">
        <v>371</v>
      </c>
      <c r="M113" s="412"/>
      <c r="N113" s="413"/>
      <c r="O113" s="412"/>
      <c r="P113" s="413"/>
      <c r="Q113" s="412"/>
      <c r="R113" s="413"/>
      <c r="S113" s="412"/>
      <c r="T113" s="413"/>
      <c r="U113" s="412"/>
      <c r="V113" s="414"/>
      <c r="W113" s="412"/>
      <c r="X113" s="413"/>
      <c r="Y113" s="412"/>
      <c r="Z113" s="413"/>
      <c r="AA113" s="412"/>
      <c r="AB113" s="413"/>
      <c r="AC113" s="412"/>
      <c r="AD113" s="413"/>
      <c r="AE113" s="412"/>
      <c r="AF113" s="413"/>
      <c r="AG113" s="412"/>
      <c r="AH113" s="475"/>
    </row>
    <row r="114" spans="1:34" ht="22.5" customHeight="1">
      <c r="A114" s="485"/>
      <c r="B114" s="498"/>
      <c r="C114" s="523" t="s">
        <v>505</v>
      </c>
      <c r="D114" s="433" t="s">
        <v>362</v>
      </c>
      <c r="E114" s="500" t="s">
        <v>506</v>
      </c>
      <c r="F114" s="435" t="s">
        <v>262</v>
      </c>
      <c r="G114" s="309" t="s">
        <v>76</v>
      </c>
      <c r="H114" s="501"/>
      <c r="I114" s="454"/>
      <c r="J114" s="534"/>
      <c r="K114" s="519"/>
      <c r="L114" s="518"/>
      <c r="M114" s="519"/>
      <c r="N114" s="518"/>
      <c r="O114" s="519"/>
      <c r="P114" s="518"/>
      <c r="Q114" s="519"/>
      <c r="R114" s="518"/>
      <c r="S114" s="519"/>
      <c r="T114" s="518"/>
      <c r="U114" s="519"/>
      <c r="V114" s="534"/>
      <c r="W114" s="519"/>
      <c r="X114" s="518"/>
      <c r="Y114" s="519"/>
      <c r="Z114" s="518"/>
      <c r="AA114" s="519"/>
      <c r="AB114" s="518"/>
      <c r="AC114" s="519"/>
      <c r="AD114" s="518"/>
      <c r="AE114" s="519"/>
      <c r="AF114" s="518"/>
      <c r="AG114" s="519"/>
      <c r="AH114" s="475"/>
    </row>
    <row r="115" spans="1:34" ht="22.5" customHeight="1">
      <c r="A115" s="485"/>
      <c r="B115" s="498"/>
      <c r="C115" s="526" t="s">
        <v>507</v>
      </c>
      <c r="D115" s="305" t="s">
        <v>362</v>
      </c>
      <c r="E115" s="477" t="s">
        <v>508</v>
      </c>
      <c r="F115" s="435" t="s">
        <v>262</v>
      </c>
      <c r="G115" s="305" t="s">
        <v>509</v>
      </c>
      <c r="H115" s="460"/>
      <c r="I115" s="461"/>
      <c r="J115" s="524"/>
      <c r="K115" s="512"/>
      <c r="L115" s="513"/>
      <c r="M115" s="512"/>
      <c r="N115" s="513"/>
      <c r="O115" s="512"/>
      <c r="P115" s="513"/>
      <c r="Q115" s="512"/>
      <c r="R115" s="513"/>
      <c r="S115" s="512"/>
      <c r="T115" s="513"/>
      <c r="U115" s="512"/>
      <c r="V115" s="524"/>
      <c r="W115" s="512"/>
      <c r="X115" s="513"/>
      <c r="Y115" s="512"/>
      <c r="Z115" s="513"/>
      <c r="AA115" s="512"/>
      <c r="AB115" s="513"/>
      <c r="AC115" s="512"/>
      <c r="AD115" s="513"/>
      <c r="AE115" s="512"/>
      <c r="AF115" s="513"/>
      <c r="AG115" s="512"/>
      <c r="AH115" s="443"/>
    </row>
    <row r="116" spans="1:34" ht="23.25" customHeight="1">
      <c r="A116" s="425"/>
      <c r="B116" s="439"/>
      <c r="C116" s="458" t="s">
        <v>510</v>
      </c>
      <c r="D116" s="305" t="s">
        <v>362</v>
      </c>
      <c r="E116" s="459" t="s">
        <v>511</v>
      </c>
      <c r="F116" s="435" t="s">
        <v>262</v>
      </c>
      <c r="G116" s="586" t="s">
        <v>76</v>
      </c>
      <c r="H116" s="460"/>
      <c r="I116" s="461"/>
      <c r="J116" s="457"/>
      <c r="K116" s="452"/>
      <c r="L116" s="457"/>
      <c r="M116" s="452"/>
      <c r="N116" s="457"/>
      <c r="O116" s="452"/>
      <c r="P116" s="457"/>
      <c r="Q116" s="452"/>
      <c r="R116" s="457"/>
      <c r="S116" s="452"/>
      <c r="T116" s="457"/>
      <c r="U116" s="452"/>
      <c r="V116" s="456"/>
      <c r="W116" s="452"/>
      <c r="X116" s="457"/>
      <c r="Y116" s="452"/>
      <c r="Z116" s="457"/>
      <c r="AA116" s="452"/>
      <c r="AB116" s="457"/>
      <c r="AC116" s="452"/>
      <c r="AD116" s="457"/>
      <c r="AE116" s="452"/>
      <c r="AF116" s="457"/>
      <c r="AG116" s="452"/>
      <c r="AH116" s="443"/>
    </row>
    <row r="117" spans="1:34" ht="23.25" customHeight="1">
      <c r="A117" s="425"/>
      <c r="B117" s="439"/>
      <c r="C117" s="458" t="s">
        <v>512</v>
      </c>
      <c r="D117" s="305" t="s">
        <v>362</v>
      </c>
      <c r="E117" s="459" t="s">
        <v>513</v>
      </c>
      <c r="F117" s="435" t="s">
        <v>262</v>
      </c>
      <c r="G117" s="586" t="s">
        <v>76</v>
      </c>
      <c r="H117" s="460"/>
      <c r="I117" s="461"/>
      <c r="J117" s="457"/>
      <c r="K117" s="452"/>
      <c r="L117" s="457"/>
      <c r="M117" s="452"/>
      <c r="N117" s="457"/>
      <c r="O117" s="452"/>
      <c r="P117" s="457"/>
      <c r="Q117" s="452"/>
      <c r="R117" s="457"/>
      <c r="S117" s="452"/>
      <c r="T117" s="457"/>
      <c r="U117" s="452"/>
      <c r="V117" s="456"/>
      <c r="W117" s="452"/>
      <c r="X117" s="457"/>
      <c r="Y117" s="452"/>
      <c r="Z117" s="457"/>
      <c r="AA117" s="452"/>
      <c r="AB117" s="457"/>
      <c r="AC117" s="452"/>
      <c r="AD117" s="457"/>
      <c r="AE117" s="452"/>
      <c r="AF117" s="457"/>
      <c r="AG117" s="452"/>
      <c r="AH117" s="443"/>
    </row>
    <row r="118" spans="1:34" ht="23.25" customHeight="1">
      <c r="A118" s="425"/>
      <c r="B118" s="439"/>
      <c r="C118" s="458" t="s">
        <v>514</v>
      </c>
      <c r="D118" s="305" t="s">
        <v>362</v>
      </c>
      <c r="E118" s="459" t="s">
        <v>515</v>
      </c>
      <c r="F118" s="435" t="s">
        <v>262</v>
      </c>
      <c r="G118" s="305" t="s">
        <v>444</v>
      </c>
      <c r="H118" s="460"/>
      <c r="I118" s="461"/>
      <c r="J118" s="457"/>
      <c r="K118" s="452"/>
      <c r="L118" s="457"/>
      <c r="M118" s="452"/>
      <c r="N118" s="457"/>
      <c r="O118" s="452"/>
      <c r="P118" s="457"/>
      <c r="Q118" s="452"/>
      <c r="R118" s="457"/>
      <c r="S118" s="452"/>
      <c r="T118" s="457"/>
      <c r="U118" s="452"/>
      <c r="V118" s="456"/>
      <c r="W118" s="452"/>
      <c r="X118" s="457"/>
      <c r="Y118" s="452"/>
      <c r="Z118" s="457"/>
      <c r="AA118" s="452"/>
      <c r="AB118" s="457"/>
      <c r="AC118" s="452"/>
      <c r="AD118" s="457"/>
      <c r="AE118" s="452"/>
      <c r="AF118" s="457"/>
      <c r="AG118" s="452"/>
      <c r="AH118" s="443"/>
    </row>
    <row r="119" spans="1:34" ht="22.5" customHeight="1">
      <c r="A119" s="485"/>
      <c r="B119" s="498"/>
      <c r="C119" s="523" t="s">
        <v>317</v>
      </c>
      <c r="D119" s="433" t="s">
        <v>362</v>
      </c>
      <c r="E119" s="500" t="s">
        <v>318</v>
      </c>
      <c r="F119" s="435" t="s">
        <v>262</v>
      </c>
      <c r="G119" s="309" t="s">
        <v>76</v>
      </c>
      <c r="H119" s="501"/>
      <c r="I119" s="454"/>
      <c r="J119" s="511"/>
      <c r="K119" s="519"/>
      <c r="L119" s="518"/>
      <c r="M119" s="519"/>
      <c r="N119" s="518"/>
      <c r="O119" s="519"/>
      <c r="P119" s="518"/>
      <c r="Q119" s="519"/>
      <c r="R119" s="518"/>
      <c r="S119" s="519"/>
      <c r="T119" s="518"/>
      <c r="U119" s="519"/>
      <c r="V119" s="534"/>
      <c r="W119" s="519"/>
      <c r="X119" s="413"/>
      <c r="Y119" s="519"/>
      <c r="Z119" s="518"/>
      <c r="AA119" s="519"/>
      <c r="AB119" s="518"/>
      <c r="AC119" s="519"/>
      <c r="AD119" s="518"/>
      <c r="AE119" s="519"/>
      <c r="AF119" s="518"/>
      <c r="AG119" s="519"/>
      <c r="AH119" s="539"/>
    </row>
    <row r="120" spans="1:34" ht="22.5" customHeight="1">
      <c r="A120" s="485"/>
      <c r="B120" s="498"/>
      <c r="C120" s="597" t="s">
        <v>319</v>
      </c>
      <c r="D120" s="305" t="s">
        <v>362</v>
      </c>
      <c r="E120" s="477" t="s">
        <v>318</v>
      </c>
      <c r="F120" s="435" t="s">
        <v>262</v>
      </c>
      <c r="G120" s="307" t="s">
        <v>76</v>
      </c>
      <c r="H120" s="433"/>
      <c r="I120" s="454"/>
      <c r="J120" s="515"/>
      <c r="K120" s="598"/>
      <c r="L120" s="513"/>
      <c r="M120" s="512"/>
      <c r="N120" s="513"/>
      <c r="O120" s="512"/>
      <c r="P120" s="513"/>
      <c r="Q120" s="512"/>
      <c r="R120" s="513"/>
      <c r="S120" s="512"/>
      <c r="T120" s="513"/>
      <c r="U120" s="512"/>
      <c r="V120" s="524"/>
      <c r="W120" s="512"/>
      <c r="X120" s="513"/>
      <c r="Y120" s="512"/>
      <c r="Z120" s="513"/>
      <c r="AA120" s="512"/>
      <c r="AB120" s="513"/>
      <c r="AC120" s="512"/>
      <c r="AD120" s="513"/>
      <c r="AE120" s="512"/>
      <c r="AF120" s="513"/>
      <c r="AG120" s="512"/>
      <c r="AH120" s="599"/>
    </row>
    <row r="121" spans="1:34" ht="22.5" customHeight="1">
      <c r="A121" s="485"/>
      <c r="B121" s="498"/>
      <c r="C121" s="600" t="s">
        <v>516</v>
      </c>
      <c r="D121" s="433" t="s">
        <v>362</v>
      </c>
      <c r="E121" s="500" t="s">
        <v>506</v>
      </c>
      <c r="F121" s="435" t="s">
        <v>262</v>
      </c>
      <c r="G121" s="309" t="s">
        <v>471</v>
      </c>
      <c r="H121" s="501"/>
      <c r="I121" s="454"/>
      <c r="J121" s="534"/>
      <c r="K121" s="519"/>
      <c r="L121" s="518"/>
      <c r="M121" s="519"/>
      <c r="N121" s="518"/>
      <c r="O121" s="519"/>
      <c r="P121" s="518"/>
      <c r="Q121" s="519"/>
      <c r="R121" s="518"/>
      <c r="S121" s="519"/>
      <c r="T121" s="518"/>
      <c r="U121" s="519"/>
      <c r="V121" s="534"/>
      <c r="W121" s="519"/>
      <c r="X121" s="518"/>
      <c r="Y121" s="519"/>
      <c r="Z121" s="518"/>
      <c r="AA121" s="519"/>
      <c r="AB121" s="518"/>
      <c r="AC121" s="519"/>
      <c r="AD121" s="518"/>
      <c r="AE121" s="519"/>
      <c r="AF121" s="518"/>
      <c r="AG121" s="519"/>
      <c r="AH121" s="475"/>
    </row>
    <row r="122" spans="1:34" ht="22.5" customHeight="1">
      <c r="A122" s="485"/>
      <c r="B122" s="498"/>
      <c r="C122" s="523" t="s">
        <v>517</v>
      </c>
      <c r="D122" s="433" t="s">
        <v>362</v>
      </c>
      <c r="E122" s="500" t="s">
        <v>506</v>
      </c>
      <c r="F122" s="435" t="s">
        <v>262</v>
      </c>
      <c r="G122" s="309" t="s">
        <v>368</v>
      </c>
      <c r="H122" s="501"/>
      <c r="I122" s="454"/>
      <c r="J122" s="534"/>
      <c r="K122" s="519"/>
      <c r="L122" s="518"/>
      <c r="M122" s="519"/>
      <c r="N122" s="518"/>
      <c r="O122" s="519"/>
      <c r="P122" s="518"/>
      <c r="Q122" s="519"/>
      <c r="R122" s="518"/>
      <c r="S122" s="519"/>
      <c r="T122" s="518"/>
      <c r="U122" s="519"/>
      <c r="V122" s="534"/>
      <c r="W122" s="519"/>
      <c r="X122" s="518"/>
      <c r="Y122" s="519"/>
      <c r="Z122" s="518"/>
      <c r="AA122" s="519"/>
      <c r="AB122" s="518"/>
      <c r="AC122" s="519"/>
      <c r="AD122" s="518"/>
      <c r="AE122" s="519"/>
      <c r="AF122" s="518"/>
      <c r="AG122" s="519"/>
      <c r="AH122" s="475"/>
    </row>
    <row r="123" spans="1:34" ht="23.25" customHeight="1">
      <c r="A123" s="425"/>
      <c r="B123" s="439"/>
      <c r="C123" s="440" t="s">
        <v>518</v>
      </c>
      <c r="D123" s="305" t="s">
        <v>362</v>
      </c>
      <c r="E123" s="500" t="s">
        <v>506</v>
      </c>
      <c r="F123" s="435" t="s">
        <v>262</v>
      </c>
      <c r="G123" s="433" t="s">
        <v>76</v>
      </c>
      <c r="H123" s="453"/>
      <c r="I123" s="454"/>
      <c r="J123" s="411"/>
      <c r="K123" s="412"/>
      <c r="L123" s="413"/>
      <c r="M123" s="412"/>
      <c r="N123" s="413"/>
      <c r="O123" s="412"/>
      <c r="P123" s="413"/>
      <c r="Q123" s="412"/>
      <c r="R123" s="413"/>
      <c r="S123" s="412"/>
      <c r="T123" s="413"/>
      <c r="U123" s="412"/>
      <c r="V123" s="414"/>
      <c r="W123" s="412"/>
      <c r="X123" s="413"/>
      <c r="Y123" s="412"/>
      <c r="Z123" s="413"/>
      <c r="AA123" s="412"/>
      <c r="AB123" s="413"/>
      <c r="AC123" s="412"/>
      <c r="AD123" s="413"/>
      <c r="AE123" s="412"/>
      <c r="AF123" s="413"/>
      <c r="AG123" s="412"/>
      <c r="AH123" s="443"/>
    </row>
    <row r="124" spans="1:34" ht="22.5" customHeight="1">
      <c r="A124" s="485"/>
      <c r="B124" s="498"/>
      <c r="C124" s="526" t="s">
        <v>519</v>
      </c>
      <c r="D124" s="305" t="s">
        <v>362</v>
      </c>
      <c r="E124" s="477" t="s">
        <v>508</v>
      </c>
      <c r="F124" s="435" t="s">
        <v>262</v>
      </c>
      <c r="G124" s="307" t="s">
        <v>368</v>
      </c>
      <c r="H124" s="478"/>
      <c r="I124" s="461"/>
      <c r="J124" s="524"/>
      <c r="K124" s="512"/>
      <c r="L124" s="513"/>
      <c r="M124" s="512"/>
      <c r="N124" s="513"/>
      <c r="O124" s="512"/>
      <c r="P124" s="513"/>
      <c r="Q124" s="512"/>
      <c r="R124" s="513"/>
      <c r="S124" s="512"/>
      <c r="T124" s="513"/>
      <c r="U124" s="512"/>
      <c r="V124" s="524"/>
      <c r="W124" s="512"/>
      <c r="X124" s="513"/>
      <c r="Y124" s="512"/>
      <c r="Z124" s="513"/>
      <c r="AA124" s="512"/>
      <c r="AB124" s="513"/>
      <c r="AC124" s="512"/>
      <c r="AD124" s="513"/>
      <c r="AE124" s="512"/>
      <c r="AF124" s="513"/>
      <c r="AG124" s="512"/>
      <c r="AH124" s="443"/>
    </row>
    <row r="125" spans="1:34" ht="22.5" customHeight="1">
      <c r="A125" s="485"/>
      <c r="B125" s="498"/>
      <c r="C125" s="523" t="s">
        <v>520</v>
      </c>
      <c r="D125" s="433" t="s">
        <v>521</v>
      </c>
      <c r="E125" s="500" t="s">
        <v>522</v>
      </c>
      <c r="F125" s="435" t="s">
        <v>262</v>
      </c>
      <c r="G125" s="309" t="s">
        <v>523</v>
      </c>
      <c r="H125" s="501"/>
      <c r="I125" s="454"/>
      <c r="J125" s="511"/>
      <c r="K125" s="519"/>
      <c r="L125" s="518"/>
      <c r="M125" s="519"/>
      <c r="N125" s="518"/>
      <c r="O125" s="519"/>
      <c r="P125" s="518"/>
      <c r="Q125" s="519"/>
      <c r="R125" s="518"/>
      <c r="S125" s="519"/>
      <c r="T125" s="518"/>
      <c r="U125" s="519"/>
      <c r="V125" s="534"/>
      <c r="W125" s="519"/>
      <c r="X125" s="518"/>
      <c r="Y125" s="519"/>
      <c r="Z125" s="518"/>
      <c r="AA125" s="519"/>
      <c r="AB125" s="518"/>
      <c r="AC125" s="519"/>
      <c r="AD125" s="518"/>
      <c r="AE125" s="519"/>
      <c r="AF125" s="518"/>
      <c r="AG125" s="519"/>
      <c r="AH125" s="475"/>
    </row>
    <row r="126" spans="1:34" ht="22.5" customHeight="1">
      <c r="A126" s="485"/>
      <c r="B126" s="498"/>
      <c r="C126" s="601" t="s">
        <v>524</v>
      </c>
      <c r="D126" s="602" t="s">
        <v>423</v>
      </c>
      <c r="E126" s="603" t="s">
        <v>525</v>
      </c>
      <c r="F126" s="435" t="s">
        <v>262</v>
      </c>
      <c r="G126" s="310" t="s">
        <v>444</v>
      </c>
      <c r="H126" s="604"/>
      <c r="I126" s="480"/>
      <c r="J126" s="605"/>
      <c r="K126" s="606"/>
      <c r="L126" s="607"/>
      <c r="M126" s="606"/>
      <c r="N126" s="607"/>
      <c r="O126" s="606"/>
      <c r="P126" s="607"/>
      <c r="Q126" s="606"/>
      <c r="R126" s="607"/>
      <c r="S126" s="606"/>
      <c r="T126" s="607"/>
      <c r="U126" s="606"/>
      <c r="V126" s="608"/>
      <c r="W126" s="606"/>
      <c r="X126" s="607"/>
      <c r="Y126" s="606"/>
      <c r="Z126" s="607"/>
      <c r="AA126" s="606"/>
      <c r="AB126" s="607"/>
      <c r="AC126" s="606"/>
      <c r="AD126" s="607"/>
      <c r="AE126" s="606"/>
      <c r="AF126" s="607"/>
      <c r="AG126" s="606"/>
      <c r="AH126" s="609"/>
    </row>
    <row r="127" spans="1:34" ht="22.5" customHeight="1">
      <c r="A127" s="485"/>
      <c r="B127" s="610"/>
      <c r="C127" s="526" t="s">
        <v>526</v>
      </c>
      <c r="D127" s="305" t="s">
        <v>293</v>
      </c>
      <c r="E127" s="477" t="s">
        <v>527</v>
      </c>
      <c r="F127" s="435" t="s">
        <v>262</v>
      </c>
      <c r="G127" s="307" t="s">
        <v>444</v>
      </c>
      <c r="H127" s="478"/>
      <c r="I127" s="461"/>
      <c r="J127" s="515"/>
      <c r="K127" s="512"/>
      <c r="L127" s="513"/>
      <c r="M127" s="512"/>
      <c r="N127" s="513"/>
      <c r="O127" s="512"/>
      <c r="P127" s="513"/>
      <c r="Q127" s="512"/>
      <c r="R127" s="513"/>
      <c r="S127" s="512"/>
      <c r="T127" s="513"/>
      <c r="U127" s="512"/>
      <c r="V127" s="524"/>
      <c r="W127" s="512"/>
      <c r="X127" s="513"/>
      <c r="Y127" s="512"/>
      <c r="Z127" s="513"/>
      <c r="AA127" s="512"/>
      <c r="AB127" s="513"/>
      <c r="AC127" s="512"/>
      <c r="AD127" s="513"/>
      <c r="AE127" s="512"/>
      <c r="AF127" s="513"/>
      <c r="AG127" s="512"/>
      <c r="AH127" s="443"/>
    </row>
    <row r="128" spans="1:34" ht="22.5" customHeight="1" thickBot="1">
      <c r="A128" s="485"/>
      <c r="B128" s="611"/>
      <c r="C128" s="612" t="s">
        <v>528</v>
      </c>
      <c r="D128" s="613" t="s">
        <v>521</v>
      </c>
      <c r="E128" s="614" t="s">
        <v>529</v>
      </c>
      <c r="F128" s="615" t="s">
        <v>262</v>
      </c>
      <c r="G128" s="616" t="s">
        <v>368</v>
      </c>
      <c r="H128" s="615"/>
      <c r="I128" s="617"/>
      <c r="J128" s="618"/>
      <c r="K128" s="619"/>
      <c r="L128" s="620"/>
      <c r="M128" s="619"/>
      <c r="N128" s="620"/>
      <c r="O128" s="619"/>
      <c r="P128" s="620"/>
      <c r="Q128" s="619"/>
      <c r="R128" s="620"/>
      <c r="S128" s="619"/>
      <c r="T128" s="620"/>
      <c r="U128" s="619"/>
      <c r="V128" s="621"/>
      <c r="W128" s="619"/>
      <c r="X128" s="620"/>
      <c r="Y128" s="619"/>
      <c r="Z128" s="620"/>
      <c r="AA128" s="619"/>
      <c r="AB128" s="620"/>
      <c r="AC128" s="619"/>
      <c r="AD128" s="620"/>
      <c r="AE128" s="619"/>
      <c r="AF128" s="620"/>
      <c r="AG128" s="619"/>
      <c r="AH128" s="622"/>
    </row>
    <row r="129" spans="1:34" ht="33" thickTop="1">
      <c r="A129" s="425"/>
      <c r="B129" s="623" t="s">
        <v>530</v>
      </c>
      <c r="C129" s="499" t="s">
        <v>531</v>
      </c>
      <c r="D129" s="624" t="s">
        <v>532</v>
      </c>
      <c r="E129" s="500" t="s">
        <v>385</v>
      </c>
      <c r="F129" s="473" t="s">
        <v>261</v>
      </c>
      <c r="G129" s="309" t="s">
        <v>291</v>
      </c>
      <c r="H129" s="501"/>
      <c r="I129" s="454"/>
      <c r="J129" s="511"/>
      <c r="K129" s="519"/>
      <c r="L129" s="518"/>
      <c r="M129" s="519"/>
      <c r="N129" s="518"/>
      <c r="O129" s="519"/>
      <c r="P129" s="518"/>
      <c r="Q129" s="519"/>
      <c r="R129" s="518"/>
      <c r="S129" s="519"/>
      <c r="T129" s="518"/>
      <c r="U129" s="519"/>
      <c r="V129" s="534"/>
      <c r="W129" s="519"/>
      <c r="X129" s="518"/>
      <c r="Y129" s="519"/>
      <c r="Z129" s="518"/>
      <c r="AA129" s="519"/>
      <c r="AB129" s="518"/>
      <c r="AC129" s="519"/>
      <c r="AD129" s="518"/>
      <c r="AE129" s="519"/>
      <c r="AF129" s="518"/>
      <c r="AG129" s="519"/>
      <c r="AH129" s="539"/>
    </row>
    <row r="130" spans="1:34" ht="32.4">
      <c r="A130" s="425"/>
      <c r="B130" s="625" t="s">
        <v>533</v>
      </c>
      <c r="C130" s="597" t="s">
        <v>534</v>
      </c>
      <c r="D130" s="626" t="s">
        <v>532</v>
      </c>
      <c r="E130" s="477" t="s">
        <v>265</v>
      </c>
      <c r="F130" s="435" t="s">
        <v>262</v>
      </c>
      <c r="G130" s="307" t="s">
        <v>216</v>
      </c>
      <c r="H130" s="478"/>
      <c r="I130" s="461"/>
      <c r="J130" s="515"/>
      <c r="K130" s="512"/>
      <c r="L130" s="513"/>
      <c r="M130" s="512"/>
      <c r="N130" s="513"/>
      <c r="O130" s="512"/>
      <c r="P130" s="513"/>
      <c r="Q130" s="512"/>
      <c r="R130" s="513"/>
      <c r="S130" s="512"/>
      <c r="T130" s="513"/>
      <c r="U130" s="512"/>
      <c r="V130" s="524"/>
      <c r="W130" s="512"/>
      <c r="X130" s="513"/>
      <c r="Y130" s="512"/>
      <c r="Z130" s="513"/>
      <c r="AA130" s="512"/>
      <c r="AB130" s="513"/>
      <c r="AC130" s="512"/>
      <c r="AD130" s="513"/>
      <c r="AE130" s="512"/>
      <c r="AF130" s="513"/>
      <c r="AG130" s="512"/>
      <c r="AH130" s="514"/>
    </row>
    <row r="131" spans="1:34" ht="32.4">
      <c r="A131" s="425"/>
      <c r="B131" s="439"/>
      <c r="C131" s="440" t="s">
        <v>535</v>
      </c>
      <c r="D131" s="626" t="s">
        <v>536</v>
      </c>
      <c r="E131" s="459" t="s">
        <v>216</v>
      </c>
      <c r="F131" s="473" t="s">
        <v>262</v>
      </c>
      <c r="G131" s="441" t="s">
        <v>291</v>
      </c>
      <c r="H131" s="478"/>
      <c r="I131" s="454"/>
      <c r="J131" s="413"/>
      <c r="K131" s="512"/>
      <c r="L131" s="413"/>
      <c r="M131" s="412"/>
      <c r="N131" s="413"/>
      <c r="O131" s="412"/>
      <c r="P131" s="413"/>
      <c r="Q131" s="412"/>
      <c r="R131" s="413"/>
      <c r="S131" s="412"/>
      <c r="T131" s="413"/>
      <c r="U131" s="412"/>
      <c r="V131" s="413"/>
      <c r="W131" s="412"/>
      <c r="X131" s="413"/>
      <c r="Y131" s="412"/>
      <c r="Z131" s="413"/>
      <c r="AA131" s="412"/>
      <c r="AB131" s="413"/>
      <c r="AC131" s="412"/>
      <c r="AD131" s="413"/>
      <c r="AE131" s="412"/>
      <c r="AF131" s="413"/>
      <c r="AG131" s="412"/>
      <c r="AH131" s="443"/>
    </row>
    <row r="132" spans="1:34" ht="32.4">
      <c r="A132" s="485"/>
      <c r="B132" s="498"/>
      <c r="C132" s="523" t="s">
        <v>537</v>
      </c>
      <c r="D132" s="626" t="s">
        <v>532</v>
      </c>
      <c r="E132" s="500" t="s">
        <v>264</v>
      </c>
      <c r="F132" s="435" t="s">
        <v>261</v>
      </c>
      <c r="G132" s="309" t="s">
        <v>216</v>
      </c>
      <c r="H132" s="478"/>
      <c r="I132" s="454"/>
      <c r="J132" s="511"/>
      <c r="K132" s="512"/>
      <c r="L132" s="513"/>
      <c r="M132" s="512"/>
      <c r="N132" s="513"/>
      <c r="O132" s="512"/>
      <c r="P132" s="513"/>
      <c r="Q132" s="512"/>
      <c r="R132" s="513"/>
      <c r="S132" s="512"/>
      <c r="T132" s="513"/>
      <c r="U132" s="512"/>
      <c r="V132" s="524"/>
      <c r="W132" s="512"/>
      <c r="X132" s="513"/>
      <c r="Y132" s="512"/>
      <c r="Z132" s="513"/>
      <c r="AA132" s="512"/>
      <c r="AB132" s="513"/>
      <c r="AC132" s="512"/>
      <c r="AD132" s="513"/>
      <c r="AE132" s="512"/>
      <c r="AF132" s="513"/>
      <c r="AG132" s="512"/>
      <c r="AH132" s="514"/>
    </row>
    <row r="133" spans="1:34" ht="32.4">
      <c r="A133" s="485"/>
      <c r="B133" s="498"/>
      <c r="C133" s="523" t="s">
        <v>538</v>
      </c>
      <c r="D133" s="626" t="s">
        <v>532</v>
      </c>
      <c r="E133" s="500" t="s">
        <v>264</v>
      </c>
      <c r="F133" s="435" t="s">
        <v>261</v>
      </c>
      <c r="G133" s="309" t="s">
        <v>216</v>
      </c>
      <c r="H133" s="478"/>
      <c r="I133" s="454"/>
      <c r="J133" s="511"/>
      <c r="K133" s="627"/>
      <c r="L133" s="513"/>
      <c r="M133" s="512"/>
      <c r="N133" s="513"/>
      <c r="O133" s="512"/>
      <c r="P133" s="513"/>
      <c r="Q133" s="512"/>
      <c r="R133" s="513"/>
      <c r="S133" s="512"/>
      <c r="T133" s="513"/>
      <c r="U133" s="512"/>
      <c r="V133" s="524"/>
      <c r="W133" s="512"/>
      <c r="X133" s="513"/>
      <c r="Y133" s="512"/>
      <c r="Z133" s="513"/>
      <c r="AA133" s="512"/>
      <c r="AB133" s="513"/>
      <c r="AC133" s="512"/>
      <c r="AD133" s="513"/>
      <c r="AE133" s="512"/>
      <c r="AF133" s="513"/>
      <c r="AG133" s="512"/>
      <c r="AH133" s="514"/>
    </row>
    <row r="134" spans="1:34" ht="32.4">
      <c r="A134" s="485"/>
      <c r="B134" s="498"/>
      <c r="C134" s="628" t="s">
        <v>539</v>
      </c>
      <c r="D134" s="626" t="s">
        <v>532</v>
      </c>
      <c r="E134" s="477" t="s">
        <v>264</v>
      </c>
      <c r="F134" s="435" t="s">
        <v>262</v>
      </c>
      <c r="G134" s="307" t="s">
        <v>216</v>
      </c>
      <c r="H134" s="478"/>
      <c r="I134" s="461"/>
      <c r="J134" s="515"/>
      <c r="K134" s="629"/>
      <c r="L134" s="513"/>
      <c r="M134" s="512"/>
      <c r="N134" s="513"/>
      <c r="O134" s="512"/>
      <c r="P134" s="513"/>
      <c r="Q134" s="512"/>
      <c r="R134" s="513"/>
      <c r="S134" s="512"/>
      <c r="T134" s="513"/>
      <c r="U134" s="512"/>
      <c r="V134" s="524"/>
      <c r="W134" s="512"/>
      <c r="X134" s="513"/>
      <c r="Y134" s="512"/>
      <c r="Z134" s="513"/>
      <c r="AA134" s="512"/>
      <c r="AB134" s="513"/>
      <c r="AC134" s="512"/>
      <c r="AD134" s="513"/>
      <c r="AE134" s="512"/>
      <c r="AF134" s="513"/>
      <c r="AG134" s="512"/>
      <c r="AH134" s="514"/>
    </row>
    <row r="135" spans="1:34" ht="32.4">
      <c r="A135" s="485"/>
      <c r="B135" s="498"/>
      <c r="C135" s="597" t="s">
        <v>540</v>
      </c>
      <c r="D135" s="626" t="s">
        <v>532</v>
      </c>
      <c r="E135" s="477" t="s">
        <v>264</v>
      </c>
      <c r="F135" s="435" t="s">
        <v>262</v>
      </c>
      <c r="G135" s="309" t="s">
        <v>216</v>
      </c>
      <c r="H135" s="478"/>
      <c r="I135" s="461"/>
      <c r="J135" s="515"/>
      <c r="K135" s="512"/>
      <c r="L135" s="513"/>
      <c r="M135" s="512"/>
      <c r="N135" s="513"/>
      <c r="O135" s="512"/>
      <c r="P135" s="513"/>
      <c r="Q135" s="512"/>
      <c r="R135" s="513"/>
      <c r="S135" s="512"/>
      <c r="T135" s="513"/>
      <c r="U135" s="512"/>
      <c r="V135" s="524"/>
      <c r="W135" s="512"/>
      <c r="X135" s="513"/>
      <c r="Y135" s="512"/>
      <c r="Z135" s="513"/>
      <c r="AA135" s="512"/>
      <c r="AB135" s="513"/>
      <c r="AC135" s="512"/>
      <c r="AD135" s="513"/>
      <c r="AE135" s="512"/>
      <c r="AF135" s="513"/>
      <c r="AG135" s="512"/>
      <c r="AH135" s="630"/>
    </row>
    <row r="136" spans="1:34" ht="32.4">
      <c r="A136" s="485"/>
      <c r="B136" s="498"/>
      <c r="C136" s="597" t="s">
        <v>541</v>
      </c>
      <c r="D136" s="626" t="s">
        <v>532</v>
      </c>
      <c r="E136" s="459" t="s">
        <v>264</v>
      </c>
      <c r="F136" s="435" t="s">
        <v>262</v>
      </c>
      <c r="G136" s="307" t="s">
        <v>216</v>
      </c>
      <c r="H136" s="478"/>
      <c r="I136" s="461"/>
      <c r="J136" s="515"/>
      <c r="K136" s="512"/>
      <c r="L136" s="513"/>
      <c r="M136" s="512"/>
      <c r="N136" s="513"/>
      <c r="O136" s="512"/>
      <c r="P136" s="513"/>
      <c r="Q136" s="512"/>
      <c r="R136" s="513"/>
      <c r="S136" s="512"/>
      <c r="T136" s="513"/>
      <c r="U136" s="512"/>
      <c r="V136" s="524"/>
      <c r="W136" s="512"/>
      <c r="X136" s="513"/>
      <c r="Y136" s="512"/>
      <c r="Z136" s="513"/>
      <c r="AA136" s="512"/>
      <c r="AB136" s="513"/>
      <c r="AC136" s="512"/>
      <c r="AD136" s="513"/>
      <c r="AE136" s="512"/>
      <c r="AF136" s="513"/>
      <c r="AG136" s="512"/>
      <c r="AH136" s="630"/>
    </row>
    <row r="137" spans="1:34" ht="32.4">
      <c r="A137" s="485"/>
      <c r="B137" s="498"/>
      <c r="C137" s="597" t="s">
        <v>542</v>
      </c>
      <c r="D137" s="626" t="s">
        <v>532</v>
      </c>
      <c r="E137" s="631" t="s">
        <v>543</v>
      </c>
      <c r="F137" s="435" t="s">
        <v>262</v>
      </c>
      <c r="G137" s="309" t="s">
        <v>216</v>
      </c>
      <c r="H137" s="478"/>
      <c r="I137" s="461"/>
      <c r="J137" s="515"/>
      <c r="K137" s="512"/>
      <c r="L137" s="513"/>
      <c r="M137" s="512"/>
      <c r="N137" s="513"/>
      <c r="O137" s="512"/>
      <c r="P137" s="513"/>
      <c r="Q137" s="512"/>
      <c r="R137" s="513"/>
      <c r="S137" s="512"/>
      <c r="T137" s="513"/>
      <c r="U137" s="512"/>
      <c r="V137" s="524"/>
      <c r="W137" s="512"/>
      <c r="X137" s="513"/>
      <c r="Y137" s="512"/>
      <c r="Z137" s="513"/>
      <c r="AA137" s="512"/>
      <c r="AB137" s="513"/>
      <c r="AC137" s="512"/>
      <c r="AD137" s="513"/>
      <c r="AE137" s="512"/>
      <c r="AF137" s="513"/>
      <c r="AG137" s="512"/>
      <c r="AH137" s="630"/>
    </row>
    <row r="138" spans="1:34" ht="32.4">
      <c r="A138" s="425"/>
      <c r="B138" s="439"/>
      <c r="C138" s="440" t="s">
        <v>312</v>
      </c>
      <c r="D138" s="626" t="s">
        <v>532</v>
      </c>
      <c r="E138" s="441" t="s">
        <v>311</v>
      </c>
      <c r="F138" s="473" t="s">
        <v>261</v>
      </c>
      <c r="G138" s="309" t="s">
        <v>216</v>
      </c>
      <c r="H138" s="310" t="s">
        <v>310</v>
      </c>
      <c r="I138" s="632" t="s">
        <v>310</v>
      </c>
      <c r="J138" s="534"/>
      <c r="K138" s="519"/>
      <c r="L138" s="518" t="s">
        <v>371</v>
      </c>
      <c r="M138" s="519"/>
      <c r="N138" s="518"/>
      <c r="O138" s="519"/>
      <c r="P138" s="518"/>
      <c r="Q138" s="519"/>
      <c r="R138" s="518"/>
      <c r="S138" s="519"/>
      <c r="T138" s="518"/>
      <c r="U138" s="519"/>
      <c r="V138" s="534"/>
      <c r="W138" s="519"/>
      <c r="X138" s="513"/>
      <c r="Y138" s="519"/>
      <c r="Z138" s="518"/>
      <c r="AA138" s="519"/>
      <c r="AB138" s="518"/>
      <c r="AC138" s="519"/>
      <c r="AD138" s="518"/>
      <c r="AE138" s="519"/>
      <c r="AF138" s="518"/>
      <c r="AG138" s="519"/>
      <c r="AH138" s="502"/>
    </row>
    <row r="139" spans="1:34" ht="32.4">
      <c r="A139" s="425"/>
      <c r="B139" s="439"/>
      <c r="C139" s="440" t="s">
        <v>313</v>
      </c>
      <c r="D139" s="626" t="s">
        <v>532</v>
      </c>
      <c r="E139" s="441" t="s">
        <v>311</v>
      </c>
      <c r="F139" s="435" t="s">
        <v>261</v>
      </c>
      <c r="G139" s="307" t="s">
        <v>216</v>
      </c>
      <c r="H139" s="307" t="s">
        <v>310</v>
      </c>
      <c r="I139" s="633" t="s">
        <v>310</v>
      </c>
      <c r="J139" s="534"/>
      <c r="K139" s="512"/>
      <c r="L139" s="518" t="s">
        <v>371</v>
      </c>
      <c r="M139" s="512"/>
      <c r="N139" s="518"/>
      <c r="O139" s="512"/>
      <c r="P139" s="518"/>
      <c r="Q139" s="512"/>
      <c r="R139" s="518"/>
      <c r="S139" s="512"/>
      <c r="T139" s="518"/>
      <c r="U139" s="512"/>
      <c r="V139" s="534"/>
      <c r="W139" s="512"/>
      <c r="X139" s="518"/>
      <c r="Y139" s="512"/>
      <c r="Z139" s="518"/>
      <c r="AA139" s="512"/>
      <c r="AB139" s="518"/>
      <c r="AC139" s="512"/>
      <c r="AD139" s="518"/>
      <c r="AE139" s="512"/>
      <c r="AF139" s="518"/>
      <c r="AG139" s="512"/>
      <c r="AH139" s="502"/>
    </row>
    <row r="140" spans="1:34" ht="32.4">
      <c r="A140" s="425"/>
      <c r="B140" s="439"/>
      <c r="C140" s="440" t="s">
        <v>314</v>
      </c>
      <c r="D140" s="626" t="s">
        <v>532</v>
      </c>
      <c r="E140" s="441" t="s">
        <v>311</v>
      </c>
      <c r="F140" s="435" t="s">
        <v>261</v>
      </c>
      <c r="G140" s="307" t="s">
        <v>216</v>
      </c>
      <c r="H140" s="307" t="s">
        <v>310</v>
      </c>
      <c r="I140" s="633" t="s">
        <v>310</v>
      </c>
      <c r="J140" s="414"/>
      <c r="K140" s="452"/>
      <c r="L140" s="413" t="s">
        <v>371</v>
      </c>
      <c r="M140" s="452"/>
      <c r="N140" s="518"/>
      <c r="O140" s="452"/>
      <c r="P140" s="413"/>
      <c r="Q140" s="452"/>
      <c r="R140" s="413"/>
      <c r="S140" s="452"/>
      <c r="T140" s="413"/>
      <c r="U140" s="452"/>
      <c r="V140" s="414"/>
      <c r="W140" s="452"/>
      <c r="X140" s="413"/>
      <c r="Y140" s="452"/>
      <c r="Z140" s="413"/>
      <c r="AA140" s="452"/>
      <c r="AB140" s="413"/>
      <c r="AC140" s="452"/>
      <c r="AD140" s="413"/>
      <c r="AE140" s="452"/>
      <c r="AF140" s="413"/>
      <c r="AG140" s="452"/>
      <c r="AH140" s="538"/>
    </row>
    <row r="141" spans="1:34" ht="32.4">
      <c r="A141" s="485"/>
      <c r="B141" s="498"/>
      <c r="C141" s="526" t="s">
        <v>544</v>
      </c>
      <c r="D141" s="626" t="s">
        <v>532</v>
      </c>
      <c r="E141" s="477" t="s">
        <v>316</v>
      </c>
      <c r="F141" s="435" t="s">
        <v>262</v>
      </c>
      <c r="G141" s="307" t="s">
        <v>216</v>
      </c>
      <c r="H141" s="478"/>
      <c r="I141" s="461"/>
      <c r="J141" s="513"/>
      <c r="K141" s="512"/>
      <c r="L141" s="513"/>
      <c r="M141" s="512"/>
      <c r="N141" s="513"/>
      <c r="O141" s="512"/>
      <c r="P141" s="513"/>
      <c r="Q141" s="512"/>
      <c r="R141" s="513"/>
      <c r="S141" s="512"/>
      <c r="T141" s="513"/>
      <c r="U141" s="512"/>
      <c r="V141" s="524"/>
      <c r="W141" s="512"/>
      <c r="X141" s="513"/>
      <c r="Y141" s="512"/>
      <c r="Z141" s="513"/>
      <c r="AA141" s="512"/>
      <c r="AB141" s="513"/>
      <c r="AC141" s="512"/>
      <c r="AD141" s="513"/>
      <c r="AE141" s="512"/>
      <c r="AF141" s="513"/>
      <c r="AG141" s="512"/>
      <c r="AH141" s="514"/>
    </row>
    <row r="142" spans="1:34" ht="32.4">
      <c r="A142" s="425"/>
      <c r="B142" s="625"/>
      <c r="C142" s="440" t="s">
        <v>545</v>
      </c>
      <c r="D142" s="624" t="s">
        <v>546</v>
      </c>
      <c r="E142" s="441" t="s">
        <v>291</v>
      </c>
      <c r="F142" s="473" t="s">
        <v>262</v>
      </c>
      <c r="G142" s="441" t="s">
        <v>291</v>
      </c>
      <c r="H142" s="453"/>
      <c r="I142" s="454"/>
      <c r="J142" s="411"/>
      <c r="K142" s="412"/>
      <c r="L142" s="413"/>
      <c r="M142" s="412"/>
      <c r="N142" s="413"/>
      <c r="O142" s="412"/>
      <c r="P142" s="413"/>
      <c r="Q142" s="412"/>
      <c r="R142" s="413"/>
      <c r="S142" s="412"/>
      <c r="T142" s="413"/>
      <c r="U142" s="412"/>
      <c r="V142" s="414"/>
      <c r="W142" s="412"/>
      <c r="X142" s="413"/>
      <c r="Y142" s="412"/>
      <c r="Z142" s="413"/>
      <c r="AA142" s="412"/>
      <c r="AB142" s="413"/>
      <c r="AC142" s="412"/>
      <c r="AD142" s="413"/>
      <c r="AE142" s="412"/>
      <c r="AF142" s="413"/>
      <c r="AG142" s="412"/>
      <c r="AH142" s="475"/>
    </row>
    <row r="143" spans="1:34" ht="48.6">
      <c r="A143" s="425"/>
      <c r="B143" s="625"/>
      <c r="C143" s="440" t="s">
        <v>547</v>
      </c>
      <c r="D143" s="626" t="s">
        <v>548</v>
      </c>
      <c r="E143" s="441" t="s">
        <v>549</v>
      </c>
      <c r="F143" s="435" t="s">
        <v>262</v>
      </c>
      <c r="G143" s="441" t="s">
        <v>291</v>
      </c>
      <c r="H143" s="634"/>
      <c r="I143" s="454"/>
      <c r="J143" s="411"/>
      <c r="K143" s="412"/>
      <c r="L143" s="413"/>
      <c r="M143" s="412"/>
      <c r="N143" s="413"/>
      <c r="O143" s="412"/>
      <c r="P143" s="413"/>
      <c r="Q143" s="412"/>
      <c r="R143" s="413"/>
      <c r="S143" s="412"/>
      <c r="T143" s="413"/>
      <c r="U143" s="412"/>
      <c r="V143" s="414"/>
      <c r="W143" s="412"/>
      <c r="X143" s="413"/>
      <c r="Y143" s="412"/>
      <c r="Z143" s="413"/>
      <c r="AA143" s="412"/>
      <c r="AB143" s="413"/>
      <c r="AC143" s="412"/>
      <c r="AD143" s="413"/>
      <c r="AE143" s="412"/>
      <c r="AF143" s="413"/>
      <c r="AG143" s="412"/>
      <c r="AH143" s="443"/>
    </row>
    <row r="144" spans="1:34" ht="32.4">
      <c r="A144" s="425"/>
      <c r="B144" s="439"/>
      <c r="C144" s="440" t="s">
        <v>550</v>
      </c>
      <c r="D144" s="626" t="s">
        <v>536</v>
      </c>
      <c r="E144" s="441" t="s">
        <v>549</v>
      </c>
      <c r="F144" s="435" t="s">
        <v>551</v>
      </c>
      <c r="G144" s="441" t="s">
        <v>291</v>
      </c>
      <c r="H144" s="635"/>
      <c r="I144" s="454"/>
      <c r="J144" s="411"/>
      <c r="K144" s="412"/>
      <c r="L144" s="413"/>
      <c r="M144" s="412"/>
      <c r="N144" s="413"/>
      <c r="O144" s="412"/>
      <c r="P144" s="413"/>
      <c r="Q144" s="412"/>
      <c r="R144" s="413"/>
      <c r="S144" s="412"/>
      <c r="T144" s="413"/>
      <c r="U144" s="412"/>
      <c r="V144" s="414"/>
      <c r="W144" s="412"/>
      <c r="X144" s="413"/>
      <c r="Y144" s="412"/>
      <c r="Z144" s="413"/>
      <c r="AA144" s="412"/>
      <c r="AB144" s="413"/>
      <c r="AC144" s="412"/>
      <c r="AD144" s="413"/>
      <c r="AE144" s="412"/>
      <c r="AF144" s="413"/>
      <c r="AG144" s="412"/>
      <c r="AH144" s="443"/>
    </row>
    <row r="145" spans="1:34" ht="32.4">
      <c r="A145" s="485"/>
      <c r="B145" s="498"/>
      <c r="C145" s="523" t="s">
        <v>552</v>
      </c>
      <c r="D145" s="624" t="s">
        <v>532</v>
      </c>
      <c r="E145" s="500" t="s">
        <v>553</v>
      </c>
      <c r="F145" s="473" t="s">
        <v>262</v>
      </c>
      <c r="G145" s="309" t="s">
        <v>216</v>
      </c>
      <c r="H145" s="478"/>
      <c r="I145" s="636"/>
      <c r="J145" s="518"/>
      <c r="K145" s="519"/>
      <c r="L145" s="518"/>
      <c r="M145" s="519"/>
      <c r="N145" s="518"/>
      <c r="O145" s="519"/>
      <c r="P145" s="518"/>
      <c r="Q145" s="519"/>
      <c r="R145" s="518"/>
      <c r="S145" s="519"/>
      <c r="T145" s="518"/>
      <c r="U145" s="519"/>
      <c r="V145" s="534"/>
      <c r="W145" s="519"/>
      <c r="X145" s="518"/>
      <c r="Y145" s="519"/>
      <c r="Z145" s="518"/>
      <c r="AA145" s="519"/>
      <c r="AB145" s="518"/>
      <c r="AC145" s="519"/>
      <c r="AD145" s="518"/>
      <c r="AE145" s="519"/>
      <c r="AF145" s="518"/>
      <c r="AG145" s="519"/>
      <c r="AH145" s="637"/>
    </row>
    <row r="146" spans="1:34" ht="33" thickBot="1">
      <c r="A146" s="485"/>
      <c r="B146" s="638"/>
      <c r="C146" s="639" t="s">
        <v>554</v>
      </c>
      <c r="D146" s="640" t="s">
        <v>532</v>
      </c>
      <c r="E146" s="641" t="s">
        <v>553</v>
      </c>
      <c r="F146" s="642" t="s">
        <v>261</v>
      </c>
      <c r="G146" s="616" t="s">
        <v>216</v>
      </c>
      <c r="H146" s="616" t="s">
        <v>310</v>
      </c>
      <c r="I146" s="643" t="s">
        <v>310</v>
      </c>
      <c r="J146" s="644"/>
      <c r="K146" s="645"/>
      <c r="L146" s="646" t="s">
        <v>371</v>
      </c>
      <c r="M146" s="645"/>
      <c r="N146" s="646"/>
      <c r="O146" s="645"/>
      <c r="P146" s="646"/>
      <c r="Q146" s="645"/>
      <c r="R146" s="646"/>
      <c r="S146" s="645"/>
      <c r="T146" s="646"/>
      <c r="U146" s="645"/>
      <c r="V146" s="647"/>
      <c r="W146" s="645"/>
      <c r="X146" s="646"/>
      <c r="Y146" s="645"/>
      <c r="Z146" s="646"/>
      <c r="AA146" s="645"/>
      <c r="AB146" s="646"/>
      <c r="AC146" s="645"/>
      <c r="AD146" s="646"/>
      <c r="AE146" s="645"/>
      <c r="AF146" s="646"/>
      <c r="AG146" s="645"/>
      <c r="AH146" s="648"/>
    </row>
    <row r="147" spans="1:34" ht="23.25" customHeight="1" thickTop="1">
      <c r="A147" s="425"/>
      <c r="B147" s="649"/>
      <c r="C147" s="650"/>
      <c r="D147" s="453"/>
      <c r="E147" s="497"/>
      <c r="F147" s="473"/>
      <c r="G147" s="453"/>
      <c r="H147" s="453"/>
      <c r="I147" s="454"/>
      <c r="J147" s="411"/>
      <c r="K147" s="412"/>
      <c r="L147" s="413"/>
      <c r="M147" s="412"/>
      <c r="N147" s="413"/>
      <c r="O147" s="412"/>
      <c r="P147" s="413"/>
      <c r="Q147" s="412"/>
      <c r="R147" s="413"/>
      <c r="S147" s="412"/>
      <c r="T147" s="413"/>
      <c r="U147" s="412"/>
      <c r="V147" s="414"/>
      <c r="W147" s="412"/>
      <c r="X147" s="413"/>
      <c r="Y147" s="412"/>
      <c r="Z147" s="413"/>
      <c r="AA147" s="412"/>
      <c r="AB147" s="413"/>
      <c r="AC147" s="412"/>
      <c r="AD147" s="413"/>
      <c r="AE147" s="412"/>
      <c r="AF147" s="413"/>
      <c r="AG147" s="412"/>
      <c r="AH147" s="475"/>
    </row>
    <row r="148" spans="1:34" ht="23.25" customHeight="1">
      <c r="A148" s="425"/>
      <c r="B148" s="651"/>
      <c r="C148" s="650"/>
      <c r="D148" s="460"/>
      <c r="E148" s="497"/>
      <c r="F148" s="435"/>
      <c r="G148" s="460"/>
      <c r="H148" s="460"/>
      <c r="I148" s="454"/>
      <c r="J148" s="411"/>
      <c r="K148" s="412"/>
      <c r="L148" s="413"/>
      <c r="M148" s="412"/>
      <c r="N148" s="413"/>
      <c r="O148" s="412"/>
      <c r="P148" s="413"/>
      <c r="Q148" s="412"/>
      <c r="R148" s="413"/>
      <c r="S148" s="412"/>
      <c r="T148" s="413"/>
      <c r="U148" s="412"/>
      <c r="V148" s="414"/>
      <c r="W148" s="412"/>
      <c r="X148" s="413"/>
      <c r="Y148" s="412"/>
      <c r="Z148" s="413"/>
      <c r="AA148" s="412"/>
      <c r="AB148" s="413"/>
      <c r="AC148" s="412"/>
      <c r="AD148" s="413"/>
      <c r="AE148" s="412"/>
      <c r="AF148" s="413"/>
      <c r="AG148" s="412"/>
      <c r="AH148" s="443"/>
    </row>
    <row r="149" spans="1:34" ht="25.5" customHeight="1">
      <c r="A149" s="444"/>
      <c r="B149" s="652"/>
      <c r="C149" s="653"/>
      <c r="D149" s="460"/>
      <c r="E149" s="654"/>
      <c r="F149" s="435"/>
      <c r="G149" s="473"/>
      <c r="H149" s="473"/>
      <c r="I149" s="655"/>
      <c r="J149" s="449"/>
      <c r="K149" s="450"/>
      <c r="L149" s="451"/>
      <c r="M149" s="450"/>
      <c r="N149" s="451"/>
      <c r="O149" s="450"/>
      <c r="P149" s="451"/>
      <c r="Q149" s="450"/>
      <c r="R149" s="451"/>
      <c r="S149" s="450"/>
      <c r="T149" s="413"/>
      <c r="U149" s="412"/>
      <c r="V149" s="414"/>
      <c r="W149" s="450"/>
      <c r="X149" s="451"/>
      <c r="Y149" s="450"/>
      <c r="Z149" s="451"/>
      <c r="AA149" s="450"/>
      <c r="AB149" s="451"/>
      <c r="AC149" s="450"/>
      <c r="AD149" s="451"/>
      <c r="AE149" s="450"/>
      <c r="AF149" s="451"/>
      <c r="AG149" s="450"/>
      <c r="AH149" s="443"/>
    </row>
    <row r="150" spans="1:34" ht="23.25" customHeight="1">
      <c r="A150" s="425"/>
      <c r="B150" s="651"/>
      <c r="C150" s="479"/>
      <c r="D150" s="460"/>
      <c r="E150" s="497"/>
      <c r="F150" s="435"/>
      <c r="G150" s="453"/>
      <c r="H150" s="453"/>
      <c r="I150" s="454"/>
      <c r="J150" s="413"/>
      <c r="K150" s="452"/>
      <c r="L150" s="413"/>
      <c r="M150" s="452"/>
      <c r="N150" s="413"/>
      <c r="O150" s="452"/>
      <c r="P150" s="413"/>
      <c r="Q150" s="452"/>
      <c r="R150" s="413"/>
      <c r="S150" s="455"/>
      <c r="T150" s="413"/>
      <c r="U150" s="452"/>
      <c r="V150" s="456"/>
      <c r="W150" s="452"/>
      <c r="X150" s="457"/>
      <c r="Y150" s="452"/>
      <c r="Z150" s="457"/>
      <c r="AA150" s="452"/>
      <c r="AB150" s="457"/>
      <c r="AC150" s="452"/>
      <c r="AD150" s="413"/>
      <c r="AE150" s="452"/>
      <c r="AF150" s="413"/>
      <c r="AG150" s="452"/>
      <c r="AH150" s="443"/>
    </row>
    <row r="151" spans="1:34" ht="23.25" customHeight="1">
      <c r="A151" s="425"/>
      <c r="B151" s="651"/>
      <c r="C151" s="656"/>
      <c r="D151" s="460"/>
      <c r="E151" s="497"/>
      <c r="F151" s="435"/>
      <c r="G151" s="657"/>
      <c r="H151" s="460"/>
      <c r="I151" s="461"/>
      <c r="J151" s="457"/>
      <c r="K151" s="452"/>
      <c r="L151" s="457"/>
      <c r="M151" s="452"/>
      <c r="N151" s="457"/>
      <c r="O151" s="452"/>
      <c r="P151" s="457"/>
      <c r="Q151" s="452"/>
      <c r="R151" s="457"/>
      <c r="S151" s="455"/>
      <c r="T151" s="457"/>
      <c r="U151" s="452"/>
      <c r="V151" s="456"/>
      <c r="W151" s="452"/>
      <c r="X151" s="457"/>
      <c r="Y151" s="452"/>
      <c r="Z151" s="457"/>
      <c r="AA151" s="452"/>
      <c r="AB151" s="457"/>
      <c r="AC151" s="452"/>
      <c r="AD151" s="457"/>
      <c r="AE151" s="452"/>
      <c r="AF151" s="457"/>
      <c r="AG151" s="452"/>
      <c r="AH151" s="443"/>
    </row>
    <row r="152" spans="1:34" ht="23.25" customHeight="1">
      <c r="A152" s="425"/>
      <c r="B152" s="651"/>
      <c r="C152" s="656"/>
      <c r="D152" s="460"/>
      <c r="E152" s="654"/>
      <c r="F152" s="435"/>
      <c r="G152" s="657"/>
      <c r="H152" s="460"/>
      <c r="I152" s="461"/>
      <c r="J152" s="457"/>
      <c r="K152" s="452"/>
      <c r="L152" s="457"/>
      <c r="M152" s="452"/>
      <c r="N152" s="457"/>
      <c r="O152" s="452"/>
      <c r="P152" s="457"/>
      <c r="Q152" s="452"/>
      <c r="R152" s="457"/>
      <c r="S152" s="455"/>
      <c r="T152" s="457"/>
      <c r="U152" s="452"/>
      <c r="V152" s="456"/>
      <c r="W152" s="452"/>
      <c r="X152" s="457"/>
      <c r="Y152" s="452"/>
      <c r="Z152" s="457"/>
      <c r="AA152" s="452"/>
      <c r="AB152" s="457"/>
      <c r="AC152" s="452"/>
      <c r="AD152" s="457"/>
      <c r="AE152" s="452"/>
      <c r="AF152" s="457"/>
      <c r="AG152" s="452"/>
      <c r="AH152" s="443"/>
    </row>
    <row r="153" spans="1:34" ht="23.1" customHeight="1" thickBot="1">
      <c r="A153" s="425"/>
      <c r="B153" s="658"/>
      <c r="C153" s="659"/>
      <c r="D153" s="470"/>
      <c r="E153" s="660"/>
      <c r="F153" s="469"/>
      <c r="G153" s="661"/>
      <c r="H153" s="470"/>
      <c r="I153" s="422"/>
      <c r="J153" s="420"/>
      <c r="K153" s="419"/>
      <c r="L153" s="420"/>
      <c r="M153" s="419"/>
      <c r="N153" s="420"/>
      <c r="O153" s="419"/>
      <c r="P153" s="420"/>
      <c r="Q153" s="419"/>
      <c r="R153" s="420"/>
      <c r="S153" s="471"/>
      <c r="T153" s="420"/>
      <c r="U153" s="419"/>
      <c r="V153" s="421"/>
      <c r="W153" s="419"/>
      <c r="X153" s="420"/>
      <c r="Y153" s="419"/>
      <c r="Z153" s="420"/>
      <c r="AA153" s="419"/>
      <c r="AB153" s="420"/>
      <c r="AC153" s="419"/>
      <c r="AD153" s="420"/>
      <c r="AE153" s="419"/>
      <c r="AF153" s="420"/>
      <c r="AG153" s="419"/>
      <c r="AH153" s="472"/>
    </row>
    <row r="154" spans="1:34" ht="23.4">
      <c r="A154" s="350"/>
      <c r="B154" s="351"/>
      <c r="C154" s="354"/>
      <c r="D154" s="354"/>
      <c r="E154" s="354"/>
      <c r="F154" s="354"/>
      <c r="G154" s="354"/>
      <c r="H154" s="354"/>
      <c r="I154" s="354"/>
      <c r="J154" s="354"/>
      <c r="K154" s="354"/>
      <c r="L154" s="354"/>
      <c r="M154" s="354"/>
      <c r="N154" s="354"/>
      <c r="O154" s="354"/>
      <c r="P154" s="354"/>
      <c r="Q154" s="354"/>
      <c r="R154" s="354"/>
      <c r="S154" s="354"/>
      <c r="T154" s="354"/>
      <c r="U154" s="354"/>
      <c r="V154" s="354"/>
      <c r="W154" s="354"/>
      <c r="X154" s="354"/>
      <c r="Y154" s="354"/>
      <c r="Z154" s="354"/>
      <c r="AA154" s="354"/>
      <c r="AB154" s="354"/>
      <c r="AC154" s="354"/>
      <c r="AD154" s="354"/>
      <c r="AE154" s="354"/>
      <c r="AF154" s="354"/>
      <c r="AG154" s="354"/>
      <c r="AH154" s="354"/>
    </row>
    <row r="155" spans="1:34" ht="19.8" thickBot="1">
      <c r="A155" s="350"/>
      <c r="B155" s="396" t="s">
        <v>555</v>
      </c>
      <c r="C155" s="354"/>
      <c r="D155" s="354"/>
      <c r="E155" s="354"/>
      <c r="F155" s="354"/>
      <c r="G155" s="662"/>
      <c r="H155" s="354"/>
      <c r="I155" s="424" t="s">
        <v>360</v>
      </c>
      <c r="J155" s="354"/>
      <c r="K155" s="354"/>
      <c r="L155" s="354"/>
      <c r="M155" s="354"/>
      <c r="N155" s="354"/>
      <c r="O155" s="354"/>
      <c r="P155" s="354"/>
      <c r="Q155" s="354"/>
      <c r="R155" s="354"/>
      <c r="S155" s="354"/>
      <c r="T155" s="354"/>
      <c r="U155" s="354"/>
      <c r="V155" s="354"/>
      <c r="W155" s="354"/>
      <c r="X155" s="354"/>
      <c r="Y155" s="354"/>
      <c r="Z155" s="354"/>
      <c r="AA155" s="354"/>
      <c r="AB155" s="354"/>
      <c r="AC155" s="354"/>
      <c r="AD155" s="354"/>
      <c r="AE155" s="354"/>
      <c r="AF155" s="354"/>
      <c r="AG155" s="354"/>
      <c r="AH155" s="354"/>
    </row>
    <row r="156" spans="1:34" ht="16.2">
      <c r="A156" s="425"/>
      <c r="B156" s="1275" t="s">
        <v>284</v>
      </c>
      <c r="C156" s="1278" t="s">
        <v>275</v>
      </c>
      <c r="D156" s="1281" t="s">
        <v>276</v>
      </c>
      <c r="E156" s="426"/>
      <c r="F156" s="426"/>
      <c r="G156" s="427"/>
      <c r="H156" s="428"/>
      <c r="I156" s="1284" t="s">
        <v>285</v>
      </c>
      <c r="J156" s="1287" t="s">
        <v>278</v>
      </c>
      <c r="K156" s="1265"/>
      <c r="L156" s="1264" t="s">
        <v>92</v>
      </c>
      <c r="M156" s="1265"/>
      <c r="N156" s="1264" t="s">
        <v>93</v>
      </c>
      <c r="O156" s="1265"/>
      <c r="P156" s="1264" t="s">
        <v>94</v>
      </c>
      <c r="Q156" s="1265"/>
      <c r="R156" s="1264" t="s">
        <v>95</v>
      </c>
      <c r="S156" s="1265"/>
      <c r="T156" s="1264" t="s">
        <v>96</v>
      </c>
      <c r="U156" s="1265"/>
      <c r="V156" s="1274" t="s">
        <v>97</v>
      </c>
      <c r="W156" s="1265"/>
      <c r="X156" s="1264" t="s">
        <v>98</v>
      </c>
      <c r="Y156" s="1265"/>
      <c r="Z156" s="1264" t="s">
        <v>99</v>
      </c>
      <c r="AA156" s="1265"/>
      <c r="AB156" s="1264" t="s">
        <v>279</v>
      </c>
      <c r="AC156" s="1265"/>
      <c r="AD156" s="1264" t="s">
        <v>280</v>
      </c>
      <c r="AE156" s="1265"/>
      <c r="AF156" s="1264" t="s">
        <v>281</v>
      </c>
      <c r="AG156" s="1265"/>
      <c r="AH156" s="398" t="s">
        <v>107</v>
      </c>
    </row>
    <row r="157" spans="1:34" ht="16.2">
      <c r="A157" s="425"/>
      <c r="B157" s="1276"/>
      <c r="C157" s="1279"/>
      <c r="D157" s="1282"/>
      <c r="E157" s="1266" t="s">
        <v>282</v>
      </c>
      <c r="F157" s="1266" t="s">
        <v>286</v>
      </c>
      <c r="G157" s="1268" t="s">
        <v>287</v>
      </c>
      <c r="H157" s="1269"/>
      <c r="I157" s="1285"/>
      <c r="J157" s="1270" t="s">
        <v>60</v>
      </c>
      <c r="K157" s="1272" t="s">
        <v>61</v>
      </c>
      <c r="L157" s="1258" t="s">
        <v>60</v>
      </c>
      <c r="M157" s="1260" t="s">
        <v>61</v>
      </c>
      <c r="N157" s="1258" t="s">
        <v>60</v>
      </c>
      <c r="O157" s="1260" t="s">
        <v>61</v>
      </c>
      <c r="P157" s="1258" t="s">
        <v>60</v>
      </c>
      <c r="Q157" s="1260" t="s">
        <v>61</v>
      </c>
      <c r="R157" s="1258" t="s">
        <v>60</v>
      </c>
      <c r="S157" s="1260" t="s">
        <v>61</v>
      </c>
      <c r="T157" s="1258" t="s">
        <v>60</v>
      </c>
      <c r="U157" s="1260" t="s">
        <v>61</v>
      </c>
      <c r="V157" s="1262" t="s">
        <v>60</v>
      </c>
      <c r="W157" s="1260" t="s">
        <v>61</v>
      </c>
      <c r="X157" s="1258" t="s">
        <v>60</v>
      </c>
      <c r="Y157" s="1260" t="s">
        <v>61</v>
      </c>
      <c r="Z157" s="1258" t="s">
        <v>60</v>
      </c>
      <c r="AA157" s="1260" t="s">
        <v>61</v>
      </c>
      <c r="AB157" s="1258" t="s">
        <v>60</v>
      </c>
      <c r="AC157" s="1260" t="s">
        <v>61</v>
      </c>
      <c r="AD157" s="1258" t="s">
        <v>60</v>
      </c>
      <c r="AE157" s="1260" t="s">
        <v>61</v>
      </c>
      <c r="AF157" s="1258" t="s">
        <v>60</v>
      </c>
      <c r="AG157" s="1260" t="s">
        <v>61</v>
      </c>
      <c r="AH157" s="399"/>
    </row>
    <row r="158" spans="1:34" ht="16.8" thickBot="1">
      <c r="A158" s="425"/>
      <c r="B158" s="1277"/>
      <c r="C158" s="1280"/>
      <c r="D158" s="1283"/>
      <c r="E158" s="1267"/>
      <c r="F158" s="1267"/>
      <c r="G158" s="429" t="s">
        <v>288</v>
      </c>
      <c r="H158" s="430" t="s">
        <v>289</v>
      </c>
      <c r="I158" s="1286"/>
      <c r="J158" s="1271"/>
      <c r="K158" s="1273"/>
      <c r="L158" s="1259"/>
      <c r="M158" s="1261"/>
      <c r="N158" s="1259"/>
      <c r="O158" s="1261"/>
      <c r="P158" s="1259"/>
      <c r="Q158" s="1261"/>
      <c r="R158" s="1259"/>
      <c r="S158" s="1261"/>
      <c r="T158" s="1259"/>
      <c r="U158" s="1261"/>
      <c r="V158" s="1263"/>
      <c r="W158" s="1261"/>
      <c r="X158" s="1259"/>
      <c r="Y158" s="1261"/>
      <c r="Z158" s="1259"/>
      <c r="AA158" s="1261"/>
      <c r="AB158" s="1259"/>
      <c r="AC158" s="1261"/>
      <c r="AD158" s="1259"/>
      <c r="AE158" s="1261"/>
      <c r="AF158" s="1259"/>
      <c r="AG158" s="1261"/>
      <c r="AH158" s="400"/>
    </row>
    <row r="159" spans="1:34" ht="23.25" customHeight="1" thickTop="1">
      <c r="A159" s="425"/>
      <c r="B159" s="663" t="s">
        <v>290</v>
      </c>
      <c r="C159" s="664"/>
      <c r="D159" s="665"/>
      <c r="E159" s="666"/>
      <c r="F159" s="667"/>
      <c r="G159" s="665"/>
      <c r="H159" s="665"/>
      <c r="I159" s="668"/>
      <c r="J159" s="669"/>
      <c r="K159" s="670"/>
      <c r="L159" s="669"/>
      <c r="M159" s="670"/>
      <c r="N159" s="669"/>
      <c r="O159" s="670"/>
      <c r="P159" s="669"/>
      <c r="Q159" s="670"/>
      <c r="R159" s="669"/>
      <c r="S159" s="670"/>
      <c r="T159" s="669"/>
      <c r="U159" s="670"/>
      <c r="V159" s="671"/>
      <c r="W159" s="670"/>
      <c r="X159" s="669"/>
      <c r="Y159" s="670"/>
      <c r="Z159" s="669"/>
      <c r="AA159" s="670"/>
      <c r="AB159" s="669"/>
      <c r="AC159" s="670"/>
      <c r="AD159" s="669"/>
      <c r="AE159" s="670"/>
      <c r="AF159" s="669"/>
      <c r="AG159" s="670"/>
      <c r="AH159" s="672"/>
    </row>
    <row r="160" spans="1:34" ht="23.25" customHeight="1">
      <c r="A160" s="425"/>
      <c r="B160" s="673" t="s">
        <v>292</v>
      </c>
      <c r="C160" s="650"/>
      <c r="D160" s="460"/>
      <c r="E160" s="497"/>
      <c r="F160" s="435"/>
      <c r="G160" s="453"/>
      <c r="H160" s="453"/>
      <c r="I160" s="454"/>
      <c r="J160" s="457"/>
      <c r="K160" s="452"/>
      <c r="L160" s="457"/>
      <c r="M160" s="452"/>
      <c r="N160" s="457"/>
      <c r="O160" s="452"/>
      <c r="P160" s="457"/>
      <c r="Q160" s="452"/>
      <c r="R160" s="457"/>
      <c r="S160" s="452"/>
      <c r="T160" s="457"/>
      <c r="U160" s="452"/>
      <c r="V160" s="456"/>
      <c r="W160" s="452"/>
      <c r="X160" s="457"/>
      <c r="Y160" s="452"/>
      <c r="Z160" s="457"/>
      <c r="AA160" s="452"/>
      <c r="AB160" s="457"/>
      <c r="AC160" s="452"/>
      <c r="AD160" s="457"/>
      <c r="AE160" s="452"/>
      <c r="AF160" s="457"/>
      <c r="AG160" s="452"/>
      <c r="AH160" s="443"/>
    </row>
    <row r="161" spans="1:34" ht="23.25" customHeight="1">
      <c r="A161" s="425"/>
      <c r="B161" s="673"/>
      <c r="C161" s="650"/>
      <c r="D161" s="460"/>
      <c r="E161" s="497"/>
      <c r="F161" s="435"/>
      <c r="G161" s="453"/>
      <c r="H161" s="453"/>
      <c r="I161" s="454"/>
      <c r="J161" s="457"/>
      <c r="K161" s="452"/>
      <c r="L161" s="413"/>
      <c r="M161" s="452"/>
      <c r="N161" s="413"/>
      <c r="O161" s="452"/>
      <c r="P161" s="413"/>
      <c r="Q161" s="452"/>
      <c r="R161" s="413"/>
      <c r="S161" s="452"/>
      <c r="T161" s="413"/>
      <c r="U161" s="452"/>
      <c r="V161" s="456"/>
      <c r="W161" s="452"/>
      <c r="X161" s="413"/>
      <c r="Y161" s="452"/>
      <c r="Z161" s="413"/>
      <c r="AA161" s="452"/>
      <c r="AB161" s="413"/>
      <c r="AC161" s="452"/>
      <c r="AD161" s="413"/>
      <c r="AE161" s="452"/>
      <c r="AF161" s="413"/>
      <c r="AG161" s="452"/>
      <c r="AH161" s="443"/>
    </row>
    <row r="162" spans="1:34" ht="23.25" customHeight="1">
      <c r="A162" s="425"/>
      <c r="B162" s="651"/>
      <c r="C162" s="650"/>
      <c r="D162" s="460"/>
      <c r="E162" s="497"/>
      <c r="F162" s="435"/>
      <c r="G162" s="453"/>
      <c r="H162" s="453"/>
      <c r="I162" s="454"/>
      <c r="J162" s="457"/>
      <c r="K162" s="412"/>
      <c r="L162" s="413"/>
      <c r="M162" s="452"/>
      <c r="N162" s="413"/>
      <c r="O162" s="412"/>
      <c r="P162" s="413"/>
      <c r="Q162" s="412"/>
      <c r="R162" s="413"/>
      <c r="S162" s="452"/>
      <c r="T162" s="413"/>
      <c r="U162" s="412"/>
      <c r="V162" s="456"/>
      <c r="W162" s="412"/>
      <c r="X162" s="413"/>
      <c r="Y162" s="412"/>
      <c r="Z162" s="413"/>
      <c r="AA162" s="412"/>
      <c r="AB162" s="413"/>
      <c r="AC162" s="412"/>
      <c r="AD162" s="413"/>
      <c r="AE162" s="412"/>
      <c r="AF162" s="413"/>
      <c r="AG162" s="412"/>
      <c r="AH162" s="443"/>
    </row>
    <row r="163" spans="1:34" ht="23.1" customHeight="1">
      <c r="A163" s="425"/>
      <c r="B163" s="674"/>
      <c r="C163" s="675"/>
      <c r="D163" s="676"/>
      <c r="E163" s="677"/>
      <c r="F163" s="678"/>
      <c r="G163" s="676"/>
      <c r="H163" s="676"/>
      <c r="I163" s="679"/>
      <c r="J163" s="680"/>
      <c r="K163" s="681"/>
      <c r="L163" s="680"/>
      <c r="M163" s="681"/>
      <c r="N163" s="680"/>
      <c r="O163" s="681"/>
      <c r="P163" s="680"/>
      <c r="Q163" s="681"/>
      <c r="R163" s="680"/>
      <c r="S163" s="681"/>
      <c r="T163" s="680"/>
      <c r="U163" s="681"/>
      <c r="V163" s="682"/>
      <c r="W163" s="681"/>
      <c r="X163" s="680"/>
      <c r="Y163" s="681"/>
      <c r="Z163" s="680"/>
      <c r="AA163" s="681"/>
      <c r="AB163" s="680"/>
      <c r="AC163" s="681"/>
      <c r="AD163" s="680"/>
      <c r="AE163" s="681"/>
      <c r="AF163" s="680"/>
      <c r="AG163" s="681"/>
      <c r="AH163" s="683"/>
    </row>
    <row r="164" spans="1:34" ht="23.1" customHeight="1">
      <c r="A164" s="425"/>
      <c r="B164" s="684" t="s">
        <v>556</v>
      </c>
      <c r="C164" s="685"/>
      <c r="D164" s="686"/>
      <c r="E164" s="687"/>
      <c r="F164" s="688"/>
      <c r="G164" s="686"/>
      <c r="H164" s="686"/>
      <c r="I164" s="689"/>
      <c r="J164" s="406"/>
      <c r="K164" s="404"/>
      <c r="L164" s="405"/>
      <c r="M164" s="404"/>
      <c r="N164" s="405"/>
      <c r="O164" s="404"/>
      <c r="P164" s="405"/>
      <c r="Q164" s="404"/>
      <c r="R164" s="405"/>
      <c r="S164" s="404"/>
      <c r="T164" s="405"/>
      <c r="U164" s="404"/>
      <c r="V164" s="406"/>
      <c r="W164" s="404"/>
      <c r="X164" s="405"/>
      <c r="Y164" s="404"/>
      <c r="Z164" s="405"/>
      <c r="AA164" s="404"/>
      <c r="AB164" s="405"/>
      <c r="AC164" s="404"/>
      <c r="AD164" s="405"/>
      <c r="AE164" s="404"/>
      <c r="AF164" s="405"/>
      <c r="AG164" s="404"/>
      <c r="AH164" s="438"/>
    </row>
    <row r="165" spans="1:34" ht="23.1" customHeight="1">
      <c r="A165" s="425"/>
      <c r="B165" s="651"/>
      <c r="C165" s="690"/>
      <c r="D165" s="460"/>
      <c r="E165" s="540"/>
      <c r="F165" s="435"/>
      <c r="G165" s="460"/>
      <c r="H165" s="460"/>
      <c r="I165" s="461"/>
      <c r="J165" s="456"/>
      <c r="K165" s="452"/>
      <c r="L165" s="457"/>
      <c r="M165" s="452"/>
      <c r="N165" s="457"/>
      <c r="O165" s="452"/>
      <c r="P165" s="457"/>
      <c r="Q165" s="452"/>
      <c r="R165" s="457"/>
      <c r="S165" s="452"/>
      <c r="T165" s="457"/>
      <c r="U165" s="452"/>
      <c r="V165" s="456"/>
      <c r="W165" s="452"/>
      <c r="X165" s="457"/>
      <c r="Y165" s="452"/>
      <c r="Z165" s="457"/>
      <c r="AA165" s="452"/>
      <c r="AB165" s="457"/>
      <c r="AC165" s="452"/>
      <c r="AD165" s="457"/>
      <c r="AE165" s="452"/>
      <c r="AF165" s="457"/>
      <c r="AG165" s="452"/>
      <c r="AH165" s="443"/>
    </row>
    <row r="166" spans="1:34" ht="23.1" customHeight="1">
      <c r="A166" s="425"/>
      <c r="B166" s="651"/>
      <c r="C166" s="690"/>
      <c r="D166" s="460"/>
      <c r="E166" s="540"/>
      <c r="F166" s="435"/>
      <c r="G166" s="460"/>
      <c r="H166" s="460"/>
      <c r="I166" s="461"/>
      <c r="J166" s="456"/>
      <c r="K166" s="452"/>
      <c r="L166" s="457"/>
      <c r="M166" s="452"/>
      <c r="N166" s="457"/>
      <c r="O166" s="452"/>
      <c r="P166" s="457"/>
      <c r="Q166" s="452"/>
      <c r="R166" s="457"/>
      <c r="S166" s="452"/>
      <c r="T166" s="457"/>
      <c r="U166" s="452"/>
      <c r="V166" s="456"/>
      <c r="W166" s="452"/>
      <c r="X166" s="457"/>
      <c r="Y166" s="452"/>
      <c r="Z166" s="457"/>
      <c r="AA166" s="452"/>
      <c r="AB166" s="457"/>
      <c r="AC166" s="452"/>
      <c r="AD166" s="457"/>
      <c r="AE166" s="452"/>
      <c r="AF166" s="457"/>
      <c r="AG166" s="452"/>
      <c r="AH166" s="443"/>
    </row>
    <row r="167" spans="1:34" ht="23.1" customHeight="1">
      <c r="A167" s="425"/>
      <c r="B167" s="651"/>
      <c r="C167" s="690"/>
      <c r="D167" s="460"/>
      <c r="E167" s="540"/>
      <c r="F167" s="435"/>
      <c r="G167" s="460"/>
      <c r="H167" s="460"/>
      <c r="I167" s="461"/>
      <c r="J167" s="456"/>
      <c r="K167" s="452"/>
      <c r="L167" s="457"/>
      <c r="M167" s="452"/>
      <c r="N167" s="457"/>
      <c r="O167" s="452"/>
      <c r="P167" s="457"/>
      <c r="Q167" s="452"/>
      <c r="R167" s="457"/>
      <c r="S167" s="452"/>
      <c r="T167" s="457"/>
      <c r="U167" s="452"/>
      <c r="V167" s="456"/>
      <c r="W167" s="452"/>
      <c r="X167" s="457"/>
      <c r="Y167" s="452"/>
      <c r="Z167" s="457"/>
      <c r="AA167" s="452"/>
      <c r="AB167" s="457"/>
      <c r="AC167" s="452"/>
      <c r="AD167" s="457"/>
      <c r="AE167" s="452"/>
      <c r="AF167" s="457"/>
      <c r="AG167" s="452"/>
      <c r="AH167" s="443"/>
    </row>
    <row r="168" spans="1:34" ht="23.25" customHeight="1">
      <c r="A168" s="425"/>
      <c r="B168" s="674"/>
      <c r="C168" s="675"/>
      <c r="D168" s="676"/>
      <c r="E168" s="677"/>
      <c r="F168" s="678"/>
      <c r="G168" s="676"/>
      <c r="H168" s="691"/>
      <c r="I168" s="679"/>
      <c r="J168" s="692"/>
      <c r="K168" s="693"/>
      <c r="L168" s="694"/>
      <c r="M168" s="693"/>
      <c r="N168" s="695"/>
      <c r="O168" s="693"/>
      <c r="P168" s="695"/>
      <c r="Q168" s="693"/>
      <c r="R168" s="694"/>
      <c r="S168" s="693"/>
      <c r="T168" s="694"/>
      <c r="U168" s="693"/>
      <c r="V168" s="696"/>
      <c r="W168" s="693"/>
      <c r="X168" s="695"/>
      <c r="Y168" s="693"/>
      <c r="Z168" s="694"/>
      <c r="AA168" s="693"/>
      <c r="AB168" s="694"/>
      <c r="AC168" s="693"/>
      <c r="AD168" s="695"/>
      <c r="AE168" s="693"/>
      <c r="AF168" s="695"/>
      <c r="AG168" s="693"/>
      <c r="AH168" s="697"/>
    </row>
    <row r="169" spans="1:34" ht="22.5" customHeight="1">
      <c r="A169" s="485"/>
      <c r="B169" s="651" t="s">
        <v>41</v>
      </c>
      <c r="C169" s="698"/>
      <c r="D169" s="686"/>
      <c r="E169" s="699"/>
      <c r="F169" s="688"/>
      <c r="G169" s="700"/>
      <c r="H169" s="701"/>
      <c r="I169" s="702"/>
      <c r="J169" s="703"/>
      <c r="K169" s="704"/>
      <c r="L169" s="705"/>
      <c r="M169" s="704"/>
      <c r="N169" s="705"/>
      <c r="O169" s="704"/>
      <c r="P169" s="705"/>
      <c r="Q169" s="704"/>
      <c r="R169" s="705"/>
      <c r="S169" s="704"/>
      <c r="T169" s="705"/>
      <c r="U169" s="704"/>
      <c r="V169" s="706"/>
      <c r="W169" s="704"/>
      <c r="X169" s="705"/>
      <c r="Y169" s="704"/>
      <c r="Z169" s="705"/>
      <c r="AA169" s="704"/>
      <c r="AB169" s="705"/>
      <c r="AC169" s="704"/>
      <c r="AD169" s="705"/>
      <c r="AE169" s="704"/>
      <c r="AF169" s="705"/>
      <c r="AG169" s="704"/>
      <c r="AH169" s="707"/>
    </row>
    <row r="170" spans="1:34" ht="22.5" customHeight="1">
      <c r="A170" s="485"/>
      <c r="B170" s="651"/>
      <c r="C170" s="708"/>
      <c r="D170" s="460"/>
      <c r="E170" s="530"/>
      <c r="F170" s="435"/>
      <c r="G170" s="478"/>
      <c r="H170" s="709"/>
      <c r="I170" s="710"/>
      <c r="J170" s="711"/>
      <c r="K170" s="712"/>
      <c r="L170" s="713"/>
      <c r="M170" s="712"/>
      <c r="N170" s="713"/>
      <c r="O170" s="712"/>
      <c r="P170" s="713"/>
      <c r="Q170" s="712"/>
      <c r="R170" s="713"/>
      <c r="S170" s="712"/>
      <c r="T170" s="713"/>
      <c r="U170" s="712"/>
      <c r="V170" s="714"/>
      <c r="W170" s="712"/>
      <c r="X170" s="713"/>
      <c r="Y170" s="712"/>
      <c r="Z170" s="713"/>
      <c r="AA170" s="712"/>
      <c r="AB170" s="713"/>
      <c r="AC170" s="712"/>
      <c r="AD170" s="713"/>
      <c r="AE170" s="712"/>
      <c r="AF170" s="713"/>
      <c r="AG170" s="712"/>
      <c r="AH170" s="715"/>
    </row>
    <row r="171" spans="1:34" ht="22.5" customHeight="1">
      <c r="A171" s="485"/>
      <c r="B171" s="651"/>
      <c r="C171" s="708"/>
      <c r="D171" s="460"/>
      <c r="E171" s="530"/>
      <c r="F171" s="435"/>
      <c r="G171" s="478"/>
      <c r="H171" s="709"/>
      <c r="I171" s="710"/>
      <c r="J171" s="711"/>
      <c r="K171" s="712"/>
      <c r="L171" s="713"/>
      <c r="M171" s="712"/>
      <c r="N171" s="713"/>
      <c r="O171" s="712"/>
      <c r="P171" s="713"/>
      <c r="Q171" s="712"/>
      <c r="R171" s="713"/>
      <c r="S171" s="712"/>
      <c r="T171" s="713"/>
      <c r="U171" s="712"/>
      <c r="V171" s="714"/>
      <c r="W171" s="712"/>
      <c r="X171" s="713"/>
      <c r="Y171" s="712"/>
      <c r="Z171" s="713"/>
      <c r="AA171" s="712"/>
      <c r="AB171" s="713"/>
      <c r="AC171" s="712"/>
      <c r="AD171" s="713"/>
      <c r="AE171" s="712"/>
      <c r="AF171" s="713"/>
      <c r="AG171" s="712"/>
      <c r="AH171" s="715"/>
    </row>
    <row r="172" spans="1:34" ht="22.5" customHeight="1">
      <c r="A172" s="485"/>
      <c r="B172" s="651"/>
      <c r="C172" s="708"/>
      <c r="D172" s="460"/>
      <c r="E172" s="530"/>
      <c r="F172" s="435"/>
      <c r="G172" s="478"/>
      <c r="H172" s="709"/>
      <c r="I172" s="710"/>
      <c r="J172" s="711"/>
      <c r="K172" s="712"/>
      <c r="L172" s="713"/>
      <c r="M172" s="712"/>
      <c r="N172" s="713"/>
      <c r="O172" s="712"/>
      <c r="P172" s="713"/>
      <c r="Q172" s="712"/>
      <c r="R172" s="713"/>
      <c r="S172" s="712"/>
      <c r="T172" s="713"/>
      <c r="U172" s="712"/>
      <c r="V172" s="714"/>
      <c r="W172" s="712"/>
      <c r="X172" s="713"/>
      <c r="Y172" s="712"/>
      <c r="Z172" s="713"/>
      <c r="AA172" s="712"/>
      <c r="AB172" s="713"/>
      <c r="AC172" s="712"/>
      <c r="AD172" s="713"/>
      <c r="AE172" s="712"/>
      <c r="AF172" s="713"/>
      <c r="AG172" s="712"/>
      <c r="AH172" s="715"/>
    </row>
    <row r="173" spans="1:34" ht="22.35" customHeight="1">
      <c r="A173" s="485"/>
      <c r="B173" s="716"/>
      <c r="C173" s="717"/>
      <c r="D173" s="676"/>
      <c r="E173" s="718"/>
      <c r="F173" s="678"/>
      <c r="G173" s="719"/>
      <c r="H173" s="720"/>
      <c r="I173" s="721"/>
      <c r="J173" s="722"/>
      <c r="K173" s="723"/>
      <c r="L173" s="724"/>
      <c r="M173" s="723"/>
      <c r="N173" s="724"/>
      <c r="O173" s="723"/>
      <c r="P173" s="724"/>
      <c r="Q173" s="723"/>
      <c r="R173" s="724"/>
      <c r="S173" s="723"/>
      <c r="T173" s="724"/>
      <c r="U173" s="723"/>
      <c r="V173" s="725"/>
      <c r="W173" s="723"/>
      <c r="X173" s="724"/>
      <c r="Y173" s="723"/>
      <c r="Z173" s="724"/>
      <c r="AA173" s="723"/>
      <c r="AB173" s="724"/>
      <c r="AC173" s="723"/>
      <c r="AD173" s="724"/>
      <c r="AE173" s="723"/>
      <c r="AF173" s="724"/>
      <c r="AG173" s="723"/>
      <c r="AH173" s="726"/>
    </row>
    <row r="174" spans="1:34" ht="23.25" customHeight="1">
      <c r="A174" s="425"/>
      <c r="B174" s="651" t="s">
        <v>22</v>
      </c>
      <c r="C174" s="650"/>
      <c r="D174" s="453"/>
      <c r="E174" s="497"/>
      <c r="F174" s="473"/>
      <c r="G174" s="453"/>
      <c r="H174" s="453"/>
      <c r="I174" s="454"/>
      <c r="J174" s="727"/>
      <c r="K174" s="412"/>
      <c r="L174" s="728"/>
      <c r="M174" s="412"/>
      <c r="N174" s="413"/>
      <c r="O174" s="412"/>
      <c r="P174" s="728"/>
      <c r="Q174" s="412"/>
      <c r="R174" s="728"/>
      <c r="S174" s="412"/>
      <c r="T174" s="728"/>
      <c r="U174" s="412"/>
      <c r="V174" s="729"/>
      <c r="W174" s="412"/>
      <c r="X174" s="728"/>
      <c r="Y174" s="412"/>
      <c r="Z174" s="413"/>
      <c r="AA174" s="412"/>
      <c r="AB174" s="728"/>
      <c r="AC174" s="412"/>
      <c r="AD174" s="728"/>
      <c r="AE174" s="412"/>
      <c r="AF174" s="728"/>
      <c r="AG174" s="412"/>
      <c r="AH174" s="475"/>
    </row>
    <row r="175" spans="1:34" ht="23.25" customHeight="1">
      <c r="A175" s="425"/>
      <c r="B175" s="651"/>
      <c r="C175" s="650"/>
      <c r="D175" s="460"/>
      <c r="E175" s="497"/>
      <c r="F175" s="435"/>
      <c r="G175" s="453"/>
      <c r="H175" s="453"/>
      <c r="I175" s="454"/>
      <c r="J175" s="413"/>
      <c r="K175" s="412"/>
      <c r="L175" s="413"/>
      <c r="M175" s="452"/>
      <c r="N175" s="728"/>
      <c r="O175" s="412"/>
      <c r="P175" s="413"/>
      <c r="Q175" s="412"/>
      <c r="R175" s="413"/>
      <c r="S175" s="412"/>
      <c r="T175" s="728"/>
      <c r="U175" s="412"/>
      <c r="V175" s="414"/>
      <c r="W175" s="412"/>
      <c r="X175" s="413"/>
      <c r="Y175" s="412"/>
      <c r="Z175" s="413"/>
      <c r="AA175" s="412"/>
      <c r="AB175" s="728"/>
      <c r="AC175" s="412"/>
      <c r="AD175" s="413"/>
      <c r="AE175" s="412"/>
      <c r="AF175" s="413"/>
      <c r="AG175" s="412"/>
      <c r="AH175" s="443"/>
    </row>
    <row r="176" spans="1:34" ht="23.25" customHeight="1">
      <c r="A176" s="425"/>
      <c r="B176" s="651"/>
      <c r="C176" s="650"/>
      <c r="D176" s="460"/>
      <c r="E176" s="497"/>
      <c r="F176" s="435"/>
      <c r="G176" s="453"/>
      <c r="H176" s="453"/>
      <c r="I176" s="454"/>
      <c r="J176" s="414"/>
      <c r="K176" s="412"/>
      <c r="L176" s="413"/>
      <c r="M176" s="452"/>
      <c r="N176" s="728"/>
      <c r="O176" s="412"/>
      <c r="P176" s="413"/>
      <c r="Q176" s="412"/>
      <c r="R176" s="413"/>
      <c r="S176" s="412"/>
      <c r="T176" s="728"/>
      <c r="U176" s="412"/>
      <c r="V176" s="414"/>
      <c r="W176" s="412"/>
      <c r="X176" s="413"/>
      <c r="Y176" s="412"/>
      <c r="Z176" s="413"/>
      <c r="AA176" s="412"/>
      <c r="AB176" s="728"/>
      <c r="AC176" s="412"/>
      <c r="AD176" s="413"/>
      <c r="AE176" s="412"/>
      <c r="AF176" s="413"/>
      <c r="AG176" s="412"/>
      <c r="AH176" s="443"/>
    </row>
    <row r="177" spans="1:34" ht="23.25" customHeight="1">
      <c r="A177" s="425"/>
      <c r="B177" s="651"/>
      <c r="C177" s="650"/>
      <c r="D177" s="460"/>
      <c r="E177" s="497"/>
      <c r="F177" s="435"/>
      <c r="G177" s="453"/>
      <c r="H177" s="453"/>
      <c r="I177" s="454"/>
      <c r="J177" s="414"/>
      <c r="K177" s="412"/>
      <c r="L177" s="413"/>
      <c r="M177" s="452"/>
      <c r="N177" s="728"/>
      <c r="O177" s="412"/>
      <c r="P177" s="413"/>
      <c r="Q177" s="412"/>
      <c r="R177" s="413"/>
      <c r="S177" s="412"/>
      <c r="T177" s="728"/>
      <c r="U177" s="412"/>
      <c r="V177" s="414"/>
      <c r="W177" s="412"/>
      <c r="X177" s="413"/>
      <c r="Y177" s="412"/>
      <c r="Z177" s="413"/>
      <c r="AA177" s="412"/>
      <c r="AB177" s="728"/>
      <c r="AC177" s="412"/>
      <c r="AD177" s="413"/>
      <c r="AE177" s="412"/>
      <c r="AF177" s="413"/>
      <c r="AG177" s="412"/>
      <c r="AH177" s="443"/>
    </row>
    <row r="178" spans="1:34" ht="23.25" customHeight="1">
      <c r="A178" s="425"/>
      <c r="B178" s="674"/>
      <c r="C178" s="675"/>
      <c r="D178" s="676"/>
      <c r="E178" s="730"/>
      <c r="F178" s="678"/>
      <c r="G178" s="731"/>
      <c r="H178" s="676"/>
      <c r="I178" s="679"/>
      <c r="J178" s="732"/>
      <c r="K178" s="733"/>
      <c r="L178" s="732"/>
      <c r="M178" s="733"/>
      <c r="N178" s="732"/>
      <c r="O178" s="733"/>
      <c r="P178" s="732"/>
      <c r="Q178" s="733"/>
      <c r="R178" s="732"/>
      <c r="S178" s="733"/>
      <c r="T178" s="732"/>
      <c r="U178" s="733"/>
      <c r="V178" s="734"/>
      <c r="W178" s="733"/>
      <c r="X178" s="732"/>
      <c r="Y178" s="733"/>
      <c r="Z178" s="732"/>
      <c r="AA178" s="733"/>
      <c r="AB178" s="732"/>
      <c r="AC178" s="733"/>
      <c r="AD178" s="732"/>
      <c r="AE178" s="733"/>
      <c r="AF178" s="732"/>
      <c r="AG178" s="733"/>
      <c r="AH178" s="683"/>
    </row>
    <row r="179" spans="1:34" ht="23.25" customHeight="1">
      <c r="A179" s="425"/>
      <c r="B179" s="651" t="s">
        <v>557</v>
      </c>
      <c r="C179" s="650"/>
      <c r="D179" s="453"/>
      <c r="E179" s="497"/>
      <c r="F179" s="473"/>
      <c r="G179" s="453"/>
      <c r="H179" s="453"/>
      <c r="I179" s="454"/>
      <c r="J179" s="729"/>
      <c r="K179" s="412"/>
      <c r="L179" s="728"/>
      <c r="M179" s="412"/>
      <c r="N179" s="413"/>
      <c r="O179" s="412"/>
      <c r="P179" s="728"/>
      <c r="Q179" s="412"/>
      <c r="R179" s="728"/>
      <c r="S179" s="412"/>
      <c r="T179" s="728"/>
      <c r="U179" s="412"/>
      <c r="V179" s="414"/>
      <c r="W179" s="412"/>
      <c r="X179" s="728"/>
      <c r="Y179" s="412"/>
      <c r="Z179" s="728"/>
      <c r="AA179" s="412"/>
      <c r="AB179" s="728"/>
      <c r="AC179" s="412"/>
      <c r="AD179" s="413"/>
      <c r="AE179" s="412"/>
      <c r="AF179" s="728"/>
      <c r="AG179" s="412"/>
      <c r="AH179" s="475"/>
    </row>
    <row r="180" spans="1:34" ht="23.25" customHeight="1">
      <c r="A180" s="425"/>
      <c r="B180" s="651"/>
      <c r="C180" s="650"/>
      <c r="D180" s="460"/>
      <c r="E180" s="497"/>
      <c r="F180" s="435"/>
      <c r="G180" s="453"/>
      <c r="H180" s="453"/>
      <c r="I180" s="461"/>
      <c r="J180" s="727"/>
      <c r="K180" s="412"/>
      <c r="L180" s="413"/>
      <c r="M180" s="412"/>
      <c r="N180" s="413"/>
      <c r="O180" s="412"/>
      <c r="P180" s="728"/>
      <c r="Q180" s="412"/>
      <c r="R180" s="728"/>
      <c r="S180" s="412"/>
      <c r="T180" s="728"/>
      <c r="U180" s="412"/>
      <c r="V180" s="729"/>
      <c r="W180" s="412"/>
      <c r="X180" s="413"/>
      <c r="Y180" s="412"/>
      <c r="Z180" s="728"/>
      <c r="AA180" s="412"/>
      <c r="AB180" s="728"/>
      <c r="AC180" s="412"/>
      <c r="AD180" s="728"/>
      <c r="AE180" s="412"/>
      <c r="AF180" s="728"/>
      <c r="AG180" s="412"/>
      <c r="AH180" s="443"/>
    </row>
    <row r="181" spans="1:34" ht="23.25" customHeight="1">
      <c r="A181" s="425"/>
      <c r="B181" s="651"/>
      <c r="C181" s="650"/>
      <c r="D181" s="460"/>
      <c r="E181" s="497"/>
      <c r="F181" s="435"/>
      <c r="G181" s="453"/>
      <c r="H181" s="453"/>
      <c r="I181" s="461"/>
      <c r="J181" s="727"/>
      <c r="K181" s="412"/>
      <c r="L181" s="413"/>
      <c r="M181" s="412"/>
      <c r="N181" s="413"/>
      <c r="O181" s="412"/>
      <c r="P181" s="728"/>
      <c r="Q181" s="412"/>
      <c r="R181" s="728"/>
      <c r="S181" s="412"/>
      <c r="T181" s="728"/>
      <c r="U181" s="412"/>
      <c r="V181" s="729"/>
      <c r="W181" s="412"/>
      <c r="X181" s="413"/>
      <c r="Y181" s="412"/>
      <c r="Z181" s="728"/>
      <c r="AA181" s="412"/>
      <c r="AB181" s="728"/>
      <c r="AC181" s="412"/>
      <c r="AD181" s="728"/>
      <c r="AE181" s="412"/>
      <c r="AF181" s="728"/>
      <c r="AG181" s="412"/>
      <c r="AH181" s="443"/>
    </row>
    <row r="182" spans="1:34" ht="23.25" customHeight="1">
      <c r="A182" s="425"/>
      <c r="B182" s="651"/>
      <c r="C182" s="690"/>
      <c r="D182" s="460"/>
      <c r="E182" s="497"/>
      <c r="F182" s="435"/>
      <c r="G182" s="453"/>
      <c r="H182" s="460"/>
      <c r="I182" s="461"/>
      <c r="J182" s="735"/>
      <c r="K182" s="452"/>
      <c r="L182" s="736"/>
      <c r="M182" s="452"/>
      <c r="N182" s="736"/>
      <c r="O182" s="452"/>
      <c r="P182" s="736"/>
      <c r="Q182" s="452"/>
      <c r="R182" s="736"/>
      <c r="S182" s="452"/>
      <c r="T182" s="413"/>
      <c r="U182" s="452"/>
      <c r="V182" s="737"/>
      <c r="W182" s="452"/>
      <c r="X182" s="736"/>
      <c r="Y182" s="452"/>
      <c r="Z182" s="736"/>
      <c r="AA182" s="452"/>
      <c r="AB182" s="736"/>
      <c r="AC182" s="452"/>
      <c r="AD182" s="736"/>
      <c r="AE182" s="452"/>
      <c r="AF182" s="413"/>
      <c r="AG182" s="452"/>
      <c r="AH182" s="443"/>
    </row>
    <row r="183" spans="1:34" ht="23.25" customHeight="1">
      <c r="A183" s="425"/>
      <c r="B183" s="674"/>
      <c r="C183" s="738"/>
      <c r="D183" s="676"/>
      <c r="E183" s="730"/>
      <c r="F183" s="678"/>
      <c r="G183" s="731"/>
      <c r="H183" s="731"/>
      <c r="I183" s="739"/>
      <c r="J183" s="740"/>
      <c r="K183" s="681"/>
      <c r="L183" s="741"/>
      <c r="M183" s="681"/>
      <c r="N183" s="741"/>
      <c r="O183" s="681"/>
      <c r="P183" s="741"/>
      <c r="Q183" s="681"/>
      <c r="R183" s="741"/>
      <c r="S183" s="681"/>
      <c r="T183" s="680"/>
      <c r="U183" s="681"/>
      <c r="V183" s="742"/>
      <c r="W183" s="681"/>
      <c r="X183" s="741"/>
      <c r="Y183" s="681"/>
      <c r="Z183" s="741"/>
      <c r="AA183" s="681"/>
      <c r="AB183" s="741"/>
      <c r="AC183" s="681"/>
      <c r="AD183" s="741"/>
      <c r="AE183" s="681"/>
      <c r="AF183" s="743"/>
      <c r="AG183" s="681"/>
      <c r="AH183" s="744"/>
    </row>
    <row r="184" spans="1:34" ht="22.5" customHeight="1">
      <c r="A184" s="485"/>
      <c r="B184" s="651" t="s">
        <v>23</v>
      </c>
      <c r="C184" s="745"/>
      <c r="D184" s="460"/>
      <c r="E184" s="501"/>
      <c r="F184" s="435"/>
      <c r="G184" s="501"/>
      <c r="H184" s="501"/>
      <c r="I184" s="517"/>
      <c r="J184" s="746"/>
      <c r="K184" s="747"/>
      <c r="L184" s="748"/>
      <c r="M184" s="747"/>
      <c r="N184" s="748"/>
      <c r="O184" s="747"/>
      <c r="P184" s="748"/>
      <c r="Q184" s="747"/>
      <c r="R184" s="748"/>
      <c r="S184" s="747"/>
      <c r="T184" s="748"/>
      <c r="U184" s="749"/>
      <c r="V184" s="524"/>
      <c r="W184" s="512"/>
      <c r="X184" s="748"/>
      <c r="Y184" s="512"/>
      <c r="Z184" s="748"/>
      <c r="AA184" s="512"/>
      <c r="AB184" s="748"/>
      <c r="AC184" s="747"/>
      <c r="AD184" s="748"/>
      <c r="AE184" s="512"/>
      <c r="AF184" s="748"/>
      <c r="AG184" s="512"/>
      <c r="AH184" s="514"/>
    </row>
    <row r="185" spans="1:34" ht="23.25" customHeight="1">
      <c r="A185" s="425"/>
      <c r="B185" s="651"/>
      <c r="C185" s="690"/>
      <c r="D185" s="460"/>
      <c r="E185" s="540"/>
      <c r="F185" s="435"/>
      <c r="G185" s="460"/>
      <c r="H185" s="460"/>
      <c r="I185" s="461"/>
      <c r="J185" s="457"/>
      <c r="K185" s="747"/>
      <c r="L185" s="457"/>
      <c r="M185" s="747"/>
      <c r="N185" s="457"/>
      <c r="O185" s="747"/>
      <c r="P185" s="457"/>
      <c r="Q185" s="747"/>
      <c r="R185" s="457"/>
      <c r="S185" s="747"/>
      <c r="T185" s="457"/>
      <c r="U185" s="452"/>
      <c r="V185" s="456"/>
      <c r="W185" s="452"/>
      <c r="X185" s="457"/>
      <c r="Y185" s="452"/>
      <c r="Z185" s="457"/>
      <c r="AA185" s="452"/>
      <c r="AB185" s="457"/>
      <c r="AC185" s="452"/>
      <c r="AD185" s="457"/>
      <c r="AE185" s="452"/>
      <c r="AF185" s="457"/>
      <c r="AG185" s="452"/>
      <c r="AH185" s="443"/>
    </row>
    <row r="186" spans="1:34" ht="23.25" customHeight="1">
      <c r="A186" s="425"/>
      <c r="B186" s="651"/>
      <c r="C186" s="690"/>
      <c r="D186" s="460"/>
      <c r="E186" s="540"/>
      <c r="F186" s="435"/>
      <c r="G186" s="460"/>
      <c r="H186" s="460"/>
      <c r="I186" s="461"/>
      <c r="J186" s="735"/>
      <c r="K186" s="452"/>
      <c r="L186" s="736"/>
      <c r="M186" s="452"/>
      <c r="N186" s="736"/>
      <c r="O186" s="452"/>
      <c r="P186" s="457"/>
      <c r="Q186" s="750"/>
      <c r="R186" s="736"/>
      <c r="S186" s="452"/>
      <c r="T186" s="513"/>
      <c r="U186" s="452"/>
      <c r="V186" s="456"/>
      <c r="W186" s="452"/>
      <c r="X186" s="457"/>
      <c r="Y186" s="452"/>
      <c r="Z186" s="457"/>
      <c r="AA186" s="452"/>
      <c r="AB186" s="736"/>
      <c r="AC186" s="452"/>
      <c r="AD186" s="736"/>
      <c r="AE186" s="452"/>
      <c r="AF186" s="736"/>
      <c r="AG186" s="452"/>
      <c r="AH186" s="443"/>
    </row>
    <row r="187" spans="1:34" ht="23.25" customHeight="1">
      <c r="A187" s="570"/>
      <c r="B187" s="651"/>
      <c r="C187" s="690"/>
      <c r="D187" s="460"/>
      <c r="E187" s="540"/>
      <c r="F187" s="435"/>
      <c r="G187" s="460"/>
      <c r="H187" s="460"/>
      <c r="I187" s="461"/>
      <c r="J187" s="457"/>
      <c r="K187" s="452"/>
      <c r="L187" s="457"/>
      <c r="M187" s="452"/>
      <c r="N187" s="457"/>
      <c r="O187" s="452"/>
      <c r="P187" s="457"/>
      <c r="Q187" s="452"/>
      <c r="R187" s="457"/>
      <c r="S187" s="452"/>
      <c r="T187" s="457"/>
      <c r="U187" s="452"/>
      <c r="V187" s="456"/>
      <c r="W187" s="452"/>
      <c r="X187" s="457"/>
      <c r="Y187" s="452"/>
      <c r="Z187" s="457"/>
      <c r="AA187" s="452"/>
      <c r="AB187" s="457"/>
      <c r="AC187" s="452"/>
      <c r="AD187" s="457"/>
      <c r="AE187" s="452"/>
      <c r="AF187" s="457"/>
      <c r="AG187" s="452"/>
      <c r="AH187" s="443"/>
    </row>
    <row r="188" spans="1:34" ht="23.25" customHeight="1" thickBot="1">
      <c r="A188" s="570"/>
      <c r="B188" s="658"/>
      <c r="C188" s="751"/>
      <c r="D188" s="470"/>
      <c r="E188" s="660"/>
      <c r="F188" s="752"/>
      <c r="G188" s="470"/>
      <c r="H188" s="753"/>
      <c r="I188" s="754"/>
      <c r="J188" s="755"/>
      <c r="K188" s="756"/>
      <c r="L188" s="755"/>
      <c r="M188" s="756"/>
      <c r="N188" s="755"/>
      <c r="O188" s="756"/>
      <c r="P188" s="755"/>
      <c r="Q188" s="756"/>
      <c r="R188" s="755"/>
      <c r="S188" s="756"/>
      <c r="T188" s="755"/>
      <c r="U188" s="756"/>
      <c r="V188" s="757"/>
      <c r="W188" s="756"/>
      <c r="X188" s="755"/>
      <c r="Y188" s="756"/>
      <c r="Z188" s="755"/>
      <c r="AA188" s="756"/>
      <c r="AB188" s="755"/>
      <c r="AC188" s="756"/>
      <c r="AD188" s="755"/>
      <c r="AE188" s="756"/>
      <c r="AF188" s="755"/>
      <c r="AG188" s="756"/>
      <c r="AH188" s="758"/>
    </row>
    <row r="189" spans="1:34" ht="19.2">
      <c r="B189" s="760"/>
    </row>
  </sheetData>
  <sheetProtection formatCells="0" formatColumns="0" formatRows="0" insertColumns="0" insertRows="0" deleteColumns="0" deleteRows="0" selectLockedCells="1" autoFilter="0"/>
  <mergeCells count="146">
    <mergeCell ref="B5:I5"/>
    <mergeCell ref="J5:T5"/>
    <mergeCell ref="U5:W5"/>
    <mergeCell ref="F6:I6"/>
    <mergeCell ref="J6:L6"/>
    <mergeCell ref="M6:P6"/>
    <mergeCell ref="Q6:T6"/>
    <mergeCell ref="B17:B19"/>
    <mergeCell ref="C17:C19"/>
    <mergeCell ref="D17:E19"/>
    <mergeCell ref="F17:I19"/>
    <mergeCell ref="J17:K17"/>
    <mergeCell ref="L17:M17"/>
    <mergeCell ref="B11:G11"/>
    <mergeCell ref="I11:O11"/>
    <mergeCell ref="J12:K12"/>
    <mergeCell ref="L12:M12"/>
    <mergeCell ref="N12:O12"/>
    <mergeCell ref="J13:K13"/>
    <mergeCell ref="L13:M13"/>
    <mergeCell ref="N13:O13"/>
    <mergeCell ref="AF17:AG17"/>
    <mergeCell ref="J18:J19"/>
    <mergeCell ref="K18:K19"/>
    <mergeCell ref="L18:L19"/>
    <mergeCell ref="M18:M19"/>
    <mergeCell ref="N18:N19"/>
    <mergeCell ref="O18:O19"/>
    <mergeCell ref="N17:O17"/>
    <mergeCell ref="P17:Q17"/>
    <mergeCell ref="R17:S17"/>
    <mergeCell ref="T17:U17"/>
    <mergeCell ref="V17:W17"/>
    <mergeCell ref="X17:Y17"/>
    <mergeCell ref="P18:P19"/>
    <mergeCell ref="Q18:Q19"/>
    <mergeCell ref="R18:R19"/>
    <mergeCell ref="S18:S19"/>
    <mergeCell ref="T18:T19"/>
    <mergeCell ref="U18:U19"/>
    <mergeCell ref="Z17:AA17"/>
    <mergeCell ref="AB17:AC17"/>
    <mergeCell ref="AD17:AE17"/>
    <mergeCell ref="AB18:AB19"/>
    <mergeCell ref="AC18:AC19"/>
    <mergeCell ref="AD18:AD19"/>
    <mergeCell ref="AE18:AE19"/>
    <mergeCell ref="AF18:AF19"/>
    <mergeCell ref="AG18:AG19"/>
    <mergeCell ref="V18:V19"/>
    <mergeCell ref="W18:W19"/>
    <mergeCell ref="X18:X19"/>
    <mergeCell ref="Y18:Y19"/>
    <mergeCell ref="Z18:Z19"/>
    <mergeCell ref="AA18:AA19"/>
    <mergeCell ref="D20:E20"/>
    <mergeCell ref="F20:I20"/>
    <mergeCell ref="D21:E21"/>
    <mergeCell ref="D22:E22"/>
    <mergeCell ref="F22:I22"/>
    <mergeCell ref="B25:B27"/>
    <mergeCell ref="C25:C27"/>
    <mergeCell ref="D25:D27"/>
    <mergeCell ref="I25:I27"/>
    <mergeCell ref="E26:E27"/>
    <mergeCell ref="V25:W25"/>
    <mergeCell ref="X25:Y25"/>
    <mergeCell ref="Z25:AA25"/>
    <mergeCell ref="AB25:AC25"/>
    <mergeCell ref="AD25:AE25"/>
    <mergeCell ref="AF25:AG25"/>
    <mergeCell ref="J25:K25"/>
    <mergeCell ref="L25:M25"/>
    <mergeCell ref="N25:O25"/>
    <mergeCell ref="P25:Q25"/>
    <mergeCell ref="R25:S25"/>
    <mergeCell ref="T25:U25"/>
    <mergeCell ref="P26:P27"/>
    <mergeCell ref="Q26:Q27"/>
    <mergeCell ref="R26:R27"/>
    <mergeCell ref="S26:S27"/>
    <mergeCell ref="F26:F27"/>
    <mergeCell ref="G26:H26"/>
    <mergeCell ref="J26:J27"/>
    <mergeCell ref="K26:K27"/>
    <mergeCell ref="L26:L27"/>
    <mergeCell ref="M26:M27"/>
    <mergeCell ref="AF26:AF27"/>
    <mergeCell ref="AG26:AG27"/>
    <mergeCell ref="B156:B158"/>
    <mergeCell ref="C156:C158"/>
    <mergeCell ref="D156:D158"/>
    <mergeCell ref="I156:I158"/>
    <mergeCell ref="J156:K156"/>
    <mergeCell ref="L156:M156"/>
    <mergeCell ref="N156:O156"/>
    <mergeCell ref="P156:Q156"/>
    <mergeCell ref="Z26:Z27"/>
    <mergeCell ref="AA26:AA27"/>
    <mergeCell ref="AB26:AB27"/>
    <mergeCell ref="AC26:AC27"/>
    <mergeCell ref="AD26:AD27"/>
    <mergeCell ref="AE26:AE27"/>
    <mergeCell ref="T26:T27"/>
    <mergeCell ref="U26:U27"/>
    <mergeCell ref="V26:V27"/>
    <mergeCell ref="W26:W27"/>
    <mergeCell ref="X26:X27"/>
    <mergeCell ref="Y26:Y27"/>
    <mergeCell ref="N26:N27"/>
    <mergeCell ref="O26:O27"/>
    <mergeCell ref="O157:O158"/>
    <mergeCell ref="P157:P158"/>
    <mergeCell ref="Q157:Q158"/>
    <mergeCell ref="R157:R158"/>
    <mergeCell ref="S157:S158"/>
    <mergeCell ref="T157:T158"/>
    <mergeCell ref="AD156:AE156"/>
    <mergeCell ref="AF156:AG156"/>
    <mergeCell ref="E157:E158"/>
    <mergeCell ref="F157:F158"/>
    <mergeCell ref="G157:H157"/>
    <mergeCell ref="J157:J158"/>
    <mergeCell ref="K157:K158"/>
    <mergeCell ref="L157:L158"/>
    <mergeCell ref="M157:M158"/>
    <mergeCell ref="N157:N158"/>
    <mergeCell ref="R156:S156"/>
    <mergeCell ref="T156:U156"/>
    <mergeCell ref="V156:W156"/>
    <mergeCell ref="X156:Y156"/>
    <mergeCell ref="Z156:AA156"/>
    <mergeCell ref="AB156:AC156"/>
    <mergeCell ref="AG157:AG158"/>
    <mergeCell ref="AA157:AA158"/>
    <mergeCell ref="AB157:AB158"/>
    <mergeCell ref="AC157:AC158"/>
    <mergeCell ref="AD157:AD158"/>
    <mergeCell ref="AE157:AE158"/>
    <mergeCell ref="AF157:AF158"/>
    <mergeCell ref="U157:U158"/>
    <mergeCell ref="V157:V158"/>
    <mergeCell ref="W157:W158"/>
    <mergeCell ref="X157:X158"/>
    <mergeCell ref="Y157:Y158"/>
    <mergeCell ref="Z157:Z158"/>
  </mergeCells>
  <phoneticPr fontId="8"/>
  <conditionalFormatting sqref="F28:F146">
    <cfRule type="expression" dxfId="214" priority="214">
      <formula>$F28="▼ 選択"</formula>
    </cfRule>
  </conditionalFormatting>
  <conditionalFormatting sqref="C28:G31 C45:AH45 J43:AH44 C43:H44 C47:AH48 C46:H46 C50:AH58 C49:H49 C61:AH64 C68:AH68 C65:H67 J69:AH70 C69:H70 C73:G73 J73:AH73 C74:AH85 C89:AH93 C86:H86 C87:G88 I87:AH88 C94:G95 C141:AH145 C138:G140 J138:AH140 C146:G146 J146:AH146 C71:AH72 J59:AH60 C59:H60 J86:AH86 C32:AH39 J65:AH67 C96:AH137 J28:AH30 C41:AH42 C40:I40">
    <cfRule type="expression" dxfId="213" priority="210">
      <formula>$F28="無"</formula>
    </cfRule>
  </conditionalFormatting>
  <conditionalFormatting sqref="G28:G146">
    <cfRule type="expression" dxfId="212" priority="215">
      <formula>$G28="▼ 選択"</formula>
    </cfRule>
  </conditionalFormatting>
  <conditionalFormatting sqref="J8:W8">
    <cfRule type="expression" dxfId="211" priority="211">
      <formula>J$8="▼ 選択"</formula>
    </cfRule>
  </conditionalFormatting>
  <conditionalFormatting sqref="D13:H13">
    <cfRule type="expression" dxfId="210" priority="212">
      <formula>D$13="▼ 選択"</formula>
    </cfRule>
  </conditionalFormatting>
  <conditionalFormatting sqref="I13">
    <cfRule type="expression" dxfId="209" priority="213">
      <formula>I$13="▼ 選択"</formula>
    </cfRule>
  </conditionalFormatting>
  <conditionalFormatting sqref="H28:H31">
    <cfRule type="expression" dxfId="208" priority="207">
      <formula>$F28="無"</formula>
    </cfRule>
  </conditionalFormatting>
  <conditionalFormatting sqref="H28:H31">
    <cfRule type="expression" dxfId="207" priority="209">
      <formula>$G28="▼ 選択"</formula>
    </cfRule>
  </conditionalFormatting>
  <conditionalFormatting sqref="H28:H31">
    <cfRule type="expression" dxfId="206" priority="208">
      <formula>$H28="▼ 選択"</formula>
    </cfRule>
  </conditionalFormatting>
  <conditionalFormatting sqref="H44">
    <cfRule type="expression" dxfId="205" priority="206">
      <formula>$G44="▼ 選択"</formula>
    </cfRule>
  </conditionalFormatting>
  <conditionalFormatting sqref="H65">
    <cfRule type="expression" dxfId="204" priority="205">
      <formula>$G65="▼ 選択"</formula>
    </cfRule>
  </conditionalFormatting>
  <conditionalFormatting sqref="H66:H67">
    <cfRule type="expression" dxfId="203" priority="204">
      <formula>$G66="▼ 選択"</formula>
    </cfRule>
  </conditionalFormatting>
  <conditionalFormatting sqref="H69">
    <cfRule type="expression" dxfId="202" priority="203">
      <formula>$G69="▼ 選択"</formula>
    </cfRule>
  </conditionalFormatting>
  <conditionalFormatting sqref="H70">
    <cfRule type="expression" dxfId="201" priority="202">
      <formula>$G70="▼ 選択"</formula>
    </cfRule>
  </conditionalFormatting>
  <conditionalFormatting sqref="H73">
    <cfRule type="expression" dxfId="200" priority="201" stopIfTrue="1">
      <formula>$F73="無"</formula>
    </cfRule>
  </conditionalFormatting>
  <conditionalFormatting sqref="I73">
    <cfRule type="expression" dxfId="199" priority="200" stopIfTrue="1">
      <formula>$F73="無"</formula>
    </cfRule>
  </conditionalFormatting>
  <conditionalFormatting sqref="H84">
    <cfRule type="expression" dxfId="198" priority="199">
      <formula>$G84="▼ 選択"</formula>
    </cfRule>
  </conditionalFormatting>
  <conditionalFormatting sqref="I94">
    <cfRule type="expression" dxfId="197" priority="198" stopIfTrue="1">
      <formula>$F94="無"</formula>
    </cfRule>
  </conditionalFormatting>
  <conditionalFormatting sqref="I94">
    <cfRule type="expression" dxfId="196" priority="197" stopIfTrue="1">
      <formula>$F94="無"</formula>
    </cfRule>
  </conditionalFormatting>
  <conditionalFormatting sqref="I94">
    <cfRule type="expression" dxfId="195" priority="196" stopIfTrue="1">
      <formula>$F94="無"</formula>
    </cfRule>
  </conditionalFormatting>
  <conditionalFormatting sqref="I94">
    <cfRule type="expression" dxfId="194" priority="195" stopIfTrue="1">
      <formula>$F94="無"</formula>
    </cfRule>
  </conditionalFormatting>
  <conditionalFormatting sqref="I94">
    <cfRule type="expression" dxfId="193" priority="194" stopIfTrue="1">
      <formula>$F94="無"</formula>
    </cfRule>
  </conditionalFormatting>
  <conditionalFormatting sqref="I94">
    <cfRule type="expression" dxfId="192" priority="193" stopIfTrue="1">
      <formula>$F94="無"</formula>
    </cfRule>
  </conditionalFormatting>
  <conditionalFormatting sqref="I94">
    <cfRule type="expression" dxfId="191" priority="192" stopIfTrue="1">
      <formula>$F94="無"</formula>
    </cfRule>
  </conditionalFormatting>
  <conditionalFormatting sqref="I94">
    <cfRule type="expression" dxfId="190" priority="191" stopIfTrue="1">
      <formula>$F94="無"</formula>
    </cfRule>
  </conditionalFormatting>
  <conditionalFormatting sqref="I94">
    <cfRule type="expression" dxfId="189" priority="190" stopIfTrue="1">
      <formula>$F94="無"</formula>
    </cfRule>
  </conditionalFormatting>
  <conditionalFormatting sqref="I94">
    <cfRule type="expression" dxfId="188" priority="189" stopIfTrue="1">
      <formula>$F94="無"</formula>
    </cfRule>
  </conditionalFormatting>
  <conditionalFormatting sqref="I94">
    <cfRule type="expression" dxfId="187" priority="188" stopIfTrue="1">
      <formula>$F94="無"</formula>
    </cfRule>
  </conditionalFormatting>
  <conditionalFormatting sqref="I94">
    <cfRule type="expression" dxfId="186" priority="187" stopIfTrue="1">
      <formula>$F94="無"</formula>
    </cfRule>
  </conditionalFormatting>
  <conditionalFormatting sqref="I94">
    <cfRule type="expression" dxfId="185" priority="186" stopIfTrue="1">
      <formula>$F94="無"</formula>
    </cfRule>
  </conditionalFormatting>
  <conditionalFormatting sqref="I94">
    <cfRule type="expression" dxfId="184" priority="185" stopIfTrue="1">
      <formula>$F94="無"</formula>
    </cfRule>
  </conditionalFormatting>
  <conditionalFormatting sqref="I94">
    <cfRule type="expression" dxfId="183" priority="184" stopIfTrue="1">
      <formula>$F94="無"</formula>
    </cfRule>
  </conditionalFormatting>
  <conditionalFormatting sqref="I94">
    <cfRule type="expression" dxfId="182" priority="183" stopIfTrue="1">
      <formula>$F94="無"</formula>
    </cfRule>
  </conditionalFormatting>
  <conditionalFormatting sqref="I94">
    <cfRule type="expression" dxfId="181" priority="182" stopIfTrue="1">
      <formula>$F94="無"</formula>
    </cfRule>
  </conditionalFormatting>
  <conditionalFormatting sqref="I94">
    <cfRule type="expression" dxfId="180" priority="181" stopIfTrue="1">
      <formula>$F94="無"</formula>
    </cfRule>
  </conditionalFormatting>
  <conditionalFormatting sqref="I94">
    <cfRule type="expression" dxfId="179" priority="180" stopIfTrue="1">
      <formula>$F94="無"</formula>
    </cfRule>
  </conditionalFormatting>
  <conditionalFormatting sqref="I94">
    <cfRule type="expression" dxfId="178" priority="179" stopIfTrue="1">
      <formula>$F94="無"</formula>
    </cfRule>
  </conditionalFormatting>
  <conditionalFormatting sqref="I94">
    <cfRule type="expression" dxfId="177" priority="178" stopIfTrue="1">
      <formula>$F94="無"</formula>
    </cfRule>
  </conditionalFormatting>
  <conditionalFormatting sqref="I94">
    <cfRule type="expression" dxfId="176" priority="177" stopIfTrue="1">
      <formula>$F94="無"</formula>
    </cfRule>
  </conditionalFormatting>
  <conditionalFormatting sqref="I94">
    <cfRule type="expression" dxfId="175" priority="176" stopIfTrue="1">
      <formula>$F94="無"</formula>
    </cfRule>
  </conditionalFormatting>
  <conditionalFormatting sqref="I94">
    <cfRule type="expression" dxfId="174" priority="175" stopIfTrue="1">
      <formula>$F94="無"</formula>
    </cfRule>
  </conditionalFormatting>
  <conditionalFormatting sqref="I94">
    <cfRule type="expression" dxfId="173" priority="174" stopIfTrue="1">
      <formula>$F94="無"</formula>
    </cfRule>
  </conditionalFormatting>
  <conditionalFormatting sqref="I94">
    <cfRule type="expression" dxfId="172" priority="173" stopIfTrue="1">
      <formula>$F94="無"</formula>
    </cfRule>
  </conditionalFormatting>
  <conditionalFormatting sqref="I94">
    <cfRule type="expression" dxfId="171" priority="172" stopIfTrue="1">
      <formula>$F94="無"</formula>
    </cfRule>
  </conditionalFormatting>
  <conditionalFormatting sqref="I94">
    <cfRule type="expression" dxfId="170" priority="171" stopIfTrue="1">
      <formula>$F94="無"</formula>
    </cfRule>
  </conditionalFormatting>
  <conditionalFormatting sqref="I94">
    <cfRule type="expression" dxfId="169" priority="170" stopIfTrue="1">
      <formula>$F94="無"</formula>
    </cfRule>
  </conditionalFormatting>
  <conditionalFormatting sqref="I94">
    <cfRule type="expression" dxfId="168" priority="169" stopIfTrue="1">
      <formula>$F94="無"</formula>
    </cfRule>
  </conditionalFormatting>
  <conditionalFormatting sqref="H94">
    <cfRule type="expression" dxfId="167" priority="168" stopIfTrue="1">
      <formula>$F94="無"</formula>
    </cfRule>
  </conditionalFormatting>
  <conditionalFormatting sqref="H94">
    <cfRule type="expression" dxfId="166" priority="167" stopIfTrue="1">
      <formula>$F94="無"</formula>
    </cfRule>
  </conditionalFormatting>
  <conditionalFormatting sqref="H94">
    <cfRule type="expression" dxfId="165" priority="166" stopIfTrue="1">
      <formula>$F94="無"</formula>
    </cfRule>
  </conditionalFormatting>
  <conditionalFormatting sqref="H94">
    <cfRule type="expression" dxfId="164" priority="165" stopIfTrue="1">
      <formula>$F94="無"</formula>
    </cfRule>
  </conditionalFormatting>
  <conditionalFormatting sqref="H94">
    <cfRule type="expression" dxfId="163" priority="164" stopIfTrue="1">
      <formula>$F94="無"</formula>
    </cfRule>
  </conditionalFormatting>
  <conditionalFormatting sqref="H94">
    <cfRule type="expression" dxfId="162" priority="163" stopIfTrue="1">
      <formula>$F94="無"</formula>
    </cfRule>
  </conditionalFormatting>
  <conditionalFormatting sqref="H94">
    <cfRule type="expression" dxfId="161" priority="162" stopIfTrue="1">
      <formula>$F94="無"</formula>
    </cfRule>
  </conditionalFormatting>
  <conditionalFormatting sqref="H94">
    <cfRule type="expression" dxfId="160" priority="161" stopIfTrue="1">
      <formula>$F94="無"</formula>
    </cfRule>
  </conditionalFormatting>
  <conditionalFormatting sqref="H94">
    <cfRule type="expression" dxfId="159" priority="160" stopIfTrue="1">
      <formula>$F94="無"</formula>
    </cfRule>
  </conditionalFormatting>
  <conditionalFormatting sqref="H94">
    <cfRule type="expression" dxfId="158" priority="159" stopIfTrue="1">
      <formula>$F94="無"</formula>
    </cfRule>
  </conditionalFormatting>
  <conditionalFormatting sqref="H94">
    <cfRule type="expression" dxfId="157" priority="158" stopIfTrue="1">
      <formula>$F94="無"</formula>
    </cfRule>
  </conditionalFormatting>
  <conditionalFormatting sqref="H94">
    <cfRule type="expression" dxfId="156" priority="157" stopIfTrue="1">
      <formula>$F94="無"</formula>
    </cfRule>
  </conditionalFormatting>
  <conditionalFormatting sqref="H95">
    <cfRule type="expression" dxfId="155" priority="156" stopIfTrue="1">
      <formula>$F95="無"</formula>
    </cfRule>
  </conditionalFormatting>
  <conditionalFormatting sqref="H95">
    <cfRule type="expression" dxfId="154" priority="155" stopIfTrue="1">
      <formula>$F95="無"</formula>
    </cfRule>
  </conditionalFormatting>
  <conditionalFormatting sqref="H95">
    <cfRule type="expression" dxfId="153" priority="154" stopIfTrue="1">
      <formula>$F95="無"</formula>
    </cfRule>
  </conditionalFormatting>
  <conditionalFormatting sqref="H95">
    <cfRule type="expression" dxfId="152" priority="153" stopIfTrue="1">
      <formula>$F95="無"</formula>
    </cfRule>
  </conditionalFormatting>
  <conditionalFormatting sqref="H95">
    <cfRule type="expression" dxfId="151" priority="152" stopIfTrue="1">
      <formula>$F95="無"</formula>
    </cfRule>
  </conditionalFormatting>
  <conditionalFormatting sqref="H95">
    <cfRule type="expression" dxfId="150" priority="151" stopIfTrue="1">
      <formula>$F95="無"</formula>
    </cfRule>
  </conditionalFormatting>
  <conditionalFormatting sqref="H95">
    <cfRule type="expression" dxfId="149" priority="150" stopIfTrue="1">
      <formula>$F95="無"</formula>
    </cfRule>
  </conditionalFormatting>
  <conditionalFormatting sqref="H95">
    <cfRule type="expression" dxfId="148" priority="149" stopIfTrue="1">
      <formula>$F95="無"</formula>
    </cfRule>
  </conditionalFormatting>
  <conditionalFormatting sqref="H95">
    <cfRule type="expression" dxfId="147" priority="148" stopIfTrue="1">
      <formula>$F95="無"</formula>
    </cfRule>
  </conditionalFormatting>
  <conditionalFormatting sqref="H95">
    <cfRule type="expression" dxfId="146" priority="147" stopIfTrue="1">
      <formula>$F95="無"</formula>
    </cfRule>
  </conditionalFormatting>
  <conditionalFormatting sqref="H95">
    <cfRule type="expression" dxfId="145" priority="146" stopIfTrue="1">
      <formula>$F95="無"</formula>
    </cfRule>
  </conditionalFormatting>
  <conditionalFormatting sqref="H95">
    <cfRule type="expression" dxfId="144" priority="145" stopIfTrue="1">
      <formula>$F95="無"</formula>
    </cfRule>
  </conditionalFormatting>
  <conditionalFormatting sqref="H95">
    <cfRule type="expression" dxfId="143" priority="144" stopIfTrue="1">
      <formula>$F95="無"</formula>
    </cfRule>
  </conditionalFormatting>
  <conditionalFormatting sqref="H95">
    <cfRule type="expression" dxfId="142" priority="143" stopIfTrue="1">
      <formula>$F95="無"</formula>
    </cfRule>
  </conditionalFormatting>
  <conditionalFormatting sqref="H95">
    <cfRule type="expression" dxfId="141" priority="142" stopIfTrue="1">
      <formula>$F95="無"</formula>
    </cfRule>
  </conditionalFormatting>
  <conditionalFormatting sqref="H95">
    <cfRule type="expression" dxfId="140" priority="141" stopIfTrue="1">
      <formula>$F95="無"</formula>
    </cfRule>
  </conditionalFormatting>
  <conditionalFormatting sqref="H95">
    <cfRule type="expression" dxfId="139" priority="140" stopIfTrue="1">
      <formula>$F95="無"</formula>
    </cfRule>
  </conditionalFormatting>
  <conditionalFormatting sqref="H95">
    <cfRule type="expression" dxfId="138" priority="139" stopIfTrue="1">
      <formula>$F95="無"</formula>
    </cfRule>
  </conditionalFormatting>
  <conditionalFormatting sqref="H95">
    <cfRule type="expression" dxfId="137" priority="138" stopIfTrue="1">
      <formula>$F95="無"</formula>
    </cfRule>
  </conditionalFormatting>
  <conditionalFormatting sqref="H95">
    <cfRule type="expression" dxfId="136" priority="137" stopIfTrue="1">
      <formula>$F95="無"</formula>
    </cfRule>
  </conditionalFormatting>
  <conditionalFormatting sqref="H95">
    <cfRule type="expression" dxfId="135" priority="136" stopIfTrue="1">
      <formula>$F95="無"</formula>
    </cfRule>
  </conditionalFormatting>
  <conditionalFormatting sqref="H95">
    <cfRule type="expression" dxfId="134" priority="135" stopIfTrue="1">
      <formula>$F95="無"</formula>
    </cfRule>
  </conditionalFormatting>
  <conditionalFormatting sqref="H95">
    <cfRule type="expression" dxfId="133" priority="134" stopIfTrue="1">
      <formula>$F95="無"</formula>
    </cfRule>
  </conditionalFormatting>
  <conditionalFormatting sqref="H95">
    <cfRule type="expression" dxfId="132" priority="133" stopIfTrue="1">
      <formula>$F95="無"</formula>
    </cfRule>
  </conditionalFormatting>
  <conditionalFormatting sqref="H95">
    <cfRule type="expression" dxfId="131" priority="132" stopIfTrue="1">
      <formula>$F95="無"</formula>
    </cfRule>
  </conditionalFormatting>
  <conditionalFormatting sqref="H95">
    <cfRule type="expression" dxfId="130" priority="131" stopIfTrue="1">
      <formula>$F95="無"</formula>
    </cfRule>
  </conditionalFormatting>
  <conditionalFormatting sqref="H95">
    <cfRule type="expression" dxfId="129" priority="130" stopIfTrue="1">
      <formula>$F95="無"</formula>
    </cfRule>
  </conditionalFormatting>
  <conditionalFormatting sqref="H95">
    <cfRule type="expression" dxfId="128" priority="129" stopIfTrue="1">
      <formula>$F95="無"</formula>
    </cfRule>
  </conditionalFormatting>
  <conditionalFormatting sqref="H95">
    <cfRule type="expression" dxfId="127" priority="128" stopIfTrue="1">
      <formula>$F95="無"</formula>
    </cfRule>
  </conditionalFormatting>
  <conditionalFormatting sqref="H95">
    <cfRule type="expression" dxfId="126" priority="127" stopIfTrue="1">
      <formula>$F95="無"</formula>
    </cfRule>
  </conditionalFormatting>
  <conditionalFormatting sqref="I95">
    <cfRule type="expression" dxfId="125" priority="126" stopIfTrue="1">
      <formula>$F95="無"</formula>
    </cfRule>
  </conditionalFormatting>
  <conditionalFormatting sqref="I95">
    <cfRule type="expression" dxfId="124" priority="125" stopIfTrue="1">
      <formula>$F95="無"</formula>
    </cfRule>
  </conditionalFormatting>
  <conditionalFormatting sqref="I95">
    <cfRule type="expression" dxfId="123" priority="124" stopIfTrue="1">
      <formula>$F95="無"</formula>
    </cfRule>
  </conditionalFormatting>
  <conditionalFormatting sqref="I95">
    <cfRule type="expression" dxfId="122" priority="123" stopIfTrue="1">
      <formula>$F95="無"</formula>
    </cfRule>
  </conditionalFormatting>
  <conditionalFormatting sqref="I95">
    <cfRule type="expression" dxfId="121" priority="122" stopIfTrue="1">
      <formula>$F95="無"</formula>
    </cfRule>
  </conditionalFormatting>
  <conditionalFormatting sqref="I95">
    <cfRule type="expression" dxfId="120" priority="121" stopIfTrue="1">
      <formula>$F95="無"</formula>
    </cfRule>
  </conditionalFormatting>
  <conditionalFormatting sqref="I95">
    <cfRule type="expression" dxfId="119" priority="120" stopIfTrue="1">
      <formula>$F95="無"</formula>
    </cfRule>
  </conditionalFormatting>
  <conditionalFormatting sqref="I95">
    <cfRule type="expression" dxfId="118" priority="119" stopIfTrue="1">
      <formula>$F95="無"</formula>
    </cfRule>
  </conditionalFormatting>
  <conditionalFormatting sqref="I95">
    <cfRule type="expression" dxfId="117" priority="118" stopIfTrue="1">
      <formula>$F95="無"</formula>
    </cfRule>
  </conditionalFormatting>
  <conditionalFormatting sqref="I95">
    <cfRule type="expression" dxfId="116" priority="117" stopIfTrue="1">
      <formula>$F95="無"</formula>
    </cfRule>
  </conditionalFormatting>
  <conditionalFormatting sqref="I95">
    <cfRule type="expression" dxfId="115" priority="116" stopIfTrue="1">
      <formula>$F95="無"</formula>
    </cfRule>
  </conditionalFormatting>
  <conditionalFormatting sqref="I95">
    <cfRule type="expression" dxfId="114" priority="115" stopIfTrue="1">
      <formula>$F95="無"</formula>
    </cfRule>
  </conditionalFormatting>
  <conditionalFormatting sqref="I95">
    <cfRule type="expression" dxfId="113" priority="114" stopIfTrue="1">
      <formula>$F95="無"</formula>
    </cfRule>
  </conditionalFormatting>
  <conditionalFormatting sqref="I95">
    <cfRule type="expression" dxfId="112" priority="113" stopIfTrue="1">
      <formula>$F95="無"</formula>
    </cfRule>
  </conditionalFormatting>
  <conditionalFormatting sqref="I95">
    <cfRule type="expression" dxfId="111" priority="112" stopIfTrue="1">
      <formula>$F95="無"</formula>
    </cfRule>
  </conditionalFormatting>
  <conditionalFormatting sqref="I95">
    <cfRule type="expression" dxfId="110" priority="111" stopIfTrue="1">
      <formula>$F95="無"</formula>
    </cfRule>
  </conditionalFormatting>
  <conditionalFormatting sqref="I95">
    <cfRule type="expression" dxfId="109" priority="110" stopIfTrue="1">
      <formula>$F95="無"</formula>
    </cfRule>
  </conditionalFormatting>
  <conditionalFormatting sqref="I95">
    <cfRule type="expression" dxfId="108" priority="109" stopIfTrue="1">
      <formula>$F95="無"</formula>
    </cfRule>
  </conditionalFormatting>
  <conditionalFormatting sqref="I95">
    <cfRule type="expression" dxfId="107" priority="108" stopIfTrue="1">
      <formula>$F95="無"</formula>
    </cfRule>
  </conditionalFormatting>
  <conditionalFormatting sqref="I95">
    <cfRule type="expression" dxfId="106" priority="107" stopIfTrue="1">
      <formula>$F95="無"</formula>
    </cfRule>
  </conditionalFormatting>
  <conditionalFormatting sqref="I95">
    <cfRule type="expression" dxfId="105" priority="106" stopIfTrue="1">
      <formula>$F95="無"</formula>
    </cfRule>
  </conditionalFormatting>
  <conditionalFormatting sqref="I95">
    <cfRule type="expression" dxfId="104" priority="105" stopIfTrue="1">
      <formula>$F95="無"</formula>
    </cfRule>
  </conditionalFormatting>
  <conditionalFormatting sqref="I95">
    <cfRule type="expression" dxfId="103" priority="104" stopIfTrue="1">
      <formula>$F95="無"</formula>
    </cfRule>
  </conditionalFormatting>
  <conditionalFormatting sqref="I95">
    <cfRule type="expression" dxfId="102" priority="103" stopIfTrue="1">
      <formula>$F95="無"</formula>
    </cfRule>
  </conditionalFormatting>
  <conditionalFormatting sqref="I95">
    <cfRule type="expression" dxfId="101" priority="102" stopIfTrue="1">
      <formula>$F95="無"</formula>
    </cfRule>
  </conditionalFormatting>
  <conditionalFormatting sqref="I95">
    <cfRule type="expression" dxfId="100" priority="101" stopIfTrue="1">
      <formula>$F95="無"</formula>
    </cfRule>
  </conditionalFormatting>
  <conditionalFormatting sqref="I95">
    <cfRule type="expression" dxfId="99" priority="100" stopIfTrue="1">
      <formula>$F95="無"</formula>
    </cfRule>
  </conditionalFormatting>
  <conditionalFormatting sqref="I95">
    <cfRule type="expression" dxfId="98" priority="99" stopIfTrue="1">
      <formula>$F95="無"</formula>
    </cfRule>
  </conditionalFormatting>
  <conditionalFormatting sqref="I95">
    <cfRule type="expression" dxfId="97" priority="98" stopIfTrue="1">
      <formula>$F95="無"</formula>
    </cfRule>
  </conditionalFormatting>
  <conditionalFormatting sqref="I95">
    <cfRule type="expression" dxfId="96" priority="97" stopIfTrue="1">
      <formula>$F95="無"</formula>
    </cfRule>
  </conditionalFormatting>
  <conditionalFormatting sqref="I95">
    <cfRule type="expression" dxfId="95" priority="96" stopIfTrue="1">
      <formula>$F95="無"</formula>
    </cfRule>
  </conditionalFormatting>
  <conditionalFormatting sqref="I95">
    <cfRule type="expression" dxfId="94" priority="95" stopIfTrue="1">
      <formula>$F95="無"</formula>
    </cfRule>
  </conditionalFormatting>
  <conditionalFormatting sqref="I95">
    <cfRule type="expression" dxfId="93" priority="94" stopIfTrue="1">
      <formula>$F95="無"</formula>
    </cfRule>
  </conditionalFormatting>
  <conditionalFormatting sqref="I95">
    <cfRule type="expression" dxfId="92" priority="93" stopIfTrue="1">
      <formula>$F95="無"</formula>
    </cfRule>
  </conditionalFormatting>
  <conditionalFormatting sqref="I95">
    <cfRule type="expression" dxfId="91" priority="92" stopIfTrue="1">
      <formula>$F95="無"</formula>
    </cfRule>
  </conditionalFormatting>
  <conditionalFormatting sqref="I95">
    <cfRule type="expression" dxfId="90" priority="91" stopIfTrue="1">
      <formula>$F95="無"</formula>
    </cfRule>
  </conditionalFormatting>
  <conditionalFormatting sqref="I95">
    <cfRule type="expression" dxfId="89" priority="90" stopIfTrue="1">
      <formula>$F95="無"</formula>
    </cfRule>
  </conditionalFormatting>
  <conditionalFormatting sqref="I95">
    <cfRule type="expression" dxfId="88" priority="89" stopIfTrue="1">
      <formula>$F95="無"</formula>
    </cfRule>
  </conditionalFormatting>
  <conditionalFormatting sqref="I95">
    <cfRule type="expression" dxfId="87" priority="88" stopIfTrue="1">
      <formula>$F95="無"</formula>
    </cfRule>
  </conditionalFormatting>
  <conditionalFormatting sqref="I95">
    <cfRule type="expression" dxfId="86" priority="87" stopIfTrue="1">
      <formula>$F95="無"</formula>
    </cfRule>
  </conditionalFormatting>
  <conditionalFormatting sqref="I95">
    <cfRule type="expression" dxfId="85" priority="86" stopIfTrue="1">
      <formula>$F95="無"</formula>
    </cfRule>
  </conditionalFormatting>
  <conditionalFormatting sqref="I95">
    <cfRule type="expression" dxfId="84" priority="85" stopIfTrue="1">
      <formula>$F95="無"</formula>
    </cfRule>
  </conditionalFormatting>
  <conditionalFormatting sqref="I95">
    <cfRule type="expression" dxfId="83" priority="84" stopIfTrue="1">
      <formula>$F95="無"</formula>
    </cfRule>
  </conditionalFormatting>
  <conditionalFormatting sqref="I95">
    <cfRule type="expression" dxfId="82" priority="83" stopIfTrue="1">
      <formula>$F95="無"</formula>
    </cfRule>
  </conditionalFormatting>
  <conditionalFormatting sqref="I95">
    <cfRule type="expression" dxfId="81" priority="82" stopIfTrue="1">
      <formula>$F95="無"</formula>
    </cfRule>
  </conditionalFormatting>
  <conditionalFormatting sqref="I95">
    <cfRule type="expression" dxfId="80" priority="81" stopIfTrue="1">
      <formula>$F95="無"</formula>
    </cfRule>
  </conditionalFormatting>
  <conditionalFormatting sqref="I95">
    <cfRule type="expression" dxfId="79" priority="80" stopIfTrue="1">
      <formula>$F95="無"</formula>
    </cfRule>
  </conditionalFormatting>
  <conditionalFormatting sqref="I95">
    <cfRule type="expression" dxfId="78" priority="79" stopIfTrue="1">
      <formula>$F95="無"</formula>
    </cfRule>
  </conditionalFormatting>
  <conditionalFormatting sqref="I95">
    <cfRule type="expression" dxfId="77" priority="78" stopIfTrue="1">
      <formula>$F95="無"</formula>
    </cfRule>
  </conditionalFormatting>
  <conditionalFormatting sqref="H113">
    <cfRule type="expression" dxfId="76" priority="77">
      <formula>$G113="▼ 選択"</formula>
    </cfRule>
  </conditionalFormatting>
  <conditionalFormatting sqref="H138:I140">
    <cfRule type="expression" dxfId="75" priority="76" stopIfTrue="1">
      <formula>$F138="無"</formula>
    </cfRule>
  </conditionalFormatting>
  <conditionalFormatting sqref="I138:I140">
    <cfRule type="expression" dxfId="74" priority="75" stopIfTrue="1">
      <formula>$F138="無"</formula>
    </cfRule>
  </conditionalFormatting>
  <conditionalFormatting sqref="I138:I140">
    <cfRule type="expression" dxfId="73" priority="74" stopIfTrue="1">
      <formula>$F138="無"</formula>
    </cfRule>
  </conditionalFormatting>
  <conditionalFormatting sqref="I138:I140">
    <cfRule type="expression" dxfId="72" priority="73" stopIfTrue="1">
      <formula>$F138="無"</formula>
    </cfRule>
  </conditionalFormatting>
  <conditionalFormatting sqref="I146">
    <cfRule type="expression" dxfId="71" priority="72" stopIfTrue="1">
      <formula>$F146="無"</formula>
    </cfRule>
  </conditionalFormatting>
  <conditionalFormatting sqref="I146">
    <cfRule type="expression" dxfId="70" priority="71" stopIfTrue="1">
      <formula>$F146="無"</formula>
    </cfRule>
  </conditionalFormatting>
  <conditionalFormatting sqref="I146">
    <cfRule type="expression" dxfId="69" priority="70" stopIfTrue="1">
      <formula>$F146="無"</formula>
    </cfRule>
  </conditionalFormatting>
  <conditionalFormatting sqref="I146">
    <cfRule type="expression" dxfId="68" priority="69" stopIfTrue="1">
      <formula>$F146="無"</formula>
    </cfRule>
  </conditionalFormatting>
  <conditionalFormatting sqref="H138:H140">
    <cfRule type="expression" dxfId="67" priority="68" stopIfTrue="1">
      <formula>$F138="無"</formula>
    </cfRule>
  </conditionalFormatting>
  <conditionalFormatting sqref="H138:H140">
    <cfRule type="expression" dxfId="66" priority="67" stopIfTrue="1">
      <formula>$F138="無"</formula>
    </cfRule>
  </conditionalFormatting>
  <conditionalFormatting sqref="H138:H140">
    <cfRule type="expression" dxfId="65" priority="66" stopIfTrue="1">
      <formula>$F138="無"</formula>
    </cfRule>
  </conditionalFormatting>
  <conditionalFormatting sqref="H146">
    <cfRule type="expression" dxfId="64" priority="65" stopIfTrue="1">
      <formula>$F146="無"</formula>
    </cfRule>
  </conditionalFormatting>
  <conditionalFormatting sqref="H146">
    <cfRule type="expression" dxfId="63" priority="64" stopIfTrue="1">
      <formula>$F146="無"</formula>
    </cfRule>
  </conditionalFormatting>
  <conditionalFormatting sqref="H146">
    <cfRule type="expression" dxfId="62" priority="63" stopIfTrue="1">
      <formula>$F146="無"</formula>
    </cfRule>
  </conditionalFormatting>
  <conditionalFormatting sqref="H146">
    <cfRule type="expression" dxfId="61" priority="62" stopIfTrue="1">
      <formula>$F146="無"</formula>
    </cfRule>
  </conditionalFormatting>
  <conditionalFormatting sqref="H71">
    <cfRule type="expression" dxfId="60" priority="61">
      <formula>$G71="▼ 選択"</formula>
    </cfRule>
  </conditionalFormatting>
  <conditionalFormatting sqref="H60">
    <cfRule type="expression" dxfId="59" priority="60">
      <formula>$G60="▼ 選択"</formula>
    </cfRule>
  </conditionalFormatting>
  <conditionalFormatting sqref="I60">
    <cfRule type="expression" dxfId="58" priority="59">
      <formula>$F60="無"</formula>
    </cfRule>
  </conditionalFormatting>
  <conditionalFormatting sqref="I66">
    <cfRule type="expression" dxfId="57" priority="58">
      <formula>$F66="無"</formula>
    </cfRule>
  </conditionalFormatting>
  <conditionalFormatting sqref="I67">
    <cfRule type="expression" dxfId="56" priority="57">
      <formula>$F67="無"</formula>
    </cfRule>
  </conditionalFormatting>
  <conditionalFormatting sqref="I46">
    <cfRule type="expression" dxfId="55" priority="56" stopIfTrue="1">
      <formula>$F46="無"</formula>
    </cfRule>
  </conditionalFormatting>
  <conditionalFormatting sqref="I46">
    <cfRule type="expression" dxfId="54" priority="55" stopIfTrue="1">
      <formula>$F46="無"</formula>
    </cfRule>
  </conditionalFormatting>
  <conditionalFormatting sqref="I46">
    <cfRule type="expression" dxfId="53" priority="54" stopIfTrue="1">
      <formula>$F46="無"</formula>
    </cfRule>
  </conditionalFormatting>
  <conditionalFormatting sqref="I46">
    <cfRule type="expression" dxfId="52" priority="53" stopIfTrue="1">
      <formula>$F46="無"</formula>
    </cfRule>
  </conditionalFormatting>
  <conditionalFormatting sqref="I46">
    <cfRule type="expression" dxfId="51" priority="52" stopIfTrue="1">
      <formula>$F46="無"</formula>
    </cfRule>
  </conditionalFormatting>
  <conditionalFormatting sqref="I46">
    <cfRule type="expression" dxfId="50" priority="51" stopIfTrue="1">
      <formula>$F46="無"</formula>
    </cfRule>
  </conditionalFormatting>
  <conditionalFormatting sqref="I46">
    <cfRule type="expression" dxfId="49" priority="50" stopIfTrue="1">
      <formula>$F46="無"</formula>
    </cfRule>
  </conditionalFormatting>
  <conditionalFormatting sqref="I46">
    <cfRule type="expression" dxfId="48" priority="49" stopIfTrue="1">
      <formula>$F46="無"</formula>
    </cfRule>
  </conditionalFormatting>
  <conditionalFormatting sqref="I46">
    <cfRule type="expression" dxfId="47" priority="48" stopIfTrue="1">
      <formula>$F46="無"</formula>
    </cfRule>
  </conditionalFormatting>
  <conditionalFormatting sqref="I46">
    <cfRule type="expression" dxfId="46" priority="47" stopIfTrue="1">
      <formula>$F46="無"</formula>
    </cfRule>
  </conditionalFormatting>
  <conditionalFormatting sqref="I46">
    <cfRule type="expression" dxfId="45" priority="46" stopIfTrue="1">
      <formula>$F46="無"</formula>
    </cfRule>
  </conditionalFormatting>
  <conditionalFormatting sqref="I46">
    <cfRule type="expression" dxfId="44" priority="45" stopIfTrue="1">
      <formula>$F46="無"</formula>
    </cfRule>
  </conditionalFormatting>
  <conditionalFormatting sqref="I46">
    <cfRule type="expression" dxfId="43" priority="44" stopIfTrue="1">
      <formula>$F46="無"</formula>
    </cfRule>
  </conditionalFormatting>
  <conditionalFormatting sqref="I46">
    <cfRule type="expression" dxfId="42" priority="43" stopIfTrue="1">
      <formula>$F46="無"</formula>
    </cfRule>
  </conditionalFormatting>
  <conditionalFormatting sqref="I46">
    <cfRule type="expression" dxfId="41" priority="42" stopIfTrue="1">
      <formula>$F46="無"</formula>
    </cfRule>
  </conditionalFormatting>
  <conditionalFormatting sqref="I46">
    <cfRule type="expression" dxfId="40" priority="41" stopIfTrue="1">
      <formula>$F46="無"</formula>
    </cfRule>
  </conditionalFormatting>
  <conditionalFormatting sqref="I46">
    <cfRule type="expression" dxfId="39" priority="40" stopIfTrue="1">
      <formula>$F46="無"</formula>
    </cfRule>
  </conditionalFormatting>
  <conditionalFormatting sqref="I46">
    <cfRule type="expression" dxfId="38" priority="39" stopIfTrue="1">
      <formula>$F46="無"</formula>
    </cfRule>
  </conditionalFormatting>
  <conditionalFormatting sqref="I46">
    <cfRule type="expression" dxfId="37" priority="38" stopIfTrue="1">
      <formula>$F46="無"</formula>
    </cfRule>
  </conditionalFormatting>
  <conditionalFormatting sqref="I46">
    <cfRule type="expression" dxfId="36" priority="37" stopIfTrue="1">
      <formula>$F46="無"</formula>
    </cfRule>
  </conditionalFormatting>
  <conditionalFormatting sqref="I46">
    <cfRule type="expression" dxfId="35" priority="36" stopIfTrue="1">
      <formula>$F46="無"</formula>
    </cfRule>
  </conditionalFormatting>
  <conditionalFormatting sqref="I46">
    <cfRule type="expression" dxfId="34" priority="35" stopIfTrue="1">
      <formula>$F46="無"</formula>
    </cfRule>
  </conditionalFormatting>
  <conditionalFormatting sqref="I46">
    <cfRule type="expression" dxfId="33" priority="34" stopIfTrue="1">
      <formula>$F46="無"</formula>
    </cfRule>
  </conditionalFormatting>
  <conditionalFormatting sqref="I46">
    <cfRule type="expression" dxfId="32" priority="33" stopIfTrue="1">
      <formula>$F46="無"</formula>
    </cfRule>
  </conditionalFormatting>
  <conditionalFormatting sqref="I46">
    <cfRule type="expression" dxfId="31" priority="32" stopIfTrue="1">
      <formula>$F46="無"</formula>
    </cfRule>
  </conditionalFormatting>
  <conditionalFormatting sqref="I46">
    <cfRule type="expression" dxfId="30" priority="31" stopIfTrue="1">
      <formula>$F46="無"</formula>
    </cfRule>
  </conditionalFormatting>
  <conditionalFormatting sqref="I46">
    <cfRule type="expression" dxfId="29" priority="30" stopIfTrue="1">
      <formula>$F46="無"</formula>
    </cfRule>
  </conditionalFormatting>
  <conditionalFormatting sqref="I46">
    <cfRule type="expression" dxfId="28" priority="29" stopIfTrue="1">
      <formula>$F46="無"</formula>
    </cfRule>
  </conditionalFormatting>
  <conditionalFormatting sqref="I46">
    <cfRule type="expression" dxfId="27" priority="28" stopIfTrue="1">
      <formula>$F46="無"</formula>
    </cfRule>
  </conditionalFormatting>
  <conditionalFormatting sqref="I46">
    <cfRule type="expression" dxfId="26" priority="27" stopIfTrue="1">
      <formula>$F46="無"</formula>
    </cfRule>
  </conditionalFormatting>
  <conditionalFormatting sqref="I46">
    <cfRule type="expression" dxfId="25" priority="26" stopIfTrue="1">
      <formula>$F46="無"</formula>
    </cfRule>
  </conditionalFormatting>
  <conditionalFormatting sqref="I46">
    <cfRule type="expression" dxfId="24" priority="25" stopIfTrue="1">
      <formula>$F46="無"</formula>
    </cfRule>
  </conditionalFormatting>
  <conditionalFormatting sqref="I46">
    <cfRule type="expression" dxfId="23" priority="24" stopIfTrue="1">
      <formula>$F46="無"</formula>
    </cfRule>
  </conditionalFormatting>
  <conditionalFormatting sqref="I46">
    <cfRule type="expression" dxfId="22" priority="23" stopIfTrue="1">
      <formula>$F46="無"</formula>
    </cfRule>
  </conditionalFormatting>
  <conditionalFormatting sqref="I46">
    <cfRule type="expression" dxfId="21" priority="22" stopIfTrue="1">
      <formula>$F46="無"</formula>
    </cfRule>
  </conditionalFormatting>
  <conditionalFormatting sqref="I46">
    <cfRule type="expression" dxfId="20" priority="21" stopIfTrue="1">
      <formula>$F46="無"</formula>
    </cfRule>
  </conditionalFormatting>
  <conditionalFormatting sqref="I46">
    <cfRule type="expression" dxfId="19" priority="20" stopIfTrue="1">
      <formula>$F46="無"</formula>
    </cfRule>
  </conditionalFormatting>
  <conditionalFormatting sqref="I46">
    <cfRule type="expression" dxfId="18" priority="19" stopIfTrue="1">
      <formula>$F46="無"</formula>
    </cfRule>
  </conditionalFormatting>
  <conditionalFormatting sqref="I46">
    <cfRule type="expression" dxfId="17" priority="18" stopIfTrue="1">
      <formula>$F46="無"</formula>
    </cfRule>
  </conditionalFormatting>
  <conditionalFormatting sqref="I46">
    <cfRule type="expression" dxfId="16" priority="17" stopIfTrue="1">
      <formula>$F46="無"</formula>
    </cfRule>
  </conditionalFormatting>
  <conditionalFormatting sqref="I46">
    <cfRule type="expression" dxfId="15" priority="16" stopIfTrue="1">
      <formula>$F46="無"</formula>
    </cfRule>
  </conditionalFormatting>
  <conditionalFormatting sqref="I46">
    <cfRule type="expression" dxfId="14" priority="15" stopIfTrue="1">
      <formula>$F46="無"</formula>
    </cfRule>
  </conditionalFormatting>
  <conditionalFormatting sqref="I46">
    <cfRule type="expression" dxfId="13" priority="14" stopIfTrue="1">
      <formula>$F46="無"</formula>
    </cfRule>
  </conditionalFormatting>
  <conditionalFormatting sqref="I46">
    <cfRule type="expression" dxfId="12" priority="13" stopIfTrue="1">
      <formula>$F46="無"</formula>
    </cfRule>
  </conditionalFormatting>
  <conditionalFormatting sqref="I46">
    <cfRule type="expression" dxfId="11" priority="12" stopIfTrue="1">
      <formula>$F46="無"</formula>
    </cfRule>
  </conditionalFormatting>
  <conditionalFormatting sqref="I46">
    <cfRule type="expression" dxfId="10" priority="11" stopIfTrue="1">
      <formula>$F46="無"</formula>
    </cfRule>
  </conditionalFormatting>
  <conditionalFormatting sqref="I46">
    <cfRule type="expression" dxfId="9" priority="10" stopIfTrue="1">
      <formula>$F46="無"</formula>
    </cfRule>
  </conditionalFormatting>
  <conditionalFormatting sqref="I46">
    <cfRule type="expression" dxfId="8" priority="9" stopIfTrue="1">
      <formula>$F46="無"</formula>
    </cfRule>
  </conditionalFormatting>
  <conditionalFormatting sqref="I46">
    <cfRule type="expression" dxfId="7" priority="8" stopIfTrue="1">
      <formula>$F46="無"</formula>
    </cfRule>
  </conditionalFormatting>
  <conditionalFormatting sqref="J40:AH40">
    <cfRule type="expression" dxfId="6" priority="7">
      <formula>$F40="無"</formula>
    </cfRule>
  </conditionalFormatting>
  <conditionalFormatting sqref="J31 L31 N31:AH31">
    <cfRule type="expression" dxfId="5" priority="6">
      <formula>$F31="無"</formula>
    </cfRule>
  </conditionalFormatting>
  <conditionalFormatting sqref="J46:AH46">
    <cfRule type="expression" dxfId="4" priority="5">
      <formula>$F46="無"</formula>
    </cfRule>
  </conditionalFormatting>
  <conditionalFormatting sqref="J49:AH49">
    <cfRule type="expression" dxfId="3" priority="4">
      <formula>$F49="無"</formula>
    </cfRule>
  </conditionalFormatting>
  <conditionalFormatting sqref="J94:AH95">
    <cfRule type="expression" dxfId="2" priority="3">
      <formula>$F94="無"</formula>
    </cfRule>
  </conditionalFormatting>
  <conditionalFormatting sqref="K31">
    <cfRule type="expression" dxfId="1" priority="2">
      <formula>$F31="無"</formula>
    </cfRule>
  </conditionalFormatting>
  <conditionalFormatting sqref="M31">
    <cfRule type="expression" dxfId="0" priority="1">
      <formula>$F31="無"</formula>
    </cfRule>
  </conditionalFormatting>
  <dataValidations count="15">
    <dataValidation type="list" allowBlank="1" showInputMessage="1" showErrorMessage="1" sqref="E13" xr:uid="{00000000-0002-0000-0C00-000000000000}">
      <formula1>"▼ 選択,有(防火・防災),有(防火),無"</formula1>
    </dataValidation>
    <dataValidation type="list" allowBlank="1" showInputMessage="1" showErrorMessage="1" sqref="R8:W8 J8:P8 F13:I13 F159:F188 F28:F153" xr:uid="{00000000-0002-0000-0C00-000001000000}">
      <formula1>"▼ 選択,有,無"</formula1>
    </dataValidation>
    <dataValidation type="list" allowBlank="1" showInputMessage="1" showErrorMessage="1" sqref="D13" xr:uid="{00000000-0002-0000-0C00-000002000000}">
      <formula1>"▼ 選択,特定,非特定"</formula1>
    </dataValidation>
    <dataValidation type="list" allowBlank="1" showInputMessage="1" showErrorMessage="1" sqref="Q8" xr:uid="{00000000-0002-0000-0C00-000003000000}">
      <formula1>"▼ 選択,簡易専用水道方式,直結増圧送水方式"</formula1>
    </dataValidation>
    <dataValidation type="list" allowBlank="1" showInputMessage="1" showErrorMessage="1" sqref="G75" xr:uid="{00000000-0002-0000-0C00-000004000000}">
      <formula1>"▼ 選択,1回/25年,1回/30年"</formula1>
    </dataValidation>
    <dataValidation type="list" allowBlank="1" showInputMessage="1" showErrorMessage="1" sqref="G66 G41 G69:H69 H70" xr:uid="{00000000-0002-0000-0C00-000005000000}">
      <formula1>"▼ 選択,1回/年,2回/年"</formula1>
    </dataValidation>
    <dataValidation type="list" allowBlank="1" showInputMessage="1" showErrorMessage="1" sqref="G82" xr:uid="{00000000-0002-0000-0C00-000006000000}">
      <formula1>"▼ 選択,1回/年,1回/2年,1回/3年,1回/4年"</formula1>
    </dataValidation>
    <dataValidation type="list" allowBlank="1" showInputMessage="1" showErrorMessage="1" sqref="G108" xr:uid="{00000000-0002-0000-0C00-000007000000}">
      <formula1>"▼ 選択,1回/年,1回/4年"</formula1>
    </dataValidation>
    <dataValidation type="list" allowBlank="1" showInputMessage="1" showErrorMessage="1" sqref="D147:D153" xr:uid="{00000000-0002-0000-0C00-000008000000}">
      <formula1>"法定,-,SC統一基準,SBM管理基準"</formula1>
    </dataValidation>
    <dataValidation type="list" allowBlank="1" showInputMessage="1" showErrorMessage="1" sqref="B8" xr:uid="{00000000-0002-0000-0C00-000009000000}">
      <formula1>"▼選択,東京,大阪,札幌,横浜,名古屋,福岡"</formula1>
    </dataValidation>
    <dataValidation type="list" allowBlank="1" showInputMessage="1" showErrorMessage="1" sqref="B13" xr:uid="{00000000-0002-0000-0C00-00000A000000}">
      <formula1>"▼選択,14項,15項,16項のイ"</formula1>
    </dataValidation>
    <dataValidation type="list" allowBlank="1" showInputMessage="1" showErrorMessage="1" sqref="G40" xr:uid="{00000000-0002-0000-0C00-00000B000000}">
      <formula1>"▼ 選択,1回/月,1回/年"</formula1>
    </dataValidation>
    <dataValidation type="list" allowBlank="1" showInputMessage="1" showErrorMessage="1" sqref="G59" xr:uid="{00000000-0002-0000-0C00-00000C000000}">
      <formula1>"▼ 選択,6回/年,2回/年"</formula1>
    </dataValidation>
    <dataValidation type="list" allowBlank="1" showInputMessage="1" showErrorMessage="1" sqref="G76 G63:G64" xr:uid="{00000000-0002-0000-0C00-00000D000000}">
      <formula1>"▼ 選択,1回/年,1回/3年"</formula1>
    </dataValidation>
    <dataValidation type="list" allowBlank="1" showInputMessage="1" showErrorMessage="1" sqref="G79" xr:uid="{00000000-0002-0000-0C00-00000E000000}">
      <formula1>"▼ 選択,1回/2年,1回/3年"</formula1>
    </dataValidation>
  </dataValidations>
  <pageMargins left="0.70866141732283472" right="0.31496062992125984" top="0.55118110236220474" bottom="0.35433070866141736" header="0.31496062992125984" footer="0.11811023622047245"/>
  <pageSetup paperSize="8" scale="31" fitToHeight="0" orientation="landscape" r:id="rId1"/>
  <rowBreaks count="1" manualBreakCount="1">
    <brk id="111" max="16383" man="1"/>
  </rowBreaks>
  <drawing r:id="rId2"/>
  <legacyDrawing r:id="rId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dimension ref="B6:D79"/>
  <sheetViews>
    <sheetView topLeftCell="A13" workbookViewId="0">
      <selection activeCell="K21" sqref="K21"/>
    </sheetView>
  </sheetViews>
  <sheetFormatPr defaultRowHeight="13.2"/>
  <cols>
    <col min="2" max="2" width="15.77734375" customWidth="1"/>
    <col min="4" max="4" width="17.77734375" customWidth="1"/>
  </cols>
  <sheetData>
    <row r="6" spans="2:4">
      <c r="B6" t="s">
        <v>673</v>
      </c>
      <c r="D6" t="s">
        <v>693</v>
      </c>
    </row>
    <row r="7" spans="2:4">
      <c r="B7" s="827">
        <v>45316</v>
      </c>
      <c r="D7" s="828" t="s">
        <v>674</v>
      </c>
    </row>
    <row r="8" spans="2:4">
      <c r="B8" s="829" t="s">
        <v>589</v>
      </c>
      <c r="D8" s="830" t="s">
        <v>675</v>
      </c>
    </row>
    <row r="9" spans="2:4">
      <c r="B9" s="829">
        <v>45333</v>
      </c>
      <c r="D9" s="830" t="s">
        <v>676</v>
      </c>
    </row>
    <row r="10" spans="2:4">
      <c r="B10" s="829">
        <v>45334</v>
      </c>
      <c r="D10" s="830" t="s">
        <v>677</v>
      </c>
    </row>
    <row r="11" spans="2:4">
      <c r="B11" s="829">
        <v>45345</v>
      </c>
      <c r="D11" s="830" t="s">
        <v>678</v>
      </c>
    </row>
    <row r="12" spans="2:4">
      <c r="B12" s="829">
        <v>45371</v>
      </c>
      <c r="D12" s="830" t="s">
        <v>679</v>
      </c>
    </row>
    <row r="13" spans="2:4">
      <c r="B13" s="829">
        <v>45411</v>
      </c>
      <c r="D13" s="830" t="s">
        <v>576</v>
      </c>
    </row>
    <row r="14" spans="2:4">
      <c r="B14" s="829">
        <v>45415</v>
      </c>
      <c r="D14" s="830" t="s">
        <v>680</v>
      </c>
    </row>
    <row r="15" spans="2:4">
      <c r="B15" s="829">
        <v>45416</v>
      </c>
      <c r="D15" s="830" t="s">
        <v>556</v>
      </c>
    </row>
    <row r="16" spans="2:4">
      <c r="B16" s="829">
        <v>45417</v>
      </c>
      <c r="D16" s="830" t="s">
        <v>681</v>
      </c>
    </row>
    <row r="17" spans="2:4">
      <c r="B17" s="829">
        <v>45418</v>
      </c>
      <c r="D17" s="830" t="s">
        <v>682</v>
      </c>
    </row>
    <row r="18" spans="2:4">
      <c r="B18" s="829">
        <v>45488</v>
      </c>
      <c r="D18" s="830" t="s">
        <v>683</v>
      </c>
    </row>
    <row r="19" spans="2:4">
      <c r="B19" s="829">
        <v>45515</v>
      </c>
      <c r="D19" s="830" t="s">
        <v>684</v>
      </c>
    </row>
    <row r="20" spans="2:4">
      <c r="B20" s="829">
        <v>45516</v>
      </c>
      <c r="D20" s="830"/>
    </row>
    <row r="21" spans="2:4">
      <c r="B21" s="829">
        <v>45551</v>
      </c>
      <c r="D21" s="830"/>
    </row>
    <row r="22" spans="2:4">
      <c r="B22" s="829">
        <v>45557</v>
      </c>
      <c r="D22" s="830"/>
    </row>
    <row r="23" spans="2:4">
      <c r="B23" s="831">
        <v>45558</v>
      </c>
      <c r="D23" s="830"/>
    </row>
    <row r="24" spans="2:4">
      <c r="B24" s="831">
        <v>45579</v>
      </c>
      <c r="D24" s="830"/>
    </row>
    <row r="25" spans="2:4">
      <c r="B25" s="831">
        <v>45599</v>
      </c>
      <c r="D25" s="830"/>
    </row>
    <row r="26" spans="2:4">
      <c r="B26" s="831">
        <v>45600</v>
      </c>
      <c r="D26" s="830"/>
    </row>
    <row r="27" spans="2:4">
      <c r="B27" s="831">
        <v>45619</v>
      </c>
      <c r="D27" s="830"/>
    </row>
    <row r="28" spans="2:4">
      <c r="B28" s="831">
        <v>44927</v>
      </c>
      <c r="D28" s="830"/>
    </row>
    <row r="29" spans="2:4">
      <c r="B29" s="831">
        <v>44928</v>
      </c>
      <c r="D29" s="830"/>
    </row>
    <row r="30" spans="2:4">
      <c r="B30" s="831">
        <v>44935</v>
      </c>
      <c r="D30" s="830"/>
    </row>
    <row r="31" spans="2:4">
      <c r="B31" s="831">
        <v>44968</v>
      </c>
      <c r="D31" s="830"/>
    </row>
    <row r="32" spans="2:4">
      <c r="B32" s="831">
        <v>44980</v>
      </c>
      <c r="D32" s="830"/>
    </row>
    <row r="33" spans="2:4">
      <c r="B33" s="831">
        <v>45006</v>
      </c>
      <c r="D33" s="830"/>
    </row>
    <row r="34" spans="2:4">
      <c r="B34" s="831">
        <v>45045</v>
      </c>
      <c r="D34" s="830"/>
    </row>
    <row r="35" spans="2:4">
      <c r="B35" s="831">
        <v>45049</v>
      </c>
      <c r="D35" s="832"/>
    </row>
    <row r="36" spans="2:4">
      <c r="B36" s="831">
        <v>45050</v>
      </c>
      <c r="D36" s="833"/>
    </row>
    <row r="37" spans="2:4">
      <c r="B37" s="831">
        <v>45051</v>
      </c>
      <c r="D37" s="834"/>
    </row>
    <row r="38" spans="2:4">
      <c r="B38" s="831">
        <v>45124</v>
      </c>
      <c r="D38" s="834"/>
    </row>
    <row r="39" spans="2:4">
      <c r="B39" s="831">
        <v>45149</v>
      </c>
      <c r="D39" s="834"/>
    </row>
    <row r="40" spans="2:4">
      <c r="B40" s="831">
        <v>45187</v>
      </c>
      <c r="D40" s="834"/>
    </row>
    <row r="41" spans="2:4">
      <c r="B41" s="831">
        <v>45192</v>
      </c>
      <c r="D41" s="834"/>
    </row>
    <row r="42" spans="2:4">
      <c r="B42" s="831">
        <v>45208</v>
      </c>
      <c r="D42" s="834"/>
    </row>
    <row r="43" spans="2:4">
      <c r="B43" s="831" t="s">
        <v>588</v>
      </c>
      <c r="D43" s="834"/>
    </row>
    <row r="44" spans="2:4">
      <c r="B44" s="831">
        <v>45253</v>
      </c>
      <c r="D44" s="834"/>
    </row>
    <row r="45" spans="2:4">
      <c r="B45" s="835">
        <v>45404</v>
      </c>
      <c r="D45" s="834"/>
    </row>
    <row r="46" spans="2:4">
      <c r="B46" s="835">
        <v>45293</v>
      </c>
      <c r="D46" s="836"/>
    </row>
    <row r="47" spans="2:4">
      <c r="B47" s="835">
        <v>45292</v>
      </c>
      <c r="D47" s="836"/>
    </row>
    <row r="48" spans="2:4">
      <c r="B48" s="835">
        <v>45782</v>
      </c>
      <c r="D48" s="836"/>
    </row>
    <row r="49" spans="2:4">
      <c r="B49" s="835"/>
      <c r="D49" s="836"/>
    </row>
    <row r="50" spans="2:4">
      <c r="B50" s="835"/>
      <c r="D50" s="836"/>
    </row>
    <row r="51" spans="2:4">
      <c r="B51" s="835"/>
      <c r="D51" s="836"/>
    </row>
    <row r="52" spans="2:4">
      <c r="B52" s="837"/>
      <c r="D52" s="836"/>
    </row>
    <row r="53" spans="2:4">
      <c r="D53" s="836"/>
    </row>
    <row r="54" spans="2:4">
      <c r="D54" s="836"/>
    </row>
    <row r="55" spans="2:4">
      <c r="D55" s="836"/>
    </row>
    <row r="56" spans="2:4">
      <c r="D56" s="836"/>
    </row>
    <row r="57" spans="2:4">
      <c r="D57" s="836"/>
    </row>
    <row r="58" spans="2:4">
      <c r="D58" s="836"/>
    </row>
    <row r="59" spans="2:4">
      <c r="D59" s="836"/>
    </row>
    <row r="60" spans="2:4">
      <c r="D60" s="836"/>
    </row>
    <row r="61" spans="2:4">
      <c r="D61" s="836"/>
    </row>
    <row r="62" spans="2:4">
      <c r="D62" s="836"/>
    </row>
    <row r="63" spans="2:4">
      <c r="D63" s="836"/>
    </row>
    <row r="64" spans="2:4">
      <c r="D64" s="836"/>
    </row>
    <row r="65" spans="4:4">
      <c r="D65" s="836"/>
    </row>
    <row r="66" spans="4:4">
      <c r="D66" s="836"/>
    </row>
    <row r="67" spans="4:4">
      <c r="D67" s="836"/>
    </row>
    <row r="68" spans="4:4">
      <c r="D68" s="836"/>
    </row>
    <row r="69" spans="4:4">
      <c r="D69" s="836"/>
    </row>
    <row r="70" spans="4:4">
      <c r="D70" s="836"/>
    </row>
    <row r="71" spans="4:4">
      <c r="D71" s="836"/>
    </row>
    <row r="72" spans="4:4">
      <c r="D72" s="836"/>
    </row>
    <row r="73" spans="4:4">
      <c r="D73" s="836"/>
    </row>
    <row r="74" spans="4:4">
      <c r="D74" s="836"/>
    </row>
    <row r="75" spans="4:4">
      <c r="D75" s="836"/>
    </row>
    <row r="76" spans="4:4">
      <c r="D76" s="836"/>
    </row>
    <row r="77" spans="4:4">
      <c r="D77" s="836"/>
    </row>
    <row r="78" spans="4:4">
      <c r="D78" s="836"/>
    </row>
    <row r="79" spans="4:4">
      <c r="D79" s="836"/>
    </row>
  </sheetData>
  <phoneticPr fontId="8"/>
  <pageMargins left="0.7" right="0.7" top="0.75" bottom="0.75" header="0.3" footer="0.3"/>
  <pageSetup paperSize="9" orientation="portrait"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14</vt:i4>
      </vt:variant>
      <vt:variant>
        <vt:lpstr>名前付き一覧</vt:lpstr>
      </vt:variant>
      <vt:variant>
        <vt:i4>1</vt:i4>
      </vt:variant>
    </vt:vector>
  </HeadingPairs>
  <TitlesOfParts>
    <vt:vector size="15" baseType="lpstr">
      <vt:lpstr>SBM表紙</vt:lpstr>
      <vt:lpstr>SBM目次</vt:lpstr>
      <vt:lpstr>所見</vt:lpstr>
      <vt:lpstr>SBM管理概要①</vt:lpstr>
      <vt:lpstr>SBM管理概要②</vt:lpstr>
      <vt:lpstr>SBM管理概要③</vt:lpstr>
      <vt:lpstr>SBM管理概要④</vt:lpstr>
      <vt:lpstr>SBM管理概要⑤、その他⑥</vt:lpstr>
      <vt:lpstr>水道光熱使用量</vt:lpstr>
      <vt:lpstr>来月度作業予定</vt:lpstr>
      <vt:lpstr>(基準年度)2022年度管理計画　(業者)</vt:lpstr>
      <vt:lpstr>(基準年度)2022年度管理計画　(設備)</vt:lpstr>
      <vt:lpstr>管理業務スケジュール表(基準年度)</vt:lpstr>
      <vt:lpstr>各種データ</vt:lpstr>
      <vt:lpstr>SBM表紙!Print_Area</vt:lpstr>
    </vt:vector>
  </TitlesOfParts>
  <Company>エス・シー・ビルサービス㈱</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subject>エリアセンター設備にて作成</dc:subject>
  <dc:creator>エリアセンター設備</dc:creator>
  <cp:lastModifiedBy>user</cp:lastModifiedBy>
  <cp:revision>1</cp:revision>
  <cp:lastPrinted>2023-05-25T11:22:13Z</cp:lastPrinted>
  <dcterms:created xsi:type="dcterms:W3CDTF">2000-05-15T09:23:30Z</dcterms:created>
  <dcterms:modified xsi:type="dcterms:W3CDTF">2023-06-02T09:36:53Z</dcterms:modified>
</cp:coreProperties>
</file>