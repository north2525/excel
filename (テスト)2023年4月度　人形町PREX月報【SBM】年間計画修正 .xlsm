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updateLinks="never" codeName="ThisWorkbook"/>
  <mc:AlternateContent xmlns:mc="http://schemas.openxmlformats.org/markup-compatibility/2006">
    <mc:Choice Requires="x15">
      <x15ac:absPath xmlns:x15ac="http://schemas.microsoft.com/office/spreadsheetml/2010/11/ac" url="C:\Users\satoshi\Box\chatGPT\月報資料\人形町PREX\2023年度\"/>
    </mc:Choice>
  </mc:AlternateContent>
  <xr:revisionPtr revIDLastSave="0" documentId="13_ncr:1_{2FBA4415-6AD3-4725-9AA6-6EE11AC002AC}" xr6:coauthVersionLast="47" xr6:coauthVersionMax="47" xr10:uidLastSave="{00000000-0000-0000-0000-000000000000}"/>
  <bookViews>
    <workbookView xWindow="48735" yWindow="7470" windowWidth="11070" windowHeight="15375" tabRatio="693" activeTab="3" xr2:uid="{00000000-000D-0000-FFFF-FFFF00000000}"/>
  </bookViews>
  <sheets>
    <sheet name="1.表紙" sheetId="147" r:id="rId1"/>
    <sheet name="2.目次" sheetId="148" r:id="rId2"/>
    <sheet name="3.所見" sheetId="146" r:id="rId3"/>
    <sheet name="①業者定期" sheetId="113" r:id="rId4"/>
    <sheet name="②定期外" sheetId="150" r:id="rId5"/>
    <sheet name="③設備" sheetId="111" r:id="rId6"/>
    <sheet name="④清掃" sheetId="176" r:id="rId7"/>
    <sheet name="⑤事故等" sheetId="185" r:id="rId8"/>
    <sheet name="⑥光熱" sheetId="108" r:id="rId9"/>
    <sheet name="4.来月" sheetId="109" r:id="rId10"/>
    <sheet name="2023年度管理計画（設備）(月報と一緒に出す)" sheetId="181" r:id="rId11"/>
    <sheet name="2023年度管理計画（業者）(月報と一諸に出す)" sheetId="182" r:id="rId12"/>
    <sheet name="最新版(2022年度統一フォーム_清書版)(月報と一緒にだす" sheetId="184" r:id="rId13"/>
    <sheet name="各種データ" sheetId="186" r:id="rId14"/>
  </sheets>
  <definedNames>
    <definedName name="_xlnm._FilterDatabase" localSheetId="9" hidden="1">'4.来月'!$A$1:$AF$40</definedName>
    <definedName name="_xlnm._FilterDatabase" localSheetId="12" hidden="1">'最新版(2022年度統一フォーム_清書版)(月報と一緒にだす'!$A$27:$AH$147</definedName>
    <definedName name="_Key1" hidden="1">#N/A</definedName>
    <definedName name="_Order1" hidden="1">255</definedName>
    <definedName name="_Order2" hidden="1">0</definedName>
    <definedName name="_Sort" hidden="1">#N/A</definedName>
    <definedName name="_xlnm.Print_Area" localSheetId="0">'1.表紙'!$A$1:$P$39</definedName>
    <definedName name="_xlnm.Print_Area" localSheetId="3">①業者定期!$A$1:$Y$49</definedName>
    <definedName name="_xlnm.Print_Area" localSheetId="1">'2.目次'!$A$1:$M$30</definedName>
    <definedName name="_xlnm.Print_Area" localSheetId="2">'3.所見'!$A$1:$T$27</definedName>
    <definedName name="_xlnm.Print_Area" localSheetId="5">③設備!$A$1:$V$47</definedName>
    <definedName name="_xlnm.Print_Area" localSheetId="9">'4.来月'!$A$1:$AF$38</definedName>
    <definedName name="_xlnm.Print_Area" localSheetId="7">⑤事故等!$A$1:$AC$81</definedName>
    <definedName name="_xlnm.Print_Area" localSheetId="8">⑥光熱!$A$1:$K$27</definedName>
    <definedName name="レポート" hidden="1">#N/A</definedName>
  </definedNames>
  <calcPr calcId="191029"/>
</workbook>
</file>

<file path=xl/calcChain.xml><?xml version="1.0" encoding="utf-8"?>
<calcChain xmlns="http://schemas.openxmlformats.org/spreadsheetml/2006/main">
  <c r="J17" i="108" l="1"/>
  <c r="J5" i="108"/>
  <c r="A2" i="109" l="1"/>
  <c r="D5" i="108"/>
  <c r="I5" i="108"/>
  <c r="G17" i="108"/>
  <c r="B17" i="108"/>
  <c r="A27" i="176"/>
  <c r="A7" i="176" l="1"/>
  <c r="B7" i="176" s="1"/>
  <c r="E8" i="184"/>
  <c r="AH2" i="184"/>
  <c r="A33" i="176" l="1"/>
  <c r="B33" i="176" s="1"/>
  <c r="A35" i="176" l="1"/>
  <c r="B35" i="176" s="1"/>
  <c r="A17" i="176"/>
  <c r="B17" i="176" s="1"/>
  <c r="A15" i="176"/>
  <c r="B15" i="176" s="1"/>
  <c r="A19" i="176"/>
  <c r="B19" i="176" s="1"/>
  <c r="A21" i="176"/>
  <c r="B21" i="176" s="1"/>
  <c r="A23" i="176"/>
  <c r="B23" i="176" s="1"/>
  <c r="A9" i="176"/>
  <c r="B9" i="176" s="1"/>
  <c r="A25" i="176"/>
  <c r="B25" i="176" s="1"/>
  <c r="A13" i="176"/>
  <c r="B13" i="176" s="1"/>
  <c r="A11" i="176"/>
  <c r="B11" i="176" s="1"/>
  <c r="A29" i="176"/>
  <c r="B29" i="176" s="1"/>
  <c r="A31" i="176"/>
  <c r="B31" i="176" s="1"/>
  <c r="L17" i="176"/>
  <c r="M17" i="176" s="1"/>
  <c r="L29" i="176"/>
  <c r="M29" i="176" s="1"/>
  <c r="L7" i="176"/>
  <c r="M7" i="176" s="1"/>
  <c r="L19" i="176"/>
  <c r="M19" i="176" s="1"/>
  <c r="L9" i="176"/>
  <c r="M9" i="176" s="1"/>
  <c r="L21" i="176"/>
  <c r="M21" i="176" s="1"/>
  <c r="L33" i="176"/>
  <c r="M33" i="176" s="1"/>
  <c r="L11" i="176"/>
  <c r="M11" i="176" s="1"/>
  <c r="L23" i="176"/>
  <c r="M23" i="176" s="1"/>
  <c r="L35" i="176"/>
  <c r="M35" i="176" s="1"/>
  <c r="L13" i="176"/>
  <c r="M13" i="176" s="1"/>
  <c r="L25" i="176"/>
  <c r="M25" i="176" s="1"/>
  <c r="L15" i="176"/>
  <c r="M15" i="176" s="1"/>
  <c r="L27" i="176"/>
  <c r="M27" i="176" s="1"/>
  <c r="L31" i="176"/>
  <c r="M31" i="176" s="1"/>
  <c r="I28" i="108" l="1"/>
  <c r="D28" i="1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kanda6</author>
  </authors>
  <commentList>
    <comment ref="Z3" authorId="0" shapeId="0" xr:uid="{00000000-0006-0000-0300-000001000000}">
      <text>
        <r>
          <rPr>
            <b/>
            <sz val="20"/>
            <color indexed="81"/>
            <rFont val="ＭＳ Ｐゴシック"/>
            <family val="3"/>
            <charset val="128"/>
          </rPr>
          <t>対象年変更で
自動出力</t>
        </r>
      </text>
    </comment>
    <comment ref="A4" authorId="1" shapeId="0" xr:uid="{00000000-0006-0000-0300-000002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Z4" authorId="0" shapeId="0" xr:uid="{00000000-0006-0000-0300-000003000000}">
      <text>
        <r>
          <rPr>
            <b/>
            <sz val="20"/>
            <color indexed="81"/>
            <rFont val="ＭＳ Ｐゴシック"/>
            <family val="3"/>
            <charset val="128"/>
          </rPr>
          <t>対象月変更で
自動出力</t>
        </r>
      </text>
    </comment>
    <comment ref="J6" authorId="1" shapeId="0" xr:uid="{00000000-0006-0000-0300-000004000000}">
      <text>
        <r>
          <rPr>
            <b/>
            <sz val="9"/>
            <color indexed="12"/>
            <rFont val="ＭＳ Ｐゴシック"/>
            <family val="3"/>
            <charset val="128"/>
          </rPr>
          <t>「良」又は「否」で入力</t>
        </r>
      </text>
    </comment>
    <comment ref="V6" authorId="1" shapeId="0" xr:uid="{00000000-0006-0000-0300-000005000000}">
      <text>
        <r>
          <rPr>
            <b/>
            <sz val="9"/>
            <color indexed="12"/>
            <rFont val="ＭＳ Ｐゴシック"/>
            <family val="3"/>
            <charset val="128"/>
          </rPr>
          <t>「良」又は「否」で入力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kanda6</author>
    <author>*</author>
    <author>SumitomoCorporationGroup</author>
  </authors>
  <commentList>
    <comment ref="A4" authorId="0" shapeId="0" xr:uid="{00000000-0006-0000-04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E6" authorId="1" shapeId="0" xr:uid="{00000000-0006-0000-0400-000002000000}">
      <text>
        <r>
          <rPr>
            <b/>
            <sz val="9"/>
            <color indexed="81"/>
            <rFont val="ＭＳ Ｐゴシック"/>
            <family val="3"/>
            <charset val="128"/>
          </rPr>
          <t>テナントからの要望で作業した場合は
（テナント要望）
と記載する</t>
        </r>
      </text>
    </comment>
    <comment ref="M35" authorId="2" shapeId="0" xr:uid="{00000000-0006-0000-0400-000003000000}">
      <text>
        <r>
          <rPr>
            <b/>
            <sz val="9"/>
            <color indexed="81"/>
            <rFont val="MS P ゴシック"/>
            <family val="2"/>
            <charset val="128"/>
          </rPr>
          <t>SumitomoCorporationGroup:</t>
        </r>
        <r>
          <rPr>
            <sz val="9"/>
            <color indexed="81"/>
            <rFont val="MS P ゴシック"/>
            <family val="2"/>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kanda6</author>
    <author>SumitomoCorporationGroup</author>
  </authors>
  <commentList>
    <comment ref="A4" authorId="0" shapeId="0" xr:uid="{00000000-0006-0000-0500-000001000000}">
      <text>
        <r>
          <rPr>
            <b/>
            <sz val="9"/>
            <color indexed="12"/>
            <rFont val="ＭＳ Ｐゴシック"/>
            <family val="3"/>
            <charset val="128"/>
          </rPr>
          <t>設備月次点検の内容を入力する（定期・不定期含む）</t>
        </r>
        <r>
          <rPr>
            <sz val="9"/>
            <color indexed="81"/>
            <rFont val="ＭＳ Ｐゴシック"/>
            <family val="3"/>
            <charset val="128"/>
          </rPr>
          <t xml:space="preserve">
　・業者作業は管理概要①へ入力
　・自社作業は管理概要②へ入力
　・清掃月次業務は管理概要④へ入力
　・事故・故障は管理概要⑤へ入力
　・その他報告事項は管理概要⑥へ入力</t>
        </r>
      </text>
    </comment>
    <comment ref="K6" authorId="0" shapeId="0" xr:uid="{00000000-0006-0000-0500-000002000000}">
      <text>
        <r>
          <rPr>
            <b/>
            <sz val="9"/>
            <color indexed="12"/>
            <rFont val="ＭＳ Ｐゴシック"/>
            <family val="3"/>
            <charset val="128"/>
          </rPr>
          <t>「良」又は「否」で入力</t>
        </r>
      </text>
    </comment>
    <comment ref="V6" authorId="0" shapeId="0" xr:uid="{00000000-0006-0000-0500-000003000000}">
      <text>
        <r>
          <rPr>
            <b/>
            <sz val="9"/>
            <color indexed="12"/>
            <rFont val="ＭＳ Ｐゴシック"/>
            <family val="3"/>
            <charset val="128"/>
          </rPr>
          <t>「良」又は「否」で入力</t>
        </r>
      </text>
    </comment>
    <comment ref="L35" authorId="1" shapeId="0" xr:uid="{00000000-0006-0000-0500-000004000000}">
      <text>
        <r>
          <rPr>
            <b/>
            <sz val="9"/>
            <color indexed="81"/>
            <rFont val="MS P ゴシック"/>
            <family val="2"/>
            <charset val="128"/>
          </rPr>
          <t>SumitomoCorporationGroup:</t>
        </r>
        <r>
          <rPr>
            <sz val="9"/>
            <color indexed="81"/>
            <rFont val="MS P ゴシック"/>
            <family val="2"/>
            <charset val="128"/>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600-000001000000}">
      <text>
        <r>
          <rPr>
            <b/>
            <sz val="9"/>
            <color indexed="12"/>
            <rFont val="ＭＳ Ｐゴシック"/>
            <family val="3"/>
            <charset val="128"/>
          </rPr>
          <t>清掃業務月次の内容を入力する（定期・不定期含む）</t>
        </r>
        <r>
          <rPr>
            <sz val="9"/>
            <color indexed="81"/>
            <rFont val="ＭＳ Ｐゴシック"/>
            <family val="3"/>
            <charset val="128"/>
          </rPr>
          <t xml:space="preserve">
　・業者作業は管理概要①へ入力
　・自社作業は管理概要②へ入力
　・設備月次点検は管理概要③へ入力
　・事故・故障は管理概要⑤へ入力
　・その他報告事項はその他⑥へ入力</t>
        </r>
      </text>
    </comment>
    <comment ref="K6" authorId="0" shapeId="0" xr:uid="{00000000-0006-0000-0600-000002000000}">
      <text>
        <r>
          <rPr>
            <b/>
            <sz val="9"/>
            <color indexed="12"/>
            <rFont val="ＭＳ Ｐゴシック"/>
            <family val="3"/>
            <charset val="128"/>
          </rPr>
          <t>「良」又は「否」で入力</t>
        </r>
      </text>
    </comment>
    <comment ref="V6" authorId="0" shapeId="0" xr:uid="{00000000-0006-0000-0600-000003000000}">
      <text>
        <r>
          <rPr>
            <b/>
            <sz val="9"/>
            <color indexed="12"/>
            <rFont val="ＭＳ Ｐゴシック"/>
            <family val="3"/>
            <charset val="128"/>
          </rPr>
          <t>「良」又は「否」で入力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kanda6</author>
    <author>植原　和浩</author>
  </authors>
  <commentList>
    <comment ref="A4" authorId="0" shapeId="0" xr:uid="{00000000-0006-0000-0700-000001000000}">
      <text>
        <r>
          <rPr>
            <b/>
            <sz val="9"/>
            <color indexed="12"/>
            <rFont val="ＭＳ Ｐゴシック"/>
            <family val="3"/>
            <charset val="128"/>
          </rPr>
          <t xml:space="preserve">事故・故障の内容を入力する
</t>
        </r>
        <r>
          <rPr>
            <b/>
            <sz val="9"/>
            <color indexed="10"/>
            <rFont val="ＭＳ Ｐゴシック"/>
            <family val="3"/>
            <charset val="128"/>
          </rPr>
          <t>※特に注釈が必要な場合は「備考」欄へ入力する</t>
        </r>
        <r>
          <rPr>
            <sz val="9"/>
            <color indexed="81"/>
            <rFont val="ＭＳ Ｐゴシック"/>
            <family val="3"/>
            <charset val="128"/>
          </rPr>
          <t xml:space="preserve">
　・業者作業は管理概要①へ入力
　・自社作業は管理概要②へ入力
　・設備月次点検は管理概要③へ入力
　・清掃月次業務は管理概要④へ入力
　・その他報告事項は管理概要⑥へ入力</t>
        </r>
      </text>
    </comment>
    <comment ref="K6" authorId="1" shapeId="0" xr:uid="{00000000-0006-0000-0700-000002000000}">
      <text>
        <r>
          <rPr>
            <b/>
            <sz val="9"/>
            <color indexed="12"/>
            <rFont val="ＭＳ Ｐゴシック"/>
            <family val="3"/>
            <charset val="128"/>
          </rPr>
          <t>枠欄に収まらない場合は「備考」欄に入力する</t>
        </r>
      </text>
    </comment>
    <comment ref="N6" authorId="1" shapeId="0" xr:uid="{00000000-0006-0000-0700-000003000000}">
      <text>
        <r>
          <rPr>
            <b/>
            <sz val="9"/>
            <color indexed="12"/>
            <rFont val="ＭＳ Ｐゴシック"/>
            <family val="3"/>
            <charset val="128"/>
          </rPr>
          <t>「未」又は「済」で入力</t>
        </r>
      </text>
    </comment>
    <comment ref="Y6" authorId="1" shapeId="0" xr:uid="{00000000-0006-0000-0700-000004000000}">
      <text>
        <r>
          <rPr>
            <b/>
            <sz val="9"/>
            <color indexed="12"/>
            <rFont val="ＭＳ Ｐゴシック"/>
            <family val="3"/>
            <charset val="128"/>
          </rPr>
          <t>枠欄に収まらない場合は「備考」欄に入力する</t>
        </r>
      </text>
    </comment>
    <comment ref="AB6" authorId="1" shapeId="0" xr:uid="{00000000-0006-0000-0700-000005000000}">
      <text>
        <r>
          <rPr>
            <b/>
            <sz val="9"/>
            <color indexed="12"/>
            <rFont val="ＭＳ Ｐゴシック"/>
            <family val="3"/>
            <charset val="128"/>
          </rPr>
          <t>「未」又は「済」で入力</t>
        </r>
      </text>
    </comment>
    <comment ref="A42" authorId="0" shapeId="0" xr:uid="{00000000-0006-0000-0700-000006000000}">
      <text>
        <r>
          <rPr>
            <b/>
            <sz val="9"/>
            <color indexed="12"/>
            <rFont val="ＭＳ Ｐゴシック"/>
            <family val="3"/>
            <charset val="128"/>
          </rPr>
          <t xml:space="preserve">その他報告事項の内容を入力する
</t>
        </r>
        <r>
          <rPr>
            <b/>
            <sz val="9"/>
            <color indexed="10"/>
            <rFont val="ＭＳ Ｐゴシック"/>
            <family val="3"/>
            <charset val="128"/>
          </rPr>
          <t>※特にない場合は不要</t>
        </r>
        <r>
          <rPr>
            <b/>
            <sz val="9"/>
            <color indexed="12"/>
            <rFont val="ＭＳ Ｐゴシック"/>
            <family val="3"/>
            <charset val="128"/>
          </rPr>
          <t xml:space="preserve">
</t>
        </r>
      </text>
    </comment>
    <comment ref="A56" authorId="0" shapeId="0" xr:uid="{00000000-0006-0000-0700-000007000000}">
      <text>
        <r>
          <rPr>
            <b/>
            <sz val="9"/>
            <color indexed="12"/>
            <rFont val="ＭＳ Ｐゴシック"/>
            <family val="3"/>
            <charset val="128"/>
          </rPr>
          <t xml:space="preserve">上記「⑥事故・故障」の内容に関わる注釈を入力する
</t>
        </r>
        <r>
          <rPr>
            <b/>
            <sz val="9"/>
            <color indexed="10"/>
            <rFont val="ＭＳ Ｐゴシック"/>
            <family val="3"/>
            <charset val="128"/>
          </rPr>
          <t>※特に注釈が必要ない場合は不要</t>
        </r>
        <r>
          <rPr>
            <b/>
            <sz val="9"/>
            <color indexed="12"/>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800-000001000000}">
      <text>
        <r>
          <rPr>
            <b/>
            <sz val="9"/>
            <color indexed="12"/>
            <rFont val="ＭＳ Ｐゴシック"/>
            <family val="3"/>
            <charset val="128"/>
          </rPr>
          <t>検針表を参照し入力</t>
        </r>
        <r>
          <rPr>
            <b/>
            <sz val="9"/>
            <color indexed="81"/>
            <rFont val="ＭＳ Ｐゴシック"/>
            <family val="3"/>
            <charset val="128"/>
          </rPr>
          <t xml:space="preserve">
</t>
        </r>
        <r>
          <rPr>
            <b/>
            <sz val="9"/>
            <color indexed="10"/>
            <rFont val="ＭＳ Ｐゴシック"/>
            <family val="3"/>
            <charset val="128"/>
          </rPr>
          <t>※対前年比が許容範囲外（１３０％以上又は７０％未満）の場合は「備考」欄に理由を入力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kanda6</author>
    <author>作成者</author>
  </authors>
  <commentList>
    <comment ref="A1" authorId="0" shapeId="0" xr:uid="{00000000-0006-0000-0900-000001000000}">
      <text>
        <r>
          <rPr>
            <b/>
            <sz val="10"/>
            <color indexed="12"/>
            <rFont val="ＭＳ Ｐゴシック"/>
            <family val="3"/>
            <charset val="128"/>
          </rPr>
          <t>来月の自社作業及び業者作業の内容を作成時点で判明している範囲で入力</t>
        </r>
        <r>
          <rPr>
            <b/>
            <sz val="10"/>
            <color indexed="81"/>
            <rFont val="ＭＳ Ｐゴシック"/>
            <family val="3"/>
            <charset val="128"/>
          </rPr>
          <t xml:space="preserve">
</t>
        </r>
        <r>
          <rPr>
            <b/>
            <sz val="10"/>
            <color indexed="10"/>
            <rFont val="ＭＳ Ｐゴシック"/>
            <family val="3"/>
            <charset val="128"/>
          </rPr>
          <t>※特に重要な項目は「重点項目」欄に入力</t>
        </r>
      </text>
    </comment>
    <comment ref="R3" authorId="0" shapeId="0" xr:uid="{00000000-0006-0000-0900-000002000000}">
      <text>
        <r>
          <rPr>
            <b/>
            <sz val="10"/>
            <color indexed="12"/>
            <rFont val="ＭＳ Ｐゴシック"/>
            <family val="3"/>
            <charset val="128"/>
          </rPr>
          <t>リストから選択</t>
        </r>
      </text>
    </comment>
    <comment ref="AH5" authorId="1" shapeId="0" xr:uid="{00000000-0006-0000-0900-000003000000}">
      <text>
        <r>
          <rPr>
            <b/>
            <sz val="20"/>
            <color indexed="81"/>
            <rFont val="ＭＳ Ｐゴシック"/>
            <family val="3"/>
            <charset val="128"/>
          </rPr>
          <t>対象年変更で
自動出力</t>
        </r>
      </text>
    </comment>
    <comment ref="AH6" authorId="1" shapeId="0" xr:uid="{00000000-0006-0000-0900-000004000000}">
      <text>
        <r>
          <rPr>
            <b/>
            <sz val="20"/>
            <color indexed="81"/>
            <rFont val="ＭＳ Ｐゴシック"/>
            <family val="3"/>
            <charset val="128"/>
          </rPr>
          <t>対象月変更で
自動出力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C99" authorId="0" shapeId="0" xr:uid="{00000000-0006-0000-0C00-000001000000}">
      <text>
        <r>
          <rPr>
            <sz val="10"/>
            <color indexed="81"/>
            <rFont val="ＭＳ Ｐゴシック"/>
            <family val="3"/>
            <charset val="128"/>
          </rPr>
          <t>技術管理室：　
「定期報告書、中長期計画書」は、技術管理室として取り纏めの上、SC（単体）で届出している場合は、該当「無」（グレーアウト）とする。
なお、管理組合代表としてSCが届出している場合は記載する。</t>
        </r>
      </text>
    </comment>
    <comment ref="C109" authorId="0" shapeId="0" xr:uid="{00000000-0006-0000-0C00-000002000000}">
      <text>
        <r>
          <rPr>
            <sz val="10"/>
            <color indexed="81"/>
            <rFont val="ＭＳ ゴシック"/>
            <family val="3"/>
            <charset val="128"/>
          </rPr>
          <t>技術管理室：　
大阪：特定給食施設栄養管理報告書
　　　毎年5月及び11月実績を翌々月15日まで報告
東京：栄養管理報告書
　　　毎年5月及び11月実績を翌月15日まで報告</t>
        </r>
      </text>
    </comment>
    <comment ref="N109" authorId="0" shapeId="0" xr:uid="{00000000-0006-0000-0C00-000003000000}">
      <text>
        <r>
          <rPr>
            <sz val="10"/>
            <color indexed="81"/>
            <rFont val="ＭＳ Ｐゴシック"/>
            <family val="3"/>
            <charset val="128"/>
          </rPr>
          <t>技術管理室：　
東京：5月分→6/15まで、11月分→12/15まで
大阪：5月分→7/15まで、11月分→1/15まで
エリアに提出期限が異なるので、適宜修正願います。</t>
        </r>
      </text>
    </comment>
    <comment ref="B147" authorId="0" shapeId="0" xr:uid="{00000000-0006-0000-0C00-000004000000}">
      <text>
        <r>
          <rPr>
            <sz val="10"/>
            <color indexed="81"/>
            <rFont val="ＭＳ Ｐゴシック"/>
            <family val="3"/>
            <charset val="128"/>
          </rPr>
          <t>技術管理室：　上記に不足している法定業務項目がありましたら、こちらに記載願います。</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satoshi fukutomi</author>
  </authors>
  <commentList>
    <comment ref="B6" authorId="0" shapeId="0" xr:uid="{396207E1-0062-41D7-BCA8-648E7DF1CE92}">
      <text>
        <r>
          <rPr>
            <b/>
            <sz val="9"/>
            <color indexed="81"/>
            <rFont val="ＭＳ Ｐゴシック"/>
            <family val="3"/>
            <charset val="128"/>
          </rPr>
          <t>入力は半角数値のみ。
月、日に</t>
        </r>
        <r>
          <rPr>
            <b/>
            <sz val="9"/>
            <color indexed="81"/>
            <rFont val="MS P ゴシック"/>
            <family val="3"/>
            <charset val="128"/>
          </rPr>
          <t>0</t>
        </r>
        <r>
          <rPr>
            <b/>
            <sz val="9"/>
            <color indexed="81"/>
            <rFont val="ＭＳ Ｐゴシック"/>
            <family val="3"/>
            <charset val="128"/>
          </rPr>
          <t>は入れない。
入力例
〇</t>
        </r>
        <r>
          <rPr>
            <b/>
            <sz val="9"/>
            <color indexed="81"/>
            <rFont val="MS P ゴシック"/>
            <family val="3"/>
            <charset val="128"/>
          </rPr>
          <t xml:space="preserve">2023/5/5
</t>
        </r>
        <r>
          <rPr>
            <b/>
            <sz val="9"/>
            <color indexed="81"/>
            <rFont val="ＭＳ Ｐゴシック"/>
            <family val="3"/>
            <charset val="128"/>
          </rPr>
          <t>✖</t>
        </r>
        <r>
          <rPr>
            <b/>
            <sz val="9"/>
            <color indexed="81"/>
            <rFont val="MS P ゴシック"/>
            <family val="3"/>
            <charset val="128"/>
          </rPr>
          <t>2023/05/05</t>
        </r>
      </text>
    </comment>
    <comment ref="D6" authorId="0" shapeId="0" xr:uid="{329463C3-9959-4561-906B-031BD8187B2F}">
      <text>
        <r>
          <rPr>
            <b/>
            <sz val="9"/>
            <color indexed="81"/>
            <rFont val="MS P ゴシック"/>
            <family val="3"/>
            <charset val="128"/>
          </rPr>
          <t>表に空白セルを作らない！</t>
        </r>
        <r>
          <rPr>
            <sz val="9"/>
            <color indexed="81"/>
            <rFont val="MS P ゴシック"/>
            <family val="3"/>
            <charset val="128"/>
          </rPr>
          <t xml:space="preserve">
</t>
        </r>
      </text>
    </comment>
  </commentList>
</comments>
</file>

<file path=xl/sharedStrings.xml><?xml version="1.0" encoding="utf-8"?>
<sst xmlns="http://schemas.openxmlformats.org/spreadsheetml/2006/main" count="2136" uniqueCount="795">
  <si>
    <t>【水道使用量】</t>
    <rPh sb="1" eb="3">
      <t>スイドウ</t>
    </rPh>
    <rPh sb="3" eb="6">
      <t>シヨウリョウ</t>
    </rPh>
    <phoneticPr fontId="8"/>
  </si>
  <si>
    <t>【電気使用量】</t>
    <rPh sb="1" eb="3">
      <t>デンキ</t>
    </rPh>
    <rPh sb="3" eb="6">
      <t>シヨウリョウ</t>
    </rPh>
    <phoneticPr fontId="8"/>
  </si>
  <si>
    <t>検針月累計</t>
    <rPh sb="0" eb="2">
      <t>ケンシン</t>
    </rPh>
    <rPh sb="2" eb="3">
      <t>ヅキ</t>
    </rPh>
    <rPh sb="3" eb="5">
      <t>ルイケイ</t>
    </rPh>
    <phoneticPr fontId="8"/>
  </si>
  <si>
    <t>備　考：</t>
    <rPh sb="0" eb="1">
      <t>ビ</t>
    </rPh>
    <rPh sb="2" eb="3">
      <t>コウ</t>
    </rPh>
    <phoneticPr fontId="8"/>
  </si>
  <si>
    <t>重点項目</t>
    <rPh sb="0" eb="2">
      <t>ジュウテン</t>
    </rPh>
    <rPh sb="2" eb="4">
      <t>コウモク</t>
    </rPh>
    <phoneticPr fontId="8"/>
  </si>
  <si>
    <t>日</t>
    <rPh sb="0" eb="1">
      <t>ヒヅケ</t>
    </rPh>
    <phoneticPr fontId="8"/>
  </si>
  <si>
    <t>曜</t>
    <rPh sb="0" eb="1">
      <t>ヨウ</t>
    </rPh>
    <phoneticPr fontId="8"/>
  </si>
  <si>
    <t>設備区分</t>
    <rPh sb="0" eb="2">
      <t>セツビ</t>
    </rPh>
    <rPh sb="2" eb="4">
      <t>クブン</t>
    </rPh>
    <phoneticPr fontId="8"/>
  </si>
  <si>
    <t>施　　工　　内　　容</t>
    <rPh sb="0" eb="4">
      <t>セコウ</t>
    </rPh>
    <rPh sb="6" eb="10">
      <t>ナイヨウ</t>
    </rPh>
    <phoneticPr fontId="8"/>
  </si>
  <si>
    <t>施工会社</t>
    <rPh sb="0" eb="2">
      <t>セコウ</t>
    </rPh>
    <rPh sb="2" eb="4">
      <t>カイシャ</t>
    </rPh>
    <phoneticPr fontId="8"/>
  </si>
  <si>
    <t>日</t>
  </si>
  <si>
    <t>事故・故障の内容</t>
    <rPh sb="0" eb="2">
      <t>ジコ</t>
    </rPh>
    <rPh sb="3" eb="5">
      <t>コショウ</t>
    </rPh>
    <rPh sb="6" eb="8">
      <t>ナイヨウ</t>
    </rPh>
    <phoneticPr fontId="8"/>
  </si>
  <si>
    <t>対　　応</t>
    <rPh sb="0" eb="1">
      <t>タイショ</t>
    </rPh>
    <rPh sb="3" eb="4">
      <t>オウ</t>
    </rPh>
    <phoneticPr fontId="8"/>
  </si>
  <si>
    <t>確認</t>
    <rPh sb="0" eb="2">
      <t>カクニン</t>
    </rPh>
    <phoneticPr fontId="8"/>
  </si>
  <si>
    <t>曜</t>
  </si>
  <si>
    <t>業　　　務　　　内　　　容</t>
  </si>
  <si>
    <t>結果</t>
  </si>
  <si>
    <t>備　　　考</t>
    <rPh sb="0" eb="1">
      <t>ソナエ</t>
    </rPh>
    <rPh sb="4" eb="5">
      <t>コウ</t>
    </rPh>
    <phoneticPr fontId="8"/>
  </si>
  <si>
    <t>対前年比</t>
    <rPh sb="0" eb="1">
      <t>タイ</t>
    </rPh>
    <rPh sb="1" eb="4">
      <t>ゼンネンヒ</t>
    </rPh>
    <phoneticPr fontId="8"/>
  </si>
  <si>
    <t>管理概要　</t>
    <phoneticPr fontId="8"/>
  </si>
  <si>
    <t>前年度使用量</t>
    <rPh sb="0" eb="3">
      <t>ゼンネンド</t>
    </rPh>
    <rPh sb="3" eb="6">
      <t>シヨウリョウ</t>
    </rPh>
    <phoneticPr fontId="8"/>
  </si>
  <si>
    <t>本年度使用量</t>
    <rPh sb="0" eb="3">
      <t>ホンネンド</t>
    </rPh>
    <rPh sb="3" eb="6">
      <t>シヨウリョウ</t>
    </rPh>
    <phoneticPr fontId="8"/>
  </si>
  <si>
    <t>空調</t>
    <rPh sb="0" eb="2">
      <t>クウチョウ</t>
    </rPh>
    <phoneticPr fontId="8"/>
  </si>
  <si>
    <t>その他</t>
    <rPh sb="2" eb="3">
      <t>タ</t>
    </rPh>
    <phoneticPr fontId="8"/>
  </si>
  <si>
    <t>消防</t>
    <rPh sb="0" eb="2">
      <t>ショウボウ</t>
    </rPh>
    <phoneticPr fontId="8"/>
  </si>
  <si>
    <t>業 務 内 容</t>
  </si>
  <si>
    <t>備　考</t>
  </si>
  <si>
    <t>予</t>
  </si>
  <si>
    <t>実</t>
  </si>
  <si>
    <t>（委託業者）</t>
    <rPh sb="1" eb="3">
      <t>イタク</t>
    </rPh>
    <rPh sb="3" eb="5">
      <t>ギョウシャ</t>
    </rPh>
    <phoneticPr fontId="8"/>
  </si>
  <si>
    <t>毎日</t>
    <rPh sb="0" eb="2">
      <t>マイニチ</t>
    </rPh>
    <phoneticPr fontId="8"/>
  </si>
  <si>
    <t>○</t>
  </si>
  <si>
    <t>保安業務</t>
    <rPh sb="0" eb="2">
      <t>ホアン</t>
    </rPh>
    <rPh sb="2" eb="4">
      <t>ギョウム</t>
    </rPh>
    <phoneticPr fontId="8"/>
  </si>
  <si>
    <t>機械警備及び遠隔監視</t>
    <rPh sb="0" eb="2">
      <t>キカイ</t>
    </rPh>
    <rPh sb="2" eb="4">
      <t>ケイビ</t>
    </rPh>
    <rPh sb="4" eb="5">
      <t>オヨ</t>
    </rPh>
    <rPh sb="6" eb="8">
      <t>エンカク</t>
    </rPh>
    <rPh sb="8" eb="10">
      <t>カンシ</t>
    </rPh>
    <phoneticPr fontId="8"/>
  </si>
  <si>
    <t>建築</t>
    <rPh sb="0" eb="2">
      <t>ケンチク</t>
    </rPh>
    <phoneticPr fontId="8"/>
  </si>
  <si>
    <t>建築設備定期検査</t>
    <rPh sb="0" eb="2">
      <t>ケンチク</t>
    </rPh>
    <rPh sb="2" eb="4">
      <t>セツビ</t>
    </rPh>
    <rPh sb="4" eb="6">
      <t>テイキ</t>
    </rPh>
    <rPh sb="6" eb="8">
      <t>ケンサ</t>
    </rPh>
    <phoneticPr fontId="8"/>
  </si>
  <si>
    <t>自動扉保守</t>
    <rPh sb="0" eb="2">
      <t>ジドウ</t>
    </rPh>
    <rPh sb="2" eb="3">
      <t>トビラ</t>
    </rPh>
    <rPh sb="3" eb="5">
      <t>ホシュ</t>
    </rPh>
    <phoneticPr fontId="8"/>
  </si>
  <si>
    <t>エレベーター保守</t>
    <rPh sb="6" eb="8">
      <t>ホシュ</t>
    </rPh>
    <phoneticPr fontId="8"/>
  </si>
  <si>
    <t>電気</t>
    <rPh sb="0" eb="2">
      <t>デンキ</t>
    </rPh>
    <phoneticPr fontId="8"/>
  </si>
  <si>
    <t>電気工作物保守</t>
    <rPh sb="0" eb="2">
      <t>デンキ</t>
    </rPh>
    <rPh sb="2" eb="5">
      <t>コウサクブツ</t>
    </rPh>
    <rPh sb="5" eb="7">
      <t>ホシュ</t>
    </rPh>
    <phoneticPr fontId="8"/>
  </si>
  <si>
    <t>空調設備保守</t>
    <rPh sb="0" eb="2">
      <t>クウチョウ</t>
    </rPh>
    <rPh sb="2" eb="4">
      <t>セツビ</t>
    </rPh>
    <rPh sb="4" eb="6">
      <t>ホシュ</t>
    </rPh>
    <phoneticPr fontId="8"/>
  </si>
  <si>
    <t>空調機フィルター清掃</t>
    <rPh sb="0" eb="2">
      <t>クウチョウ</t>
    </rPh>
    <rPh sb="2" eb="3">
      <t>キ</t>
    </rPh>
    <rPh sb="8" eb="10">
      <t>セイソウ</t>
    </rPh>
    <phoneticPr fontId="8"/>
  </si>
  <si>
    <t>消防設備点検</t>
    <rPh sb="0" eb="2">
      <t>ショウボウ</t>
    </rPh>
    <rPh sb="2" eb="4">
      <t>セツビ</t>
    </rPh>
    <rPh sb="4" eb="6">
      <t>テンケン</t>
    </rPh>
    <phoneticPr fontId="8"/>
  </si>
  <si>
    <t>連結送水管耐圧試験</t>
    <rPh sb="0" eb="2">
      <t>レンケツ</t>
    </rPh>
    <rPh sb="2" eb="3">
      <t>ソウ</t>
    </rPh>
    <rPh sb="3" eb="5">
      <t>スイカン</t>
    </rPh>
    <rPh sb="5" eb="7">
      <t>タイアツ</t>
    </rPh>
    <rPh sb="7" eb="9">
      <t>シケン</t>
    </rPh>
    <phoneticPr fontId="8"/>
  </si>
  <si>
    <t>植栽管理業務</t>
    <rPh sb="0" eb="2">
      <t>ショクサイ</t>
    </rPh>
    <rPh sb="2" eb="4">
      <t>カンリ</t>
    </rPh>
    <rPh sb="4" eb="6">
      <t>ギョウム</t>
    </rPh>
    <phoneticPr fontId="8"/>
  </si>
  <si>
    <t>年間スケジュール入力</t>
    <rPh sb="0" eb="2">
      <t>ネンカン</t>
    </rPh>
    <rPh sb="8" eb="10">
      <t>ニュウリョク</t>
    </rPh>
    <phoneticPr fontId="8"/>
  </si>
  <si>
    <t>業 務 内 容</t>
    <rPh sb="0" eb="1">
      <t>ギョウ</t>
    </rPh>
    <rPh sb="2" eb="3">
      <t>ツトム</t>
    </rPh>
    <rPh sb="4" eb="5">
      <t>ウチ</t>
    </rPh>
    <rPh sb="6" eb="7">
      <t>カタチ</t>
    </rPh>
    <phoneticPr fontId="8"/>
  </si>
  <si>
    <t>実施回数</t>
    <rPh sb="0" eb="2">
      <t>ジッシ</t>
    </rPh>
    <rPh sb="2" eb="4">
      <t>カイスウ</t>
    </rPh>
    <phoneticPr fontId="8"/>
  </si>
  <si>
    <t>４　月</t>
    <rPh sb="2" eb="3">
      <t>ガツ</t>
    </rPh>
    <phoneticPr fontId="8"/>
  </si>
  <si>
    <t>５　月</t>
    <rPh sb="2" eb="3">
      <t>ガツ</t>
    </rPh>
    <phoneticPr fontId="8"/>
  </si>
  <si>
    <t>６　月</t>
    <rPh sb="2" eb="3">
      <t>ガツ</t>
    </rPh>
    <phoneticPr fontId="8"/>
  </si>
  <si>
    <t>７　月</t>
    <rPh sb="2" eb="3">
      <t>ガツ</t>
    </rPh>
    <phoneticPr fontId="8"/>
  </si>
  <si>
    <t>８　月</t>
    <rPh sb="2" eb="3">
      <t>ガツ</t>
    </rPh>
    <phoneticPr fontId="8"/>
  </si>
  <si>
    <t>９　月</t>
    <rPh sb="2" eb="3">
      <t>ガツ</t>
    </rPh>
    <phoneticPr fontId="8"/>
  </si>
  <si>
    <t>２　月</t>
    <rPh sb="2" eb="3">
      <t>ガツ</t>
    </rPh>
    <phoneticPr fontId="8"/>
  </si>
  <si>
    <t>３　月</t>
    <rPh sb="2" eb="3">
      <t>ガツ</t>
    </rPh>
    <phoneticPr fontId="8"/>
  </si>
  <si>
    <t>備　考</t>
    <rPh sb="0" eb="1">
      <t>ビ</t>
    </rPh>
    <rPh sb="2" eb="3">
      <t>コウ</t>
    </rPh>
    <phoneticPr fontId="8"/>
  </si>
  <si>
    <t>予</t>
    <rPh sb="0" eb="1">
      <t>ヨ</t>
    </rPh>
    <phoneticPr fontId="8"/>
  </si>
  <si>
    <t>実</t>
    <rPh sb="0" eb="1">
      <t>ジツ</t>
    </rPh>
    <phoneticPr fontId="8"/>
  </si>
  <si>
    <t>毎月</t>
    <rPh sb="0" eb="2">
      <t>マイツキ</t>
    </rPh>
    <phoneticPr fontId="8"/>
  </si>
  <si>
    <t>1回／年</t>
    <rPh sb="1" eb="2">
      <t>カイ</t>
    </rPh>
    <rPh sb="3" eb="4">
      <t>ネン</t>
    </rPh>
    <phoneticPr fontId="8"/>
  </si>
  <si>
    <t>加湿器点検</t>
    <rPh sb="0" eb="2">
      <t>カシツ</t>
    </rPh>
    <rPh sb="2" eb="3">
      <t>キ</t>
    </rPh>
    <rPh sb="3" eb="5">
      <t>テンケン</t>
    </rPh>
    <phoneticPr fontId="8"/>
  </si>
  <si>
    <t>定期清掃業務</t>
    <rPh sb="0" eb="2">
      <t>テイキ</t>
    </rPh>
    <rPh sb="2" eb="4">
      <t>セイソウ</t>
    </rPh>
    <rPh sb="4" eb="6">
      <t>ギョウム</t>
    </rPh>
    <phoneticPr fontId="8"/>
  </si>
  <si>
    <t>１０　月</t>
    <rPh sb="3" eb="4">
      <t>ガツ</t>
    </rPh>
    <phoneticPr fontId="8"/>
  </si>
  <si>
    <t>１１　月</t>
    <rPh sb="3" eb="4">
      <t>ガツ</t>
    </rPh>
    <phoneticPr fontId="8"/>
  </si>
  <si>
    <t>１２　月</t>
    <rPh sb="3" eb="4">
      <t>ガツ</t>
    </rPh>
    <phoneticPr fontId="8"/>
  </si>
  <si>
    <t>１　月</t>
    <rPh sb="2" eb="3">
      <t>ガツ</t>
    </rPh>
    <phoneticPr fontId="8"/>
  </si>
  <si>
    <t>電　気</t>
    <rPh sb="0" eb="1">
      <t>デン</t>
    </rPh>
    <rPh sb="2" eb="3">
      <t>キ</t>
    </rPh>
    <phoneticPr fontId="8"/>
  </si>
  <si>
    <t>弱電盤点検</t>
    <rPh sb="0" eb="2">
      <t>ジャクデン</t>
    </rPh>
    <rPh sb="2" eb="3">
      <t>バン</t>
    </rPh>
    <rPh sb="3" eb="5">
      <t>テンケン</t>
    </rPh>
    <phoneticPr fontId="8"/>
  </si>
  <si>
    <t>1回/年</t>
    <rPh sb="1" eb="2">
      <t>ネン</t>
    </rPh>
    <phoneticPr fontId="8"/>
  </si>
  <si>
    <t>ITV設備点検</t>
    <rPh sb="3" eb="5">
      <t>セツビ</t>
    </rPh>
    <rPh sb="5" eb="7">
      <t>テンケン</t>
    </rPh>
    <phoneticPr fontId="8"/>
  </si>
  <si>
    <t>毎月</t>
    <rPh sb="0" eb="1">
      <t>マイツキ</t>
    </rPh>
    <phoneticPr fontId="8"/>
  </si>
  <si>
    <t>空　調</t>
    <rPh sb="0" eb="1">
      <t>ゾラ</t>
    </rPh>
    <rPh sb="2" eb="3">
      <t>チョウ</t>
    </rPh>
    <phoneticPr fontId="8"/>
  </si>
  <si>
    <r>
      <t>空調設備点検</t>
    </r>
    <r>
      <rPr>
        <sz val="10"/>
        <rFont val="ＭＳ Ｐゴシック"/>
        <family val="3"/>
        <charset val="128"/>
      </rPr>
      <t>（室外機）</t>
    </r>
    <rPh sb="0" eb="2">
      <t>クウチョウ</t>
    </rPh>
    <rPh sb="2" eb="4">
      <t>セツビ</t>
    </rPh>
    <rPh sb="4" eb="6">
      <t>テンケン</t>
    </rPh>
    <rPh sb="7" eb="8">
      <t>シツ</t>
    </rPh>
    <rPh sb="8" eb="9">
      <t>ガイ</t>
    </rPh>
    <rPh sb="9" eb="10">
      <t>キ</t>
    </rPh>
    <phoneticPr fontId="8"/>
  </si>
  <si>
    <t>1回/年</t>
    <rPh sb="1" eb="2">
      <t>カイ</t>
    </rPh>
    <rPh sb="3" eb="4">
      <t>ネン</t>
    </rPh>
    <phoneticPr fontId="8"/>
  </si>
  <si>
    <t>衛　生</t>
    <rPh sb="0" eb="1">
      <t>マモル</t>
    </rPh>
    <rPh sb="2" eb="3">
      <t>ショウ</t>
    </rPh>
    <phoneticPr fontId="8"/>
  </si>
  <si>
    <t>直結増圧ポンプ点検</t>
    <rPh sb="0" eb="2">
      <t>チョッケツ</t>
    </rPh>
    <rPh sb="2" eb="4">
      <t>ゾウアツ</t>
    </rPh>
    <rPh sb="7" eb="9">
      <t>テンケン</t>
    </rPh>
    <phoneticPr fontId="8"/>
  </si>
  <si>
    <t>散水設備点検</t>
    <rPh sb="0" eb="1">
      <t>サンスイ</t>
    </rPh>
    <rPh sb="1" eb="3">
      <t>セツビ</t>
    </rPh>
    <rPh sb="3" eb="5">
      <t>テンケン</t>
    </rPh>
    <phoneticPr fontId="8"/>
  </si>
  <si>
    <t>水道メーター検針</t>
    <rPh sb="0" eb="1">
      <t>スイドウ</t>
    </rPh>
    <rPh sb="5" eb="7">
      <t>ケンシン</t>
    </rPh>
    <phoneticPr fontId="8"/>
  </si>
  <si>
    <t>消　防</t>
    <rPh sb="0" eb="1">
      <t>ケ</t>
    </rPh>
    <rPh sb="2" eb="3">
      <t>ボウ</t>
    </rPh>
    <phoneticPr fontId="8"/>
  </si>
  <si>
    <t>自火報盤点検</t>
    <rPh sb="0" eb="1">
      <t>ジ</t>
    </rPh>
    <rPh sb="1" eb="2">
      <t>カ</t>
    </rPh>
    <rPh sb="2" eb="3">
      <t>ホウ</t>
    </rPh>
    <rPh sb="3" eb="4">
      <t>バン</t>
    </rPh>
    <rPh sb="4" eb="6">
      <t>テンケン</t>
    </rPh>
    <phoneticPr fontId="8"/>
  </si>
  <si>
    <t>連結送水管点検</t>
    <rPh sb="0" eb="2">
      <t>レンケツ</t>
    </rPh>
    <rPh sb="2" eb="5">
      <t>ソウスイカン</t>
    </rPh>
    <rPh sb="5" eb="7">
      <t>テンケン</t>
    </rPh>
    <phoneticPr fontId="8"/>
  </si>
  <si>
    <t>消火器点検</t>
    <rPh sb="0" eb="3">
      <t>ショウカキ</t>
    </rPh>
    <rPh sb="3" eb="5">
      <t>テンケン</t>
    </rPh>
    <phoneticPr fontId="8"/>
  </si>
  <si>
    <t>誘導灯設備点検</t>
    <rPh sb="0" eb="3">
      <t>ユウドウトウ</t>
    </rPh>
    <rPh sb="3" eb="5">
      <t>セツビ</t>
    </rPh>
    <rPh sb="5" eb="7">
      <t>テンケン</t>
    </rPh>
    <phoneticPr fontId="8"/>
  </si>
  <si>
    <t>建築設備点検</t>
    <rPh sb="0" eb="2">
      <t>ケンチク</t>
    </rPh>
    <rPh sb="2" eb="4">
      <t>セツビ</t>
    </rPh>
    <rPh sb="4" eb="6">
      <t>テンケン</t>
    </rPh>
    <phoneticPr fontId="8"/>
  </si>
  <si>
    <t>給水ポンプ点検</t>
    <rPh sb="0" eb="2">
      <t>キュウスイ</t>
    </rPh>
    <rPh sb="5" eb="7">
      <t>テンケン</t>
    </rPh>
    <phoneticPr fontId="8"/>
  </si>
  <si>
    <t>防火設備定期検査</t>
    <rPh sb="0" eb="2">
      <t>ボウカ</t>
    </rPh>
    <rPh sb="2" eb="4">
      <t>セツビ</t>
    </rPh>
    <rPh sb="4" eb="6">
      <t>テイキ</t>
    </rPh>
    <rPh sb="6" eb="8">
      <t>ケンサ</t>
    </rPh>
    <phoneticPr fontId="8"/>
  </si>
  <si>
    <t>衛生</t>
    <rPh sb="0" eb="2">
      <t>エイセイ</t>
    </rPh>
    <phoneticPr fontId="8"/>
  </si>
  <si>
    <t>5月</t>
  </si>
  <si>
    <t>6月</t>
  </si>
  <si>
    <t>7月</t>
  </si>
  <si>
    <t>8月</t>
  </si>
  <si>
    <t>9月</t>
  </si>
  <si>
    <t>10月</t>
  </si>
  <si>
    <t>11月</t>
  </si>
  <si>
    <t>12月</t>
  </si>
  <si>
    <t>2月</t>
    <rPh sb="1" eb="2">
      <t>ガツ</t>
    </rPh>
    <phoneticPr fontId="8"/>
  </si>
  <si>
    <t>⑤　事故・故障報告</t>
    <rPh sb="2" eb="4">
      <t>ジコ</t>
    </rPh>
    <rPh sb="5" eb="7">
      <t>コショウ</t>
    </rPh>
    <rPh sb="7" eb="9">
      <t>ホウコク</t>
    </rPh>
    <phoneticPr fontId="8"/>
  </si>
  <si>
    <t>日常</t>
    <rPh sb="0" eb="2">
      <t>ニチジョウ</t>
    </rPh>
    <phoneticPr fontId="8"/>
  </si>
  <si>
    <t>保全業務</t>
    <rPh sb="0" eb="2">
      <t>ホゼン</t>
    </rPh>
    <rPh sb="2" eb="4">
      <t>ギョウム</t>
    </rPh>
    <phoneticPr fontId="8"/>
  </si>
  <si>
    <t>清掃業務</t>
    <rPh sb="0" eb="2">
      <t>セイソウ</t>
    </rPh>
    <rPh sb="2" eb="4">
      <t>ギョウム</t>
    </rPh>
    <phoneticPr fontId="8"/>
  </si>
  <si>
    <t>塵芥処理</t>
    <rPh sb="0" eb="2">
      <t>ジンカイ</t>
    </rPh>
    <rPh sb="2" eb="4">
      <t>ショリ</t>
    </rPh>
    <phoneticPr fontId="8"/>
  </si>
  <si>
    <t>④　清掃業務月次報告</t>
    <rPh sb="2" eb="4">
      <t>セイソウ</t>
    </rPh>
    <rPh sb="4" eb="6">
      <t>ギョウム</t>
    </rPh>
    <rPh sb="6" eb="8">
      <t>ゲツジ</t>
    </rPh>
    <rPh sb="8" eb="10">
      <t>ホウコク</t>
    </rPh>
    <phoneticPr fontId="8"/>
  </si>
  <si>
    <t>備考</t>
    <rPh sb="0" eb="2">
      <t>ビコウ</t>
    </rPh>
    <phoneticPr fontId="8"/>
  </si>
  <si>
    <t>2回/年</t>
    <rPh sb="1" eb="2">
      <t>カイ</t>
    </rPh>
    <rPh sb="3" eb="4">
      <t>ネン</t>
    </rPh>
    <phoneticPr fontId="8"/>
  </si>
  <si>
    <t>6回/年</t>
    <rPh sb="1" eb="2">
      <t>カイ</t>
    </rPh>
    <rPh sb="3" eb="4">
      <t>ネン</t>
    </rPh>
    <phoneticPr fontId="8"/>
  </si>
  <si>
    <t>SCB</t>
  </si>
  <si>
    <t>ホルムアルデヒド測定</t>
    <rPh sb="8" eb="10">
      <t>ソクテイ</t>
    </rPh>
    <phoneticPr fontId="8"/>
  </si>
  <si>
    <t>消防設備点検</t>
  </si>
  <si>
    <t>３．水道光熱使用量</t>
    <rPh sb="2" eb="4">
      <t>スイドウ</t>
    </rPh>
    <rPh sb="4" eb="6">
      <t>コウネツ</t>
    </rPh>
    <rPh sb="6" eb="9">
      <t>シヨウリョウ</t>
    </rPh>
    <phoneticPr fontId="8"/>
  </si>
  <si>
    <t>４．月間点検作業予定と重点項目</t>
    <rPh sb="8" eb="10">
      <t>ヨテイ</t>
    </rPh>
    <rPh sb="11" eb="13">
      <t>ジュウテン</t>
    </rPh>
    <rPh sb="13" eb="15">
      <t>コウモク</t>
    </rPh>
    <phoneticPr fontId="8"/>
  </si>
  <si>
    <t>①　定期保守業務</t>
    <rPh sb="4" eb="6">
      <t>ホシュ</t>
    </rPh>
    <rPh sb="6" eb="8">
      <t>ギョウム</t>
    </rPh>
    <phoneticPr fontId="8"/>
  </si>
  <si>
    <t>保守作業</t>
    <rPh sb="0" eb="2">
      <t>ホシュ</t>
    </rPh>
    <rPh sb="2" eb="4">
      <t>サギョウ</t>
    </rPh>
    <phoneticPr fontId="8"/>
  </si>
  <si>
    <t>巡回業務</t>
    <rPh sb="0" eb="2">
      <t>ジュンカイ</t>
    </rPh>
    <rPh sb="2" eb="4">
      <t>ギョウム</t>
    </rPh>
    <phoneticPr fontId="8"/>
  </si>
  <si>
    <t>③　設備巡回業務月次点検報告</t>
    <rPh sb="2" eb="4">
      <t>セツビ</t>
    </rPh>
    <rPh sb="4" eb="6">
      <t>ジュンカイ</t>
    </rPh>
    <rPh sb="6" eb="8">
      <t>ギョウム</t>
    </rPh>
    <rPh sb="8" eb="10">
      <t>ゲツジ</t>
    </rPh>
    <rPh sb="10" eb="12">
      <t>テンケン</t>
    </rPh>
    <rPh sb="12" eb="14">
      <t>ホウコク</t>
    </rPh>
    <phoneticPr fontId="8"/>
  </si>
  <si>
    <t>3月</t>
    <phoneticPr fontId="8"/>
  </si>
  <si>
    <t>検針月累計</t>
    <phoneticPr fontId="8"/>
  </si>
  <si>
    <t>②スポット対応、テナント対応業務</t>
    <rPh sb="5" eb="7">
      <t>タイオウ</t>
    </rPh>
    <rPh sb="12" eb="14">
      <t>タイオウ</t>
    </rPh>
    <rPh sb="14" eb="16">
      <t>ギョウム</t>
    </rPh>
    <phoneticPr fontId="8"/>
  </si>
  <si>
    <t>メーター有効期限確認</t>
    <rPh sb="4" eb="6">
      <t>ユウコウ</t>
    </rPh>
    <rPh sb="6" eb="8">
      <t>キゲン</t>
    </rPh>
    <rPh sb="8" eb="10">
      <t>カクニン</t>
    </rPh>
    <phoneticPr fontId="8"/>
  </si>
  <si>
    <t>○</t>
    <phoneticPr fontId="8"/>
  </si>
  <si>
    <t>1回/年</t>
    <phoneticPr fontId="8"/>
  </si>
  <si>
    <t>2回/年</t>
    <phoneticPr fontId="8"/>
  </si>
  <si>
    <t>給排気ファン設備点検</t>
    <rPh sb="0" eb="1">
      <t>キュウ</t>
    </rPh>
    <rPh sb="1" eb="3">
      <t>ハイキ</t>
    </rPh>
    <rPh sb="6" eb="8">
      <t>セツビ</t>
    </rPh>
    <rPh sb="8" eb="10">
      <t>テンケン</t>
    </rPh>
    <phoneticPr fontId="8"/>
  </si>
  <si>
    <t>最大需要電力
（デマンド値）</t>
    <rPh sb="12" eb="13">
      <t>チ</t>
    </rPh>
    <phoneticPr fontId="8"/>
  </si>
  <si>
    <t>入力用</t>
    <rPh sb="0" eb="2">
      <t>ニュウリョク</t>
    </rPh>
    <rPh sb="2" eb="3">
      <t>ヨウ</t>
    </rPh>
    <phoneticPr fontId="8"/>
  </si>
  <si>
    <t xml:space="preserve">御成門ＰＲＥＸの契約電力について
当ビルは実量制で契約電力が決定しております。
実量制の契約電力は、当月を含む過去１年間の各月の最大需要電力（デマンド値）のうちで最も大きい値となります。 
ただし、電気使用開始から１年間の各月の契約電力は、電気使用開始月からその月までの最大需要電力
のうち最も大きい値となります。
※最大需要電力（デマンド値）は３０分毎の平均使用電力のうち、月間で最も大きい値を最大需要電力といいます。この値は、同時にお使いになる負荷設備が多いほど、大きくなります。
電気料金の計算方法
毎月の電気料金は、契約電力にもとづいて計算された基本料金と、使用電力量によって計算された電力量料金に、
再生可能エネルギー発電促進賦課金を加えたものになります。
 電力量料金は、燃料費の変動に応じて、燃料費調整額を加算あるいは差し引いて計算します。
電気料金の計算式
基本料金
基本料金単価(税込)×契約電力×(185－力率)/100 
電力量料金
電力量料金単価(税込)×使用電力量±燃料費調整額 
合計
基本料金＋電力量料金＋再生可能エネルギー発電促進賦課金 
</t>
    <rPh sb="0" eb="3">
      <t>オナリモン</t>
    </rPh>
    <rPh sb="17" eb="18">
      <t>トウ</t>
    </rPh>
    <rPh sb="75" eb="76">
      <t>チ</t>
    </rPh>
    <phoneticPr fontId="8"/>
  </si>
  <si>
    <t>□トラブルについて</t>
    <phoneticPr fontId="8"/>
  </si>
  <si>
    <t>1)</t>
    <phoneticPr fontId="8"/>
  </si>
  <si>
    <t>□エネルギー使用について</t>
    <rPh sb="6" eb="8">
      <t>シヨウ</t>
    </rPh>
    <phoneticPr fontId="8"/>
  </si>
  <si>
    <t>□その他</t>
    <rPh sb="3" eb="4">
      <t>タ</t>
    </rPh>
    <phoneticPr fontId="8"/>
  </si>
  <si>
    <t>エス・シー・ビルサービス株式会社</t>
    <rPh sb="12" eb="16">
      <t>カブシキガイシャ</t>
    </rPh>
    <phoneticPr fontId="8"/>
  </si>
  <si>
    <t>Ｓ　Ｂ　Ｍ</t>
    <phoneticPr fontId="8"/>
  </si>
  <si>
    <t>Ｓ　Ｃ　Ｂ</t>
    <phoneticPr fontId="8"/>
  </si>
  <si>
    <t>《目　　　　次》</t>
    <rPh sb="1" eb="7">
      <t>モクジ</t>
    </rPh>
    <phoneticPr fontId="8"/>
  </si>
  <si>
    <t>　　　　　　　　　　　　　　　　　　　　　　　　　　１．所見</t>
    <rPh sb="28" eb="30">
      <t>ショケン</t>
    </rPh>
    <phoneticPr fontId="8"/>
  </si>
  <si>
    <t>　　　　　　　　　　　　　　　　　　　　　　　　　　２．今月実施業務報告</t>
    <rPh sb="28" eb="30">
      <t>コンゲツ</t>
    </rPh>
    <rPh sb="30" eb="32">
      <t>ジッシ</t>
    </rPh>
    <rPh sb="32" eb="34">
      <t>ギョウム</t>
    </rPh>
    <rPh sb="34" eb="36">
      <t>ホウコク</t>
    </rPh>
    <phoneticPr fontId="8"/>
  </si>
  <si>
    <t>　　　　　　　　　　　　　　　　　　　　　　　　　　　　①　定期保守業務</t>
    <rPh sb="30" eb="32">
      <t>テイキ</t>
    </rPh>
    <rPh sb="32" eb="34">
      <t>ホシュ</t>
    </rPh>
    <rPh sb="34" eb="36">
      <t>ギョウム</t>
    </rPh>
    <phoneticPr fontId="8"/>
  </si>
  <si>
    <t>　　　　　　　　　　　　　　　　　　　　　　　　　　　　②　スポット対応、テナント対応業務</t>
    <rPh sb="34" eb="36">
      <t>タイオウ</t>
    </rPh>
    <rPh sb="41" eb="43">
      <t>タイオウ</t>
    </rPh>
    <rPh sb="43" eb="45">
      <t>ギョウム</t>
    </rPh>
    <phoneticPr fontId="8"/>
  </si>
  <si>
    <t>　　　　　　　　　　　　　　　　　　　　　　　　　　　　③　設備巡回業務月次点検報告</t>
    <rPh sb="30" eb="32">
      <t>セツビ</t>
    </rPh>
    <rPh sb="32" eb="34">
      <t>ジュンカイ</t>
    </rPh>
    <rPh sb="34" eb="36">
      <t>ギョウム</t>
    </rPh>
    <rPh sb="36" eb="38">
      <t>ゲツジ</t>
    </rPh>
    <rPh sb="38" eb="40">
      <t>テンケン</t>
    </rPh>
    <rPh sb="40" eb="42">
      <t>ホウコク</t>
    </rPh>
    <phoneticPr fontId="8"/>
  </si>
  <si>
    <t>　　　　　　　　　　　　　　　　　　　　　　　　　　　　④　清掃業務月次報告</t>
    <rPh sb="30" eb="32">
      <t>セイソウ</t>
    </rPh>
    <rPh sb="32" eb="34">
      <t>ギョウム</t>
    </rPh>
    <rPh sb="34" eb="36">
      <t>ゲツジ</t>
    </rPh>
    <rPh sb="36" eb="38">
      <t>ホウコク</t>
    </rPh>
    <phoneticPr fontId="8"/>
  </si>
  <si>
    <t>　　　　　　　　　　　　　　　　　　　　　　　　　　　　⑤　事故・故障関係報告</t>
    <rPh sb="30" eb="32">
      <t>ジコ</t>
    </rPh>
    <rPh sb="33" eb="35">
      <t>コショウ</t>
    </rPh>
    <rPh sb="35" eb="37">
      <t>カンケイ</t>
    </rPh>
    <rPh sb="37" eb="39">
      <t>ホウコク</t>
    </rPh>
    <phoneticPr fontId="8"/>
  </si>
  <si>
    <t>　　　　　　　　　　　　　　　　　　　　　　　　　　　　⑥　その他報告</t>
    <rPh sb="32" eb="33">
      <t>タ</t>
    </rPh>
    <rPh sb="33" eb="35">
      <t>ホウコク</t>
    </rPh>
    <phoneticPr fontId="8"/>
  </si>
  <si>
    <t>　　　　　　　　　　　　　　　　　　　　　　　　　　３．水道光熱使用量</t>
    <rPh sb="28" eb="30">
      <t>スイドウ</t>
    </rPh>
    <rPh sb="30" eb="32">
      <t>コウネツ</t>
    </rPh>
    <rPh sb="32" eb="35">
      <t>シヨウリョウ</t>
    </rPh>
    <phoneticPr fontId="8"/>
  </si>
  <si>
    <t>　　　　　　　　　　　　　　　　　　　　　　　　　　４．来月度作業予定表</t>
    <rPh sb="28" eb="30">
      <t>ライゲツ</t>
    </rPh>
    <rPh sb="30" eb="31">
      <t>ド</t>
    </rPh>
    <rPh sb="31" eb="33">
      <t>サギョウ</t>
    </rPh>
    <rPh sb="33" eb="35">
      <t>ヨテイ</t>
    </rPh>
    <rPh sb="35" eb="36">
      <t>ヒョウ</t>
    </rPh>
    <phoneticPr fontId="8"/>
  </si>
  <si>
    <t>　　　　　　　　　　　　　　　　　　　　　　　　　　５．年間管理表</t>
    <rPh sb="28" eb="30">
      <t>ネンカン</t>
    </rPh>
    <rPh sb="30" eb="32">
      <t>カンリ</t>
    </rPh>
    <rPh sb="32" eb="33">
      <t>ヒョウ</t>
    </rPh>
    <phoneticPr fontId="8"/>
  </si>
  <si>
    <t>管理概要　</t>
    <phoneticPr fontId="8"/>
  </si>
  <si>
    <t>⑥　その他報告事項</t>
    <phoneticPr fontId="8"/>
  </si>
  <si>
    <t>SCB</t>
    <phoneticPr fontId="8"/>
  </si>
  <si>
    <t>※</t>
    <phoneticPr fontId="8"/>
  </si>
  <si>
    <t>4回/年</t>
    <phoneticPr fontId="8"/>
  </si>
  <si>
    <t>〇</t>
    <phoneticPr fontId="8"/>
  </si>
  <si>
    <t>◎</t>
    <phoneticPr fontId="8"/>
  </si>
  <si>
    <t>4回/年</t>
    <rPh sb="1" eb="2">
      <t>カイ</t>
    </rPh>
    <rPh sb="3" eb="4">
      <t>ネン</t>
    </rPh>
    <phoneticPr fontId="8"/>
  </si>
  <si>
    <t>実施回数</t>
  </si>
  <si>
    <t>発　注　先</t>
    <phoneticPr fontId="8"/>
  </si>
  <si>
    <t>アロマ空調コーディネート業務</t>
    <phoneticPr fontId="8"/>
  </si>
  <si>
    <t>特殊</t>
    <rPh sb="0" eb="2">
      <t>トクシュ</t>
    </rPh>
    <phoneticPr fontId="8"/>
  </si>
  <si>
    <t>SCB（シー・アイ・シー）</t>
    <phoneticPr fontId="8"/>
  </si>
  <si>
    <t>特定建築物定期検査</t>
    <rPh sb="0" eb="2">
      <t>トクテイ</t>
    </rPh>
    <rPh sb="2" eb="5">
      <t>ケンチクブツ</t>
    </rPh>
    <rPh sb="5" eb="7">
      <t>テイキ</t>
    </rPh>
    <rPh sb="7" eb="9">
      <t>ケンサ</t>
    </rPh>
    <phoneticPr fontId="8"/>
  </si>
  <si>
    <t>2回／年</t>
    <rPh sb="1" eb="2">
      <t>カイ</t>
    </rPh>
    <rPh sb="3" eb="4">
      <t>ネン</t>
    </rPh>
    <phoneticPr fontId="8"/>
  </si>
  <si>
    <t>ルーフドレン点検</t>
    <rPh sb="6" eb="8">
      <t>テンケン</t>
    </rPh>
    <phoneticPr fontId="8"/>
  </si>
  <si>
    <t>SCB（ビーエムテクノ）</t>
    <phoneticPr fontId="8"/>
  </si>
  <si>
    <t>良</t>
    <rPh sb="0" eb="1">
      <t>リョウ</t>
    </rPh>
    <phoneticPr fontId="8"/>
  </si>
  <si>
    <t>良</t>
    <rPh sb="0" eb="1">
      <t>リョウ</t>
    </rPh>
    <phoneticPr fontId="10"/>
  </si>
  <si>
    <t>SCB（アットアロマ）</t>
  </si>
  <si>
    <t>SCB（ダイキン工業）</t>
    <rPh sb="8" eb="10">
      <t>コウギョウ</t>
    </rPh>
    <phoneticPr fontId="10"/>
  </si>
  <si>
    <t>SCB（三菱電機ビルテクノサービス）</t>
    <rPh sb="4" eb="6">
      <t>ミツビシ</t>
    </rPh>
    <rPh sb="6" eb="8">
      <t>デンキ</t>
    </rPh>
    <phoneticPr fontId="10"/>
  </si>
  <si>
    <t>SCB（IHI運搬機械）</t>
  </si>
  <si>
    <t>SCB（フルテック）</t>
  </si>
  <si>
    <t>SCB（ビューロベリタスジャパン）</t>
  </si>
  <si>
    <t>SCB(アゴラ造園)</t>
    <rPh sb="7" eb="9">
      <t>ゾウエン</t>
    </rPh>
    <phoneticPr fontId="10"/>
  </si>
  <si>
    <t>SCB(能美防災）</t>
  </si>
  <si>
    <t>多紀システック</t>
    <rPh sb="0" eb="2">
      <t>タキ</t>
    </rPh>
    <phoneticPr fontId="5"/>
  </si>
  <si>
    <t>関東電気保安協会</t>
  </si>
  <si>
    <t>SCB（シー･アイ･シー）</t>
  </si>
  <si>
    <t>SCB（テラルテクノサービス）</t>
  </si>
  <si>
    <t>空調機フィルター清掃</t>
  </si>
  <si>
    <t>アロマディフューザー保守点検</t>
  </si>
  <si>
    <t>空気環境測定</t>
    <rPh sb="0" eb="6">
      <t>クウキカンキョウソクテイ</t>
    </rPh>
    <phoneticPr fontId="10"/>
  </si>
  <si>
    <t>空調設備保守点検</t>
    <rPh sb="0" eb="2">
      <t>クウチョウ</t>
    </rPh>
    <rPh sb="2" eb="4">
      <t>セツビ</t>
    </rPh>
    <rPh sb="4" eb="6">
      <t>ホシュ</t>
    </rPh>
    <rPh sb="6" eb="8">
      <t>テンケン</t>
    </rPh>
    <phoneticPr fontId="10"/>
  </si>
  <si>
    <t>自動扉保守点検</t>
    <rPh sb="0" eb="2">
      <t>ジドウ</t>
    </rPh>
    <rPh sb="2" eb="3">
      <t>トビラ</t>
    </rPh>
    <rPh sb="3" eb="5">
      <t>ホシュ</t>
    </rPh>
    <rPh sb="5" eb="7">
      <t>テンケン</t>
    </rPh>
    <phoneticPr fontId="10"/>
  </si>
  <si>
    <t>建築設備定期検査</t>
    <rPh sb="0" eb="2">
      <t>ケンチク</t>
    </rPh>
    <rPh sb="2" eb="4">
      <t>セツビ</t>
    </rPh>
    <rPh sb="4" eb="6">
      <t>テイキ</t>
    </rPh>
    <rPh sb="6" eb="8">
      <t>ケンサ</t>
    </rPh>
    <phoneticPr fontId="10"/>
  </si>
  <si>
    <t>植栽管理作業</t>
  </si>
  <si>
    <t>防火設備定期検査</t>
    <rPh sb="0" eb="2">
      <t>ボウカ</t>
    </rPh>
    <rPh sb="2" eb="4">
      <t>セツビ</t>
    </rPh>
    <rPh sb="4" eb="6">
      <t>テイキ</t>
    </rPh>
    <rPh sb="6" eb="8">
      <t>ケンサ</t>
    </rPh>
    <phoneticPr fontId="10"/>
  </si>
  <si>
    <t>非常用発電機点検</t>
    <rPh sb="0" eb="3">
      <t>ヒジョウヨウ</t>
    </rPh>
    <rPh sb="3" eb="6">
      <t>ハツデンキ</t>
    </rPh>
    <rPh sb="6" eb="8">
      <t>テンケン</t>
    </rPh>
    <phoneticPr fontId="5"/>
  </si>
  <si>
    <t>非常用発電機実負荷試験/擬似負荷試験</t>
    <rPh sb="0" eb="2">
      <t>ヒジョウ</t>
    </rPh>
    <rPh sb="2" eb="3">
      <t>ヨウ</t>
    </rPh>
    <rPh sb="3" eb="6">
      <t>ハツデンキ</t>
    </rPh>
    <rPh sb="6" eb="7">
      <t>ジツ</t>
    </rPh>
    <rPh sb="7" eb="9">
      <t>フカ</t>
    </rPh>
    <rPh sb="9" eb="11">
      <t>シケン</t>
    </rPh>
    <rPh sb="12" eb="14">
      <t>ギジ</t>
    </rPh>
    <rPh sb="14" eb="16">
      <t>フカ</t>
    </rPh>
    <rPh sb="16" eb="18">
      <t>シケン</t>
    </rPh>
    <phoneticPr fontId="5"/>
  </si>
  <si>
    <t>電気設備月次点検</t>
  </si>
  <si>
    <t>害虫防除点検</t>
    <rPh sb="0" eb="2">
      <t>ガイチュウ</t>
    </rPh>
    <rPh sb="2" eb="4">
      <t>ボウジョ</t>
    </rPh>
    <rPh sb="4" eb="6">
      <t>テンケン</t>
    </rPh>
    <phoneticPr fontId="10"/>
  </si>
  <si>
    <t>直結増圧給水ポンプ点検</t>
    <rPh sb="0" eb="2">
      <t>チョッケツ</t>
    </rPh>
    <rPh sb="2" eb="4">
      <t>ゾウアツ</t>
    </rPh>
    <rPh sb="4" eb="6">
      <t>キュウスイ</t>
    </rPh>
    <rPh sb="9" eb="11">
      <t>テンケン</t>
    </rPh>
    <phoneticPr fontId="10"/>
  </si>
  <si>
    <t>空調</t>
    <rPh sb="0" eb="2">
      <t>クウチョウ</t>
    </rPh>
    <phoneticPr fontId="10"/>
  </si>
  <si>
    <t>建築</t>
    <rPh sb="0" eb="2">
      <t>ケンチク</t>
    </rPh>
    <phoneticPr fontId="10"/>
  </si>
  <si>
    <t>その他</t>
    <rPh sb="2" eb="3">
      <t>タ</t>
    </rPh>
    <phoneticPr fontId="10"/>
  </si>
  <si>
    <t>消防</t>
    <rPh sb="0" eb="2">
      <t>ショウボウ</t>
    </rPh>
    <phoneticPr fontId="10"/>
  </si>
  <si>
    <t>電気</t>
    <rPh sb="0" eb="2">
      <t>デンキ</t>
    </rPh>
    <phoneticPr fontId="10"/>
  </si>
  <si>
    <t>衛生</t>
    <rPh sb="0" eb="2">
      <t>エイセイ</t>
    </rPh>
    <phoneticPr fontId="10"/>
  </si>
  <si>
    <t>備考</t>
    <rPh sb="0" eb="2">
      <t>ビコウ</t>
    </rPh>
    <phoneticPr fontId="8"/>
  </si>
  <si>
    <t>鍵・カードチェック</t>
    <phoneticPr fontId="149"/>
  </si>
  <si>
    <t>自動ドア点検【6・11月】</t>
    <phoneticPr fontId="8"/>
  </si>
  <si>
    <t>散水設備点検 【6・12月】</t>
    <phoneticPr fontId="8"/>
  </si>
  <si>
    <t xml:space="preserve">インターホン点検【年1回6月】 </t>
    <phoneticPr fontId="8"/>
  </si>
  <si>
    <t>直結増圧ポンプ点検、ポンプ制御盤・動力盤点検【毎月　テラルの4月除く】</t>
    <phoneticPr fontId="8"/>
  </si>
  <si>
    <t>ルーフドレン点検【6～10月及び2月】</t>
    <phoneticPr fontId="8"/>
  </si>
  <si>
    <t>湧水槽・各ポンプ設備点検</t>
    <phoneticPr fontId="8"/>
  </si>
  <si>
    <t>散水設備点検 【6・12月】</t>
    <phoneticPr fontId="8"/>
  </si>
  <si>
    <t xml:space="preserve">インターホン点検【年1回6月】 </t>
    <phoneticPr fontId="8"/>
  </si>
  <si>
    <t>機械駐車場ピット排水槽内点検</t>
  </si>
  <si>
    <t>機械式駐車設備・駐車場管制設備点検</t>
  </si>
  <si>
    <t>インターホン設備点検、弱電設備点検</t>
    <rPh sb="6" eb="8">
      <t>セツビ</t>
    </rPh>
    <rPh sb="8" eb="10">
      <t>テンケン</t>
    </rPh>
    <rPh sb="11" eb="13">
      <t>ジャクデン</t>
    </rPh>
    <rPh sb="13" eb="15">
      <t>セツビ</t>
    </rPh>
    <rPh sb="15" eb="17">
      <t>テンケン</t>
    </rPh>
    <phoneticPr fontId="5"/>
  </si>
  <si>
    <t>SCB…空気環境測定</t>
    <rPh sb="4" eb="6">
      <t>クウキ</t>
    </rPh>
    <rPh sb="6" eb="8">
      <t>カンキョウ</t>
    </rPh>
    <rPh sb="8" eb="10">
      <t>ソクテイ</t>
    </rPh>
    <phoneticPr fontId="5"/>
  </si>
  <si>
    <t>SCB（鹿島建物総合管理）…空調機フィルター清掃</t>
  </si>
  <si>
    <t>SCB（フルテック）…自動扉保守点検</t>
    <rPh sb="11" eb="13">
      <t>ジドウ</t>
    </rPh>
    <rPh sb="13" eb="14">
      <t>トビラ</t>
    </rPh>
    <rPh sb="14" eb="16">
      <t>ホシュ</t>
    </rPh>
    <rPh sb="16" eb="18">
      <t>テンケン</t>
    </rPh>
    <phoneticPr fontId="5"/>
  </si>
  <si>
    <t>SCB（多紀システック）…非常用発電機定期点検（擬似負荷）</t>
    <rPh sb="4" eb="6">
      <t>タキ</t>
    </rPh>
    <rPh sb="13" eb="16">
      <t>ヒジョウヨウ</t>
    </rPh>
    <rPh sb="16" eb="19">
      <t>ハツデンキ</t>
    </rPh>
    <rPh sb="19" eb="21">
      <t>テイキ</t>
    </rPh>
    <rPh sb="21" eb="23">
      <t>テンケン</t>
    </rPh>
    <rPh sb="24" eb="26">
      <t>ギジ</t>
    </rPh>
    <rPh sb="26" eb="28">
      <t>フカ</t>
    </rPh>
    <phoneticPr fontId="5"/>
  </si>
  <si>
    <t>加湿切り替え</t>
    <rPh sb="0" eb="1">
      <t>カシツ</t>
    </rPh>
    <rPh sb="1" eb="3">
      <t>キリカエ</t>
    </rPh>
    <phoneticPr fontId="5"/>
  </si>
  <si>
    <t>排気ファン点検</t>
    <rPh sb="0" eb="2">
      <t>ハイキ</t>
    </rPh>
    <rPh sb="5" eb="7">
      <t>テンケン</t>
    </rPh>
    <phoneticPr fontId="5"/>
  </si>
  <si>
    <t>自動扉点検</t>
  </si>
  <si>
    <t>トイレ・給湯設備点検</t>
    <rPh sb="3" eb="5">
      <t>キュウトウ</t>
    </rPh>
    <rPh sb="5" eb="7">
      <t>セツビ</t>
    </rPh>
    <rPh sb="7" eb="9">
      <t>テンケン</t>
    </rPh>
    <phoneticPr fontId="5"/>
  </si>
  <si>
    <t>SCB(ダイキン工業）…空調設備保守点検</t>
    <rPh sb="12" eb="14">
      <t>クウチョウ</t>
    </rPh>
    <rPh sb="14" eb="16">
      <t>セツビ</t>
    </rPh>
    <rPh sb="16" eb="18">
      <t>ホシュ</t>
    </rPh>
    <rPh sb="18" eb="20">
      <t>テンケン</t>
    </rPh>
    <phoneticPr fontId="5"/>
  </si>
  <si>
    <t>SCB(能美防災)…消防設備点検</t>
    <rPh sb="4" eb="6">
      <t>ノウミ</t>
    </rPh>
    <rPh sb="6" eb="8">
      <t>ボウサイ</t>
    </rPh>
    <rPh sb="10" eb="12">
      <t>ショウボウ</t>
    </rPh>
    <rPh sb="12" eb="14">
      <t>セツビ</t>
    </rPh>
    <rPh sb="14" eb="16">
      <t>テンケン</t>
    </rPh>
    <phoneticPr fontId="5"/>
  </si>
  <si>
    <t>SCB(テラル)…給水ポンプ点検</t>
    <rPh sb="9" eb="11">
      <t>キュウスイ</t>
    </rPh>
    <rPh sb="14" eb="16">
      <t>テンケン</t>
    </rPh>
    <phoneticPr fontId="5"/>
  </si>
  <si>
    <t>電力検針</t>
    <rPh sb="0" eb="2">
      <t>デンリョク</t>
    </rPh>
    <phoneticPr fontId="8"/>
  </si>
  <si>
    <t>水道検針</t>
    <rPh sb="0" eb="2">
      <t>スイドウ</t>
    </rPh>
    <rPh sb="2" eb="4">
      <t>ケンシン</t>
    </rPh>
    <phoneticPr fontId="8"/>
  </si>
  <si>
    <t>ルーフドレン点検、清掃</t>
    <phoneticPr fontId="8"/>
  </si>
  <si>
    <t>SCB（アットアロマ）…アロマディフューザー保守点検</t>
    <phoneticPr fontId="8"/>
  </si>
  <si>
    <t>管理室機器点検・ITV設備点検【毎月)</t>
    <phoneticPr fontId="8"/>
  </si>
  <si>
    <t>関東電気保安協会…電気設備月次点検</t>
    <phoneticPr fontId="8"/>
  </si>
  <si>
    <t>SCB(アゴラ造園)…植栽管理作業</t>
    <phoneticPr fontId="8"/>
  </si>
  <si>
    <t>SCB（三菱電機ビルテクノサービス）…エレベーター定期点検(ｱﾌﾀｰｻｰﾋﾞｽ)</t>
    <phoneticPr fontId="8"/>
  </si>
  <si>
    <t>特記事項なし</t>
    <phoneticPr fontId="8"/>
  </si>
  <si>
    <t>〇</t>
  </si>
  <si>
    <t>自動制御盤・弱電盤点検</t>
    <phoneticPr fontId="8"/>
  </si>
  <si>
    <t>祝日一覧</t>
    <rPh sb="0" eb="2">
      <t>シュクジツ</t>
    </rPh>
    <rPh sb="2" eb="4">
      <t>イチラン</t>
    </rPh>
    <phoneticPr fontId="8"/>
  </si>
  <si>
    <t>備考
　　　</t>
    <rPh sb="0" eb="2">
      <t>ビコウ</t>
    </rPh>
    <phoneticPr fontId="8"/>
  </si>
  <si>
    <t>SCB（IHI運搬機械）…機械式駐車場設備保守点検</t>
    <phoneticPr fontId="8"/>
  </si>
  <si>
    <t>SCB（ビーエムテクノ）…外面ガラス清掃</t>
    <rPh sb="13" eb="15">
      <t>ガイメン</t>
    </rPh>
    <rPh sb="14" eb="15">
      <t>メン</t>
    </rPh>
    <rPh sb="18" eb="20">
      <t>セイソウ</t>
    </rPh>
    <phoneticPr fontId="5"/>
  </si>
  <si>
    <t>SCB（シー･アイ･シー）…害虫防除点検</t>
    <phoneticPr fontId="8"/>
  </si>
  <si>
    <t>消防自主点検、消防設備点検</t>
    <phoneticPr fontId="8"/>
  </si>
  <si>
    <t>特記事項なし</t>
    <phoneticPr fontId="8"/>
  </si>
  <si>
    <t>（水道：偶数月17日　電気：毎月3日）</t>
    <rPh sb="1" eb="3">
      <t>スイドウ</t>
    </rPh>
    <rPh sb="4" eb="6">
      <t>グウスウ</t>
    </rPh>
    <rPh sb="6" eb="7">
      <t>ヅキ</t>
    </rPh>
    <rPh sb="9" eb="10">
      <t>ニチ</t>
    </rPh>
    <rPh sb="11" eb="13">
      <t>デンキ</t>
    </rPh>
    <rPh sb="14" eb="16">
      <t>マイツキ</t>
    </rPh>
    <rPh sb="17" eb="18">
      <t>ニチ</t>
    </rPh>
    <phoneticPr fontId="8"/>
  </si>
  <si>
    <t>例：8月の値は7/17　0：00～8/17　0：00</t>
    <rPh sb="0" eb="1">
      <t>レイ</t>
    </rPh>
    <rPh sb="3" eb="4">
      <t>ガツ</t>
    </rPh>
    <rPh sb="5" eb="6">
      <t>アタイ</t>
    </rPh>
    <phoneticPr fontId="8"/>
  </si>
  <si>
    <t>良</t>
    <rPh sb="0" eb="1">
      <t>リョウ</t>
    </rPh>
    <phoneticPr fontId="8"/>
  </si>
  <si>
    <t>エレベーター定期点検</t>
    <rPh sb="6" eb="8">
      <t>テイキ</t>
    </rPh>
    <rPh sb="8" eb="10">
      <t>テンケン</t>
    </rPh>
    <phoneticPr fontId="10"/>
  </si>
  <si>
    <t>加湿切り替え</t>
    <rPh sb="0" eb="2">
      <t>カシツ</t>
    </rPh>
    <rPh sb="2" eb="3">
      <t>キ</t>
    </rPh>
    <rPh sb="4" eb="5">
      <t>カ</t>
    </rPh>
    <phoneticPr fontId="8"/>
  </si>
  <si>
    <t>空調室外機点検</t>
    <phoneticPr fontId="8"/>
  </si>
  <si>
    <t>防火シャッター点検、排煙窓・開放装置点検</t>
    <rPh sb="0" eb="2">
      <t>ボウカ</t>
    </rPh>
    <rPh sb="7" eb="9">
      <t>テンケン</t>
    </rPh>
    <rPh sb="10" eb="12">
      <t>ハイエン</t>
    </rPh>
    <rPh sb="12" eb="13">
      <t>マド</t>
    </rPh>
    <rPh sb="14" eb="16">
      <t>カイホウ</t>
    </rPh>
    <rPh sb="16" eb="18">
      <t>ソウチ</t>
    </rPh>
    <rPh sb="18" eb="20">
      <t>テンケン</t>
    </rPh>
    <phoneticPr fontId="5"/>
  </si>
  <si>
    <t>SCB（ビーエムテクノ）…共用部定期清掃</t>
    <rPh sb="12" eb="15">
      <t>キョウヨウブ</t>
    </rPh>
    <rPh sb="15" eb="17">
      <t>テイキ</t>
    </rPh>
    <rPh sb="17" eb="19">
      <t>セイソウ</t>
    </rPh>
    <phoneticPr fontId="8"/>
  </si>
  <si>
    <t>SCB（東京美装）…空調機フィルター清掃</t>
    <rPh sb="4" eb="6">
      <t>トウキョウ</t>
    </rPh>
    <rPh sb="6" eb="8">
      <t>ビソウ</t>
    </rPh>
    <rPh sb="10" eb="13">
      <t>クウチョウキ</t>
    </rPh>
    <rPh sb="18" eb="20">
      <t>セイソウ</t>
    </rPh>
    <phoneticPr fontId="5"/>
  </si>
  <si>
    <t>加湿用加圧給水ポンプ点検</t>
    <phoneticPr fontId="8"/>
  </si>
  <si>
    <t>SCB(東京美装)</t>
    <phoneticPr fontId="8"/>
  </si>
  <si>
    <t>良</t>
    <rPh sb="0" eb="1">
      <t>リョウ</t>
    </rPh>
    <phoneticPr fontId="8"/>
  </si>
  <si>
    <t>機械式駐車場設備保守点検</t>
    <rPh sb="6" eb="8">
      <t>セツビ</t>
    </rPh>
    <rPh sb="8" eb="10">
      <t>ホシュ</t>
    </rPh>
    <rPh sb="10" eb="12">
      <t>テンケン</t>
    </rPh>
    <phoneticPr fontId="10"/>
  </si>
  <si>
    <t>SCB（ビーエムテクノ）</t>
    <phoneticPr fontId="8"/>
  </si>
  <si>
    <t>共用部定期清掃</t>
    <phoneticPr fontId="8"/>
  </si>
  <si>
    <t>各メーター有効期限確認(5,11月)、メーター読み合わせ(11月)</t>
    <rPh sb="4" eb="6">
      <t>ユウコウ</t>
    </rPh>
    <rPh sb="6" eb="8">
      <t>キゲン</t>
    </rPh>
    <rPh sb="8" eb="10">
      <t>カクニン</t>
    </rPh>
    <rPh sb="16" eb="17">
      <t>ガツ</t>
    </rPh>
    <rPh sb="31" eb="32">
      <t>ガツ</t>
    </rPh>
    <phoneticPr fontId="5"/>
  </si>
  <si>
    <t>建築設備点検</t>
    <phoneticPr fontId="8"/>
  </si>
  <si>
    <t>鍵・カードチェック</t>
    <phoneticPr fontId="8"/>
  </si>
  <si>
    <t>特記事項なし</t>
    <phoneticPr fontId="8"/>
  </si>
  <si>
    <t>外面ガラス清掃</t>
    <phoneticPr fontId="8"/>
  </si>
  <si>
    <t>水道　17日　0：00の値　№37の値</t>
    <rPh sb="0" eb="2">
      <t>スイドウ</t>
    </rPh>
    <rPh sb="5" eb="6">
      <t>ニチ</t>
    </rPh>
    <rPh sb="12" eb="13">
      <t>アタイ</t>
    </rPh>
    <rPh sb="18" eb="19">
      <t>アタイ</t>
    </rPh>
    <phoneticPr fontId="8"/>
  </si>
  <si>
    <t>空調室内機・全熱交換器点検、</t>
    <phoneticPr fontId="8"/>
  </si>
  <si>
    <t>遠隔装置（コントローラー）点検　8，11，2，5月</t>
    <phoneticPr fontId="8"/>
  </si>
  <si>
    <t>加湿用加圧給水ポンプ点検 11,2月</t>
    <rPh sb="17" eb="18">
      <t>ガツ</t>
    </rPh>
    <phoneticPr fontId="8"/>
  </si>
  <si>
    <t>加湿用加圧給水ポンプ点検(11,2月)</t>
    <rPh sb="17" eb="18">
      <t>ガツ</t>
    </rPh>
    <phoneticPr fontId="8"/>
  </si>
  <si>
    <t>電力検針(毎月3日)、水道検針（偶数月17日）</t>
    <rPh sb="0" eb="2">
      <t>デンリョク</t>
    </rPh>
    <rPh sb="5" eb="7">
      <t>マイツキ</t>
    </rPh>
    <rPh sb="8" eb="9">
      <t>ニチ</t>
    </rPh>
    <rPh sb="11" eb="13">
      <t>スイドウ</t>
    </rPh>
    <rPh sb="13" eb="15">
      <t>ケンシン</t>
    </rPh>
    <rPh sb="16" eb="19">
      <t>グウスウツキ</t>
    </rPh>
    <rPh sb="21" eb="22">
      <t>ニチ</t>
    </rPh>
    <phoneticPr fontId="8"/>
  </si>
  <si>
    <t xml:space="preserve">メーター読み合せ【年1回11月】 </t>
    <phoneticPr fontId="8"/>
  </si>
  <si>
    <t>各メーター有効期限確認【4,11月】　SBM宛て</t>
    <rPh sb="16" eb="17">
      <t>ガツ</t>
    </rPh>
    <rPh sb="22" eb="23">
      <t>ア</t>
    </rPh>
    <phoneticPr fontId="8"/>
  </si>
  <si>
    <t>空調室内機・全熱交換器点検、室外機点検、遠隔監視装置（コントローラー）点検　(全て6,8,11,2月)</t>
    <rPh sb="14" eb="17">
      <t>シツガイキ</t>
    </rPh>
    <rPh sb="17" eb="19">
      <t>テンケン</t>
    </rPh>
    <rPh sb="22" eb="24">
      <t>カンシ</t>
    </rPh>
    <rPh sb="39" eb="40">
      <t>スベ</t>
    </rPh>
    <rPh sb="49" eb="50">
      <t>ガツ</t>
    </rPh>
    <phoneticPr fontId="8"/>
  </si>
  <si>
    <t xml:space="preserve">給排気ファン設備点検【年1回8月】 </t>
    <phoneticPr fontId="8"/>
  </si>
  <si>
    <t>湧水槽・各ポンプ設備点検【奇数月とIHIの5,8,11,2月】</t>
    <phoneticPr fontId="8"/>
  </si>
  <si>
    <t xml:space="preserve">建築設備・自主点検【年1回12月】 </t>
    <phoneticPr fontId="149"/>
  </si>
  <si>
    <t>加湿器点検【11、2月】</t>
    <rPh sb="2" eb="3">
      <t>キ</t>
    </rPh>
    <rPh sb="3" eb="5">
      <t>テンケン</t>
    </rPh>
    <phoneticPr fontId="8"/>
  </si>
  <si>
    <t xml:space="preserve">トイレ・給湯設備点検【3,9月】、排気ファン点検【年1回8月】 </t>
    <phoneticPr fontId="8"/>
  </si>
  <si>
    <t>防火シャッター点検 【5・11月】、排煙窓・開放装置点検【2・8月】</t>
    <rPh sb="0" eb="2">
      <t>ボウカ</t>
    </rPh>
    <rPh sb="18" eb="20">
      <t>ハイエン</t>
    </rPh>
    <rPh sb="20" eb="21">
      <t>マド</t>
    </rPh>
    <rPh sb="22" eb="24">
      <t>カイホウ</t>
    </rPh>
    <rPh sb="24" eb="26">
      <t>ソウチ</t>
    </rPh>
    <rPh sb="26" eb="28">
      <t>テンケン</t>
    </rPh>
    <phoneticPr fontId="149"/>
  </si>
  <si>
    <t>弱電設備点検【年1回6月】 、空調室外機点検、消防設備点検【2・8月】</t>
    <rPh sb="23" eb="25">
      <t>ショウボウ</t>
    </rPh>
    <rPh sb="25" eb="27">
      <t>セツビ</t>
    </rPh>
    <rPh sb="27" eb="29">
      <t>テンケン</t>
    </rPh>
    <phoneticPr fontId="8"/>
  </si>
  <si>
    <t>管理室機器・ITV設備点検【毎月】</t>
    <phoneticPr fontId="8"/>
  </si>
  <si>
    <t>人形町　P　R　E　X</t>
    <rPh sb="0" eb="3">
      <t>ニンギョウチョウ</t>
    </rPh>
    <phoneticPr fontId="8"/>
  </si>
  <si>
    <t>都度</t>
    <rPh sb="0" eb="1">
      <t>ツド</t>
    </rPh>
    <phoneticPr fontId="8"/>
  </si>
  <si>
    <t>機械式駐車場装置</t>
    <rPh sb="0" eb="3">
      <t>キカイシキ</t>
    </rPh>
    <rPh sb="3" eb="6">
      <t>チュウシャジョウ</t>
    </rPh>
    <rPh sb="6" eb="8">
      <t>ソウチ</t>
    </rPh>
    <phoneticPr fontId="8"/>
  </si>
  <si>
    <t>機械式駐車場管制設備点検</t>
    <rPh sb="0" eb="3">
      <t>キカイシキ</t>
    </rPh>
    <rPh sb="3" eb="6">
      <t>チュウシャジョウ</t>
    </rPh>
    <rPh sb="6" eb="8">
      <t>カンセイ</t>
    </rPh>
    <rPh sb="8" eb="10">
      <t>セツビ</t>
    </rPh>
    <rPh sb="10" eb="12">
      <t>テンケン</t>
    </rPh>
    <phoneticPr fontId="8"/>
  </si>
  <si>
    <t>能美防災 消防設備点検と同日に実施</t>
    <phoneticPr fontId="8"/>
  </si>
  <si>
    <t>2回/年</t>
    <rPh sb="2" eb="3">
      <t>ネン</t>
    </rPh>
    <phoneticPr fontId="8"/>
  </si>
  <si>
    <t>自動扉点検</t>
    <rPh sb="2" eb="3">
      <t>トビラ</t>
    </rPh>
    <phoneticPr fontId="8"/>
  </si>
  <si>
    <t>特殊</t>
    <rPh sb="0" eb="1">
      <t>トクシュ</t>
    </rPh>
    <phoneticPr fontId="8"/>
  </si>
  <si>
    <t>窒素ガス消火設備点検</t>
    <rPh sb="0" eb="2">
      <t>チッソ</t>
    </rPh>
    <rPh sb="4" eb="6">
      <t>ショウカ</t>
    </rPh>
    <rPh sb="6" eb="8">
      <t>セツビ</t>
    </rPh>
    <rPh sb="8" eb="10">
      <t>テンケン</t>
    </rPh>
    <phoneticPr fontId="8"/>
  </si>
  <si>
    <t>屋内消火栓スプリンクラー設備点検</t>
    <rPh sb="0" eb="2">
      <t>オクナイ</t>
    </rPh>
    <rPh sb="2" eb="5">
      <t>ショウカセン</t>
    </rPh>
    <rPh sb="12" eb="14">
      <t>セツビ</t>
    </rPh>
    <rPh sb="14" eb="16">
      <t>テンケン</t>
    </rPh>
    <phoneticPr fontId="8"/>
  </si>
  <si>
    <t>〇〇日締め　</t>
    <phoneticPr fontId="8"/>
  </si>
  <si>
    <t>トイレ・給湯設備点検</t>
    <rPh sb="3" eb="5">
      <t>キュウトウ</t>
    </rPh>
    <rPh sb="5" eb="7">
      <t>セツビ</t>
    </rPh>
    <rPh sb="7" eb="9">
      <t>テンケン</t>
    </rPh>
    <phoneticPr fontId="8"/>
  </si>
  <si>
    <t>6回/年</t>
    <rPh sb="2" eb="3">
      <t>ネン</t>
    </rPh>
    <phoneticPr fontId="8"/>
  </si>
  <si>
    <t>ポンプﾟ制御盤点検</t>
    <rPh sb="2" eb="4">
      <t>セイギョ</t>
    </rPh>
    <rPh sb="4" eb="5">
      <t>バン</t>
    </rPh>
    <rPh sb="5" eb="7">
      <t>テンケン</t>
    </rPh>
    <phoneticPr fontId="8"/>
  </si>
  <si>
    <t>排水・湧水ポンプ点検</t>
    <rPh sb="0" eb="1">
      <t>ハイスイ</t>
    </rPh>
    <rPh sb="2" eb="4">
      <t>ユウスイ</t>
    </rPh>
    <rPh sb="7" eb="8">
      <t>テン</t>
    </rPh>
    <rPh sb="8" eb="10">
      <t>テンケン</t>
    </rPh>
    <phoneticPr fontId="8"/>
  </si>
  <si>
    <t>湧水槽・雨水槽点検</t>
    <rPh sb="0" eb="3">
      <t>ユウスイソウ</t>
    </rPh>
    <rPh sb="4" eb="7">
      <t>ウスイソウ</t>
    </rPh>
    <rPh sb="7" eb="9">
      <t>テンケン</t>
    </rPh>
    <phoneticPr fontId="8"/>
  </si>
  <si>
    <t>加湿用水槽点検</t>
    <rPh sb="2" eb="3">
      <t>ヨウ</t>
    </rPh>
    <rPh sb="3" eb="5">
      <t>スイソウ</t>
    </rPh>
    <rPh sb="5" eb="7">
      <t>テンケン</t>
    </rPh>
    <phoneticPr fontId="8"/>
  </si>
  <si>
    <t>※加湿器使用の10・11・12・1・2・3月点検 
   シーズンイン・オフで水抜き・水張り 10月実施  ４月シーズンオフ作業</t>
    <rPh sb="1" eb="3">
      <t>カシツ</t>
    </rPh>
    <rPh sb="3" eb="4">
      <t>キ</t>
    </rPh>
    <rPh sb="4" eb="6">
      <t>シヨウ</t>
    </rPh>
    <rPh sb="21" eb="22">
      <t>ガツ</t>
    </rPh>
    <rPh sb="22" eb="24">
      <t>テンケン</t>
    </rPh>
    <rPh sb="39" eb="41">
      <t>ミズヌ</t>
    </rPh>
    <rPh sb="43" eb="45">
      <t>ミズバ</t>
    </rPh>
    <rPh sb="49" eb="50">
      <t>ガツ</t>
    </rPh>
    <rPh sb="50" eb="52">
      <t>ジッシ</t>
    </rPh>
    <rPh sb="55" eb="56">
      <t>ガツ</t>
    </rPh>
    <rPh sb="62" eb="64">
      <t>サギョウ</t>
    </rPh>
    <phoneticPr fontId="8"/>
  </si>
  <si>
    <t>6回/年</t>
    <phoneticPr fontId="8"/>
  </si>
  <si>
    <t>コントローラー点検</t>
    <rPh sb="7" eb="9">
      <t>テンケン</t>
    </rPh>
    <phoneticPr fontId="8"/>
  </si>
  <si>
    <t>空調設備点検（室内機）全熱交換器含</t>
    <rPh sb="0" eb="2">
      <t>クウチョウ</t>
    </rPh>
    <rPh sb="2" eb="4">
      <t>セツビ</t>
    </rPh>
    <rPh sb="4" eb="6">
      <t>テンケン</t>
    </rPh>
    <rPh sb="7" eb="9">
      <t>シツナイ</t>
    </rPh>
    <rPh sb="9" eb="10">
      <t>キ</t>
    </rPh>
    <rPh sb="11" eb="12">
      <t>ゼン</t>
    </rPh>
    <rPh sb="12" eb="13">
      <t>ネツ</t>
    </rPh>
    <rPh sb="16" eb="17">
      <t>フクミ</t>
    </rPh>
    <phoneticPr fontId="8"/>
  </si>
  <si>
    <t>12回/年</t>
    <phoneticPr fontId="8"/>
  </si>
  <si>
    <t>管理室内機器点検</t>
    <rPh sb="0" eb="2">
      <t>カンリ</t>
    </rPh>
    <rPh sb="2" eb="3">
      <t>シツ</t>
    </rPh>
    <rPh sb="3" eb="4">
      <t>ナイ</t>
    </rPh>
    <rPh sb="4" eb="6">
      <t>キキ</t>
    </rPh>
    <rPh sb="6" eb="8">
      <t>テンケン</t>
    </rPh>
    <phoneticPr fontId="8"/>
  </si>
  <si>
    <t>インターフォン点検</t>
    <phoneticPr fontId="8"/>
  </si>
  <si>
    <t>発電機設備点検</t>
    <rPh sb="0" eb="3">
      <t>ハツデンキ</t>
    </rPh>
    <rPh sb="3" eb="5">
      <t>セツビ</t>
    </rPh>
    <rPh sb="5" eb="7">
      <t>テンケン</t>
    </rPh>
    <phoneticPr fontId="8"/>
  </si>
  <si>
    <t>〇〇日締め</t>
    <rPh sb="2" eb="3">
      <t>ヒ</t>
    </rPh>
    <rPh sb="3" eb="4">
      <t>シ</t>
    </rPh>
    <phoneticPr fontId="156"/>
  </si>
  <si>
    <t>電気メーター検針</t>
    <rPh sb="0" eb="2">
      <t>デンキ</t>
    </rPh>
    <rPh sb="6" eb="8">
      <t>ケンシン</t>
    </rPh>
    <phoneticPr fontId="8"/>
  </si>
  <si>
    <t>【　人形町PREX　】</t>
    <rPh sb="2" eb="5">
      <t>ニンギョウチョウ</t>
    </rPh>
    <phoneticPr fontId="8"/>
  </si>
  <si>
    <t>4　月</t>
    <phoneticPr fontId="8"/>
  </si>
  <si>
    <t>5　月</t>
    <phoneticPr fontId="8"/>
  </si>
  <si>
    <t>6　月</t>
    <phoneticPr fontId="8"/>
  </si>
  <si>
    <t>7　月</t>
    <phoneticPr fontId="8"/>
  </si>
  <si>
    <t>8　月</t>
    <phoneticPr fontId="8"/>
  </si>
  <si>
    <t>9　月</t>
    <phoneticPr fontId="8"/>
  </si>
  <si>
    <t>10　月</t>
    <phoneticPr fontId="8"/>
  </si>
  <si>
    <t>11　月</t>
    <phoneticPr fontId="8"/>
  </si>
  <si>
    <t>12　月</t>
    <phoneticPr fontId="8"/>
  </si>
  <si>
    <t>2　月</t>
    <phoneticPr fontId="8"/>
  </si>
  <si>
    <t>3　月</t>
    <phoneticPr fontId="8"/>
  </si>
  <si>
    <t>SCB（CSP㈱）</t>
    <phoneticPr fontId="8"/>
  </si>
  <si>
    <t>都市環境エンジニアリング㈱</t>
    <rPh sb="0" eb="2">
      <t>トシ</t>
    </rPh>
    <rPh sb="2" eb="4">
      <t>カンキョウ</t>
    </rPh>
    <phoneticPr fontId="8"/>
  </si>
  <si>
    <t>SCB（ビューローべリタスジャパン㈱）</t>
    <phoneticPr fontId="8"/>
  </si>
  <si>
    <t>※初回2023年9月 報告</t>
    <rPh sb="7" eb="8">
      <t>ネン</t>
    </rPh>
    <rPh sb="9" eb="10">
      <t>ガツ</t>
    </rPh>
    <rPh sb="11" eb="13">
      <t>ホウコク</t>
    </rPh>
    <phoneticPr fontId="156"/>
  </si>
  <si>
    <t>1回／3年</t>
    <rPh sb="1" eb="2">
      <t>カイ</t>
    </rPh>
    <rPh sb="4" eb="5">
      <t>ネン</t>
    </rPh>
    <phoneticPr fontId="8"/>
  </si>
  <si>
    <t>※初回2026年9月 報告</t>
    <rPh sb="7" eb="8">
      <t>ネン</t>
    </rPh>
    <rPh sb="9" eb="10">
      <t>ガツ</t>
    </rPh>
    <rPh sb="11" eb="13">
      <t>ホウコク</t>
    </rPh>
    <phoneticPr fontId="156"/>
  </si>
  <si>
    <t>1回／年</t>
    <phoneticPr fontId="8"/>
  </si>
  <si>
    <t>SCB（フルテック㈱）</t>
    <phoneticPr fontId="8"/>
  </si>
  <si>
    <t>12回／年</t>
    <rPh sb="2" eb="3">
      <t>カイ</t>
    </rPh>
    <rPh sb="4" eb="5">
      <t>ネン</t>
    </rPh>
    <phoneticPr fontId="8"/>
  </si>
  <si>
    <t>□</t>
    <phoneticPr fontId="8"/>
  </si>
  <si>
    <t>SCB（三菱電機ビルテクノサービス㈱）</t>
    <rPh sb="4" eb="6">
      <t>ミツビシ</t>
    </rPh>
    <rPh sb="6" eb="8">
      <t>デンキ</t>
    </rPh>
    <phoneticPr fontId="8"/>
  </si>
  <si>
    <t>◎法定検査報告○定期点検□遠隔点検△ﾌﾘｰﾒﾝﾃﾅﾝｽ</t>
    <rPh sb="1" eb="5">
      <t>ホウテイケンサ</t>
    </rPh>
    <rPh sb="5" eb="7">
      <t>ホウコク</t>
    </rPh>
    <rPh sb="8" eb="10">
      <t>テイキ</t>
    </rPh>
    <rPh sb="10" eb="12">
      <t>テンケン</t>
    </rPh>
    <rPh sb="15" eb="17">
      <t>テンケン</t>
    </rPh>
    <phoneticPr fontId="8"/>
  </si>
  <si>
    <t>機械式駐車場保守点検業務</t>
    <rPh sb="0" eb="3">
      <t>キカイシキ</t>
    </rPh>
    <rPh sb="3" eb="6">
      <t>チュウシャジョウ</t>
    </rPh>
    <rPh sb="6" eb="8">
      <t>ホシュ</t>
    </rPh>
    <rPh sb="8" eb="10">
      <t>テンケン</t>
    </rPh>
    <rPh sb="10" eb="12">
      <t>ギョウム</t>
    </rPh>
    <phoneticPr fontId="8"/>
  </si>
  <si>
    <t>12回／年</t>
    <phoneticPr fontId="8"/>
  </si>
  <si>
    <t>SCB（IHI運搬機械㈱）</t>
    <rPh sb="7" eb="9">
      <t>ウンパン</t>
    </rPh>
    <rPh sb="9" eb="11">
      <t>キカイ</t>
    </rPh>
    <phoneticPr fontId="8"/>
  </si>
  <si>
    <t>○定期点検△アフターサービス点検</t>
    <rPh sb="1" eb="3">
      <t>テイキ</t>
    </rPh>
    <rPh sb="3" eb="5">
      <t>テンケン</t>
    </rPh>
    <rPh sb="14" eb="16">
      <t>テンケン</t>
    </rPh>
    <phoneticPr fontId="8"/>
  </si>
  <si>
    <t>6回／年</t>
    <rPh sb="1" eb="2">
      <t>カイ</t>
    </rPh>
    <rPh sb="3" eb="4">
      <t>ネン</t>
    </rPh>
    <phoneticPr fontId="8"/>
  </si>
  <si>
    <t>（財）関東電気保安協会</t>
    <rPh sb="1" eb="2">
      <t>ザイ</t>
    </rPh>
    <rPh sb="3" eb="5">
      <t>カントウ</t>
    </rPh>
    <rPh sb="5" eb="7">
      <t>デンキ</t>
    </rPh>
    <rPh sb="7" eb="9">
      <t>ホアン</t>
    </rPh>
    <rPh sb="9" eb="11">
      <t>キョウカイ</t>
    </rPh>
    <phoneticPr fontId="8"/>
  </si>
  <si>
    <t>◎年次点検（無停電作業）　※初回2024年10月予定</t>
    <rPh sb="6" eb="7">
      <t>ム</t>
    </rPh>
    <rPh sb="20" eb="21">
      <t>ネン</t>
    </rPh>
    <rPh sb="23" eb="24">
      <t>ガツ</t>
    </rPh>
    <rPh sb="24" eb="26">
      <t>ヨテイ</t>
    </rPh>
    <phoneticPr fontId="8"/>
  </si>
  <si>
    <t>非常用発電機点検</t>
    <rPh sb="0" eb="3">
      <t>ヒジョウヨウ</t>
    </rPh>
    <rPh sb="3" eb="6">
      <t>ハツデンキ</t>
    </rPh>
    <rPh sb="6" eb="8">
      <t>テンケン</t>
    </rPh>
    <phoneticPr fontId="8"/>
  </si>
  <si>
    <t>SCB（多紀システック㈱）</t>
    <rPh sb="4" eb="6">
      <t>タキ</t>
    </rPh>
    <phoneticPr fontId="8"/>
  </si>
  <si>
    <t>非常用発電機負荷試験</t>
    <rPh sb="0" eb="3">
      <t>ヒジョウヨウ</t>
    </rPh>
    <rPh sb="3" eb="6">
      <t>ハツデンキ</t>
    </rPh>
    <rPh sb="6" eb="8">
      <t>フカ</t>
    </rPh>
    <rPh sb="8" eb="10">
      <t>シケン</t>
    </rPh>
    <phoneticPr fontId="8"/>
  </si>
  <si>
    <t>※疑似負荷試験</t>
    <rPh sb="1" eb="5">
      <t>ギジフカ</t>
    </rPh>
    <rPh sb="5" eb="7">
      <t>シケン</t>
    </rPh>
    <phoneticPr fontId="8"/>
  </si>
  <si>
    <t>SCB（ダイキン工業㈱）</t>
    <rPh sb="8" eb="10">
      <t>コウギョウ</t>
    </rPh>
    <phoneticPr fontId="8"/>
  </si>
  <si>
    <t>◎巡回点検○エアネット監視　</t>
    <rPh sb="1" eb="3">
      <t>ジュンカイ</t>
    </rPh>
    <rPh sb="11" eb="13">
      <t>カンシ</t>
    </rPh>
    <phoneticPr fontId="8"/>
  </si>
  <si>
    <t>4回／年</t>
    <rPh sb="1" eb="2">
      <t>カイ</t>
    </rPh>
    <rPh sb="3" eb="4">
      <t>ネン</t>
    </rPh>
    <phoneticPr fontId="8"/>
  </si>
  <si>
    <t>SCB（東京美装㈱）</t>
    <rPh sb="4" eb="6">
      <t>トウキョウ</t>
    </rPh>
    <rPh sb="6" eb="8">
      <t>ビソウ</t>
    </rPh>
    <phoneticPr fontId="8"/>
  </si>
  <si>
    <t>SCB（アットアロマ㈱）</t>
    <phoneticPr fontId="8"/>
  </si>
  <si>
    <t>SCB（テラノテクノサービス㈱）</t>
    <phoneticPr fontId="8"/>
  </si>
  <si>
    <t>害虫防除業務</t>
    <rPh sb="0" eb="2">
      <t>ガイチュウ</t>
    </rPh>
    <rPh sb="2" eb="4">
      <t>ボウジョ</t>
    </rPh>
    <rPh sb="4" eb="6">
      <t>ギョウム</t>
    </rPh>
    <phoneticPr fontId="8"/>
  </si>
  <si>
    <t>SCB（㈱シー･アイ･シー）</t>
    <phoneticPr fontId="8"/>
  </si>
  <si>
    <t>◎全館調査</t>
    <rPh sb="1" eb="3">
      <t>ゼンカン</t>
    </rPh>
    <rPh sb="3" eb="5">
      <t>チョウサ</t>
    </rPh>
    <phoneticPr fontId="8"/>
  </si>
  <si>
    <t>SCB（能美防災㈱）</t>
    <rPh sb="4" eb="5">
      <t>ノウ</t>
    </rPh>
    <rPh sb="5" eb="6">
      <t>ビ</t>
    </rPh>
    <rPh sb="6" eb="8">
      <t>ボウサイ</t>
    </rPh>
    <phoneticPr fontId="8"/>
  </si>
  <si>
    <t>○機器点検  ◎総合点検</t>
    <rPh sb="1" eb="3">
      <t>キキ</t>
    </rPh>
    <rPh sb="3" eb="5">
      <t>テンケン</t>
    </rPh>
    <phoneticPr fontId="8"/>
  </si>
  <si>
    <t>１回／3年</t>
    <rPh sb="1" eb="2">
      <t>カイ</t>
    </rPh>
    <rPh sb="4" eb="5">
      <t>ネン</t>
    </rPh>
    <phoneticPr fontId="8"/>
  </si>
  <si>
    <t>SCB（能美防災㈱）</t>
    <rPh sb="4" eb="6">
      <t>ノウミ</t>
    </rPh>
    <rPh sb="6" eb="8">
      <t>ボウサイ</t>
    </rPh>
    <phoneticPr fontId="8"/>
  </si>
  <si>
    <t>※初回2031年実施予定</t>
    <rPh sb="1" eb="3">
      <t>ショカイ</t>
    </rPh>
    <rPh sb="10" eb="12">
      <t>ヨテイ</t>
    </rPh>
    <phoneticPr fontId="8"/>
  </si>
  <si>
    <t>空気環境測定業務</t>
    <rPh sb="0" eb="2">
      <t>クウキ</t>
    </rPh>
    <rPh sb="2" eb="4">
      <t>カンキョウ</t>
    </rPh>
    <rPh sb="4" eb="6">
      <t>ソクテイ</t>
    </rPh>
    <rPh sb="6" eb="8">
      <t>ギョウム</t>
    </rPh>
    <phoneticPr fontId="8"/>
  </si>
  <si>
    <t>※初年度は2022年12月まで毎月実施</t>
    <rPh sb="1" eb="4">
      <t>ショネンド</t>
    </rPh>
    <rPh sb="9" eb="10">
      <t>ネン</t>
    </rPh>
    <rPh sb="12" eb="13">
      <t>ガツ</t>
    </rPh>
    <rPh sb="15" eb="17">
      <t>マイツキ</t>
    </rPh>
    <rPh sb="17" eb="19">
      <t>ジッシ</t>
    </rPh>
    <phoneticPr fontId="8"/>
  </si>
  <si>
    <t>SCB（未定）</t>
    <rPh sb="4" eb="6">
      <t>ミテイ</t>
    </rPh>
    <phoneticPr fontId="8"/>
  </si>
  <si>
    <t>ガラス清掃業務（外面）</t>
    <rPh sb="3" eb="5">
      <t>セイソウ</t>
    </rPh>
    <rPh sb="5" eb="7">
      <t>ギョウム</t>
    </rPh>
    <rPh sb="8" eb="9">
      <t>ソト</t>
    </rPh>
    <rPh sb="9" eb="10">
      <t>メン</t>
    </rPh>
    <phoneticPr fontId="8"/>
  </si>
  <si>
    <t>3回／年</t>
    <rPh sb="1" eb="2">
      <t>カイ</t>
    </rPh>
    <rPh sb="3" eb="4">
      <t>ネン</t>
    </rPh>
    <phoneticPr fontId="8"/>
  </si>
  <si>
    <t>SCB（住友林業緑化㈱）</t>
    <rPh sb="4" eb="6">
      <t>スミトモ</t>
    </rPh>
    <rPh sb="6" eb="8">
      <t>リンギョウ</t>
    </rPh>
    <rPh sb="8" eb="10">
      <t>リョクカ</t>
    </rPh>
    <phoneticPr fontId="8"/>
  </si>
  <si>
    <t>CSP㈱、ＳＣＢ</t>
    <phoneticPr fontId="8"/>
  </si>
  <si>
    <t>フロン簡易点検</t>
    <rPh sb="3" eb="5">
      <t>カンイ</t>
    </rPh>
    <rPh sb="5" eb="7">
      <t>テンケン</t>
    </rPh>
    <phoneticPr fontId="8"/>
  </si>
  <si>
    <t>ＡＥＤ設置業務</t>
    <rPh sb="3" eb="5">
      <t>セッチ</t>
    </rPh>
    <rPh sb="5" eb="7">
      <t>ギョウム</t>
    </rPh>
    <phoneticPr fontId="8"/>
  </si>
  <si>
    <t>13回／年</t>
    <rPh sb="2" eb="3">
      <t>カイ</t>
    </rPh>
    <rPh sb="4" eb="5">
      <t>ネン</t>
    </rPh>
    <phoneticPr fontId="8"/>
  </si>
  <si>
    <t>※2022年度8月のみ</t>
    <rPh sb="5" eb="7">
      <t>ネンド</t>
    </rPh>
    <rPh sb="8" eb="9">
      <t>ガツ</t>
    </rPh>
    <phoneticPr fontId="8"/>
  </si>
  <si>
    <t>●</t>
    <phoneticPr fontId="8"/>
  </si>
  <si>
    <t>【共用部】1階、屋上共用部清掃</t>
    <rPh sb="1" eb="4">
      <t>キョウヨウブ</t>
    </rPh>
    <rPh sb="6" eb="7">
      <t>カイ</t>
    </rPh>
    <rPh sb="8" eb="10">
      <t>オクジョウ</t>
    </rPh>
    <rPh sb="10" eb="13">
      <t>キョウヨウブ</t>
    </rPh>
    <rPh sb="13" eb="15">
      <t>セイソウ</t>
    </rPh>
    <phoneticPr fontId="8"/>
  </si>
  <si>
    <t>その他</t>
    <rPh sb="2" eb="3">
      <t>ホカ</t>
    </rPh>
    <phoneticPr fontId="8"/>
  </si>
  <si>
    <t>建築設備</t>
    <rPh sb="0" eb="2">
      <t>ケンチク</t>
    </rPh>
    <rPh sb="2" eb="4">
      <t>セツビ</t>
    </rPh>
    <phoneticPr fontId="8"/>
  </si>
  <si>
    <t>○</t>
    <phoneticPr fontId="8"/>
  </si>
  <si>
    <t>SCB(シーアイシー)</t>
    <phoneticPr fontId="8"/>
  </si>
  <si>
    <t>（人形町PREX）　2022年度　管理業務スケジュール表</t>
    <rPh sb="1" eb="4">
      <t>ニンギョウチョウ</t>
    </rPh>
    <rPh sb="14" eb="16">
      <t>ネンド</t>
    </rPh>
    <rPh sb="17" eb="19">
      <t>カンリ</t>
    </rPh>
    <rPh sb="19" eb="21">
      <t>ギョウム</t>
    </rPh>
    <rPh sb="27" eb="28">
      <t>ヒョウ</t>
    </rPh>
    <phoneticPr fontId="8"/>
  </si>
  <si>
    <t>Ⅰ．建物基本情報</t>
    <rPh sb="2" eb="4">
      <t>タテモノ</t>
    </rPh>
    <rPh sb="4" eb="6">
      <t>キホン</t>
    </rPh>
    <rPh sb="6" eb="8">
      <t>ジョウホウ</t>
    </rPh>
    <phoneticPr fontId="8"/>
  </si>
  <si>
    <t>建物概要</t>
    <rPh sb="0" eb="2">
      <t>タテモノ</t>
    </rPh>
    <rPh sb="2" eb="4">
      <t>ガイヨウ</t>
    </rPh>
    <phoneticPr fontId="8"/>
  </si>
  <si>
    <t>設備概要</t>
    <rPh sb="0" eb="2">
      <t>セツビ</t>
    </rPh>
    <rPh sb="2" eb="4">
      <t>ガイヨウ</t>
    </rPh>
    <phoneticPr fontId="8"/>
  </si>
  <si>
    <t>地域区分</t>
    <rPh sb="0" eb="2">
      <t>チイキ</t>
    </rPh>
    <rPh sb="2" eb="4">
      <t>クブン</t>
    </rPh>
    <phoneticPr fontId="8"/>
  </si>
  <si>
    <t>延床面積</t>
    <rPh sb="0" eb="1">
      <t>ノベ</t>
    </rPh>
    <rPh sb="1" eb="2">
      <t>ユカ</t>
    </rPh>
    <rPh sb="2" eb="4">
      <t>メンセキ</t>
    </rPh>
    <phoneticPr fontId="8"/>
  </si>
  <si>
    <t>竣工年月</t>
    <rPh sb="0" eb="2">
      <t>シュンコウ</t>
    </rPh>
    <rPh sb="2" eb="3">
      <t>ネン</t>
    </rPh>
    <rPh sb="3" eb="4">
      <t>ゲツ</t>
    </rPh>
    <phoneticPr fontId="8"/>
  </si>
  <si>
    <t>築年数</t>
    <rPh sb="0" eb="1">
      <t>チク</t>
    </rPh>
    <rPh sb="1" eb="3">
      <t>ネンスウ</t>
    </rPh>
    <phoneticPr fontId="8"/>
  </si>
  <si>
    <t>規模</t>
    <rPh sb="0" eb="2">
      <t>キボ</t>
    </rPh>
    <phoneticPr fontId="8"/>
  </si>
  <si>
    <t>昇降機等</t>
    <rPh sb="0" eb="3">
      <t>ショウコウキ</t>
    </rPh>
    <rPh sb="3" eb="4">
      <t>トウ</t>
    </rPh>
    <phoneticPr fontId="8"/>
  </si>
  <si>
    <t>空調熱源設備等</t>
    <rPh sb="0" eb="2">
      <t>クウチョウ</t>
    </rPh>
    <rPh sb="2" eb="4">
      <t>ネツゲン</t>
    </rPh>
    <rPh sb="4" eb="6">
      <t>セツビ</t>
    </rPh>
    <rPh sb="6" eb="7">
      <t>トウ</t>
    </rPh>
    <phoneticPr fontId="8"/>
  </si>
  <si>
    <t>給排水</t>
    <rPh sb="0" eb="3">
      <t>キュウハイスイ</t>
    </rPh>
    <phoneticPr fontId="8"/>
  </si>
  <si>
    <t>PCB</t>
  </si>
  <si>
    <t>アスベスト</t>
  </si>
  <si>
    <t>屋外広告</t>
    <rPh sb="0" eb="2">
      <t>オクガイ</t>
    </rPh>
    <rPh sb="2" eb="4">
      <t>コウコク</t>
    </rPh>
    <phoneticPr fontId="8"/>
  </si>
  <si>
    <t>地上</t>
    <rPh sb="0" eb="2">
      <t>チジョウ</t>
    </rPh>
    <phoneticPr fontId="8"/>
  </si>
  <si>
    <t>地下</t>
    <rPh sb="0" eb="2">
      <t>チカ</t>
    </rPh>
    <phoneticPr fontId="8"/>
  </si>
  <si>
    <t>塔屋</t>
    <rPh sb="0" eb="1">
      <t>トウ</t>
    </rPh>
    <rPh sb="1" eb="2">
      <t>ヤ</t>
    </rPh>
    <phoneticPr fontId="8"/>
  </si>
  <si>
    <t>高さ</t>
    <rPh sb="0" eb="1">
      <t>タカ</t>
    </rPh>
    <phoneticPr fontId="8"/>
  </si>
  <si>
    <t>ELV</t>
  </si>
  <si>
    <t>ESC</t>
  </si>
  <si>
    <t>ゴンドラ</t>
  </si>
  <si>
    <t>ボイラー</t>
  </si>
  <si>
    <t>圧力容器</t>
    <rPh sb="0" eb="2">
      <t>アツリョク</t>
    </rPh>
    <rPh sb="2" eb="4">
      <t>ヨウキ</t>
    </rPh>
    <phoneticPr fontId="8"/>
  </si>
  <si>
    <t>冷凍機等</t>
    <rPh sb="0" eb="3">
      <t>レイトウキ</t>
    </rPh>
    <rPh sb="3" eb="4">
      <t>トウ</t>
    </rPh>
    <phoneticPr fontId="8"/>
  </si>
  <si>
    <t>冷却塔</t>
    <rPh sb="0" eb="3">
      <t>レイキャクトウ</t>
    </rPh>
    <phoneticPr fontId="8"/>
  </si>
  <si>
    <t>水道方式</t>
    <rPh sb="0" eb="2">
      <t>スイドウ</t>
    </rPh>
    <rPh sb="2" eb="4">
      <t>ホウシキ</t>
    </rPh>
    <phoneticPr fontId="8"/>
  </si>
  <si>
    <t>貯水槽</t>
    <rPh sb="0" eb="3">
      <t>チョスイソウ</t>
    </rPh>
    <phoneticPr fontId="8"/>
  </si>
  <si>
    <t>雑用水槽</t>
    <rPh sb="0" eb="2">
      <t>ザツヨウ</t>
    </rPh>
    <rPh sb="2" eb="4">
      <t>スイソウ</t>
    </rPh>
    <phoneticPr fontId="8"/>
  </si>
  <si>
    <t>排水槽</t>
    <rPh sb="0" eb="2">
      <t>ハイスイ</t>
    </rPh>
    <rPh sb="2" eb="3">
      <t>ソウ</t>
    </rPh>
    <phoneticPr fontId="8"/>
  </si>
  <si>
    <t>東京</t>
  </si>
  <si>
    <t>5498.58㎡</t>
    <phoneticPr fontId="156"/>
  </si>
  <si>
    <t>-</t>
    <phoneticPr fontId="156"/>
  </si>
  <si>
    <t>有</t>
  </si>
  <si>
    <t>無</t>
  </si>
  <si>
    <t>直結増圧送水方式</t>
  </si>
  <si>
    <t>Ⅱ．個別業法基本情報</t>
    <rPh sb="2" eb="4">
      <t>コベツ</t>
    </rPh>
    <rPh sb="4" eb="5">
      <t>ギョウ</t>
    </rPh>
    <rPh sb="5" eb="6">
      <t>ホウ</t>
    </rPh>
    <rPh sb="6" eb="8">
      <t>キホン</t>
    </rPh>
    <rPh sb="8" eb="10">
      <t>ジョウホウ</t>
    </rPh>
    <phoneticPr fontId="8"/>
  </si>
  <si>
    <t>消防法</t>
    <rPh sb="0" eb="3">
      <t>ショウボウホウ</t>
    </rPh>
    <phoneticPr fontId="8"/>
  </si>
  <si>
    <t>ビル管法</t>
    <rPh sb="2" eb="3">
      <t>カン</t>
    </rPh>
    <rPh sb="3" eb="4">
      <t>ホウ</t>
    </rPh>
    <phoneticPr fontId="8"/>
  </si>
  <si>
    <t>省エネ法</t>
    <rPh sb="0" eb="1">
      <t>ショウ</t>
    </rPh>
    <rPh sb="3" eb="4">
      <t>ホウ</t>
    </rPh>
    <phoneticPr fontId="8"/>
  </si>
  <si>
    <t>該当条項</t>
    <rPh sb="0" eb="2">
      <t>ガイトウ</t>
    </rPh>
    <rPh sb="2" eb="4">
      <t>ジョウコウ</t>
    </rPh>
    <phoneticPr fontId="8"/>
  </si>
  <si>
    <t>用途</t>
    <rPh sb="0" eb="2">
      <t>ヨウト</t>
    </rPh>
    <phoneticPr fontId="8"/>
  </si>
  <si>
    <t>特定／非特定</t>
    <rPh sb="0" eb="2">
      <t>トクテイ</t>
    </rPh>
    <rPh sb="3" eb="4">
      <t>ヒ</t>
    </rPh>
    <rPh sb="4" eb="6">
      <t>トクテイ</t>
    </rPh>
    <phoneticPr fontId="8"/>
  </si>
  <si>
    <t>共同防火（防災）管理</t>
    <rPh sb="0" eb="2">
      <t>キョウドウ</t>
    </rPh>
    <rPh sb="2" eb="4">
      <t>ボウカ</t>
    </rPh>
    <rPh sb="5" eb="7">
      <t>ボウサイ</t>
    </rPh>
    <rPh sb="8" eb="10">
      <t>カンリ</t>
    </rPh>
    <phoneticPr fontId="8"/>
  </si>
  <si>
    <t>共用部の防災管理</t>
    <rPh sb="0" eb="3">
      <t>キョウヨウブ</t>
    </rPh>
    <rPh sb="4" eb="6">
      <t>ボウサイ</t>
    </rPh>
    <rPh sb="6" eb="8">
      <t>カンリ</t>
    </rPh>
    <phoneticPr fontId="8"/>
  </si>
  <si>
    <t>共用部の特例認定</t>
    <rPh sb="4" eb="6">
      <t>トクレイ</t>
    </rPh>
    <rPh sb="6" eb="8">
      <t>ニンテイ</t>
    </rPh>
    <phoneticPr fontId="8"/>
  </si>
  <si>
    <t>特定建築物該当有無</t>
    <rPh sb="0" eb="2">
      <t>トクテイ</t>
    </rPh>
    <rPh sb="2" eb="5">
      <t>ケンチクブツ</t>
    </rPh>
    <rPh sb="5" eb="7">
      <t>ガイトウ</t>
    </rPh>
    <rPh sb="7" eb="9">
      <t>ウム</t>
    </rPh>
    <phoneticPr fontId="8"/>
  </si>
  <si>
    <t>業務受託の有無</t>
    <phoneticPr fontId="8"/>
  </si>
  <si>
    <t>報告者</t>
    <rPh sb="0" eb="3">
      <t>ホウコクシャ</t>
    </rPh>
    <phoneticPr fontId="156"/>
  </si>
  <si>
    <t>報告範囲</t>
    <rPh sb="0" eb="2">
      <t>ホウコク</t>
    </rPh>
    <rPh sb="2" eb="4">
      <t>ハンイ</t>
    </rPh>
    <phoneticPr fontId="156"/>
  </si>
  <si>
    <t>2021年度排出量
（原油換算値）</t>
    <rPh sb="4" eb="6">
      <t>ネンド</t>
    </rPh>
    <rPh sb="6" eb="8">
      <t>ハイシュツ</t>
    </rPh>
    <rPh sb="8" eb="9">
      <t>リョウ</t>
    </rPh>
    <rPh sb="11" eb="13">
      <t>ゲンユ</t>
    </rPh>
    <rPh sb="13" eb="15">
      <t>カンサン</t>
    </rPh>
    <rPh sb="15" eb="16">
      <t>アタイ</t>
    </rPh>
    <phoneticPr fontId="156"/>
  </si>
  <si>
    <t>15項</t>
  </si>
  <si>
    <t>事務所</t>
    <rPh sb="0" eb="3">
      <t>ジムショ</t>
    </rPh>
    <phoneticPr fontId="156"/>
  </si>
  <si>
    <t>非特定</t>
  </si>
  <si>
    <t>SC</t>
    <phoneticPr fontId="156"/>
  </si>
  <si>
    <t>Ⅲ．業務スケジュール</t>
    <rPh sb="2" eb="4">
      <t>ギョウム</t>
    </rPh>
    <phoneticPr fontId="8"/>
  </si>
  <si>
    <t>①年間イベントスケジュール</t>
    <rPh sb="1" eb="3">
      <t>ネンカン</t>
    </rPh>
    <phoneticPr fontId="8"/>
  </si>
  <si>
    <t>分類</t>
    <rPh sb="0" eb="2">
      <t>ブンルイ</t>
    </rPh>
    <phoneticPr fontId="8"/>
  </si>
  <si>
    <t>業務内容</t>
    <rPh sb="0" eb="2">
      <t>ギョウム</t>
    </rPh>
    <rPh sb="2" eb="4">
      <t>ナイヨウ</t>
    </rPh>
    <phoneticPr fontId="8"/>
  </si>
  <si>
    <t>該当法令</t>
    <rPh sb="0" eb="2">
      <t>ガイトウ</t>
    </rPh>
    <rPh sb="2" eb="4">
      <t>ホウレイ</t>
    </rPh>
    <phoneticPr fontId="8"/>
  </si>
  <si>
    <t>特記事項</t>
    <rPh sb="0" eb="2">
      <t>トッキ</t>
    </rPh>
    <rPh sb="2" eb="4">
      <t>ジコウ</t>
    </rPh>
    <phoneticPr fontId="8"/>
  </si>
  <si>
    <t>4月</t>
    <rPh sb="1" eb="2">
      <t>ガツ</t>
    </rPh>
    <phoneticPr fontId="8"/>
  </si>
  <si>
    <t>1月</t>
  </si>
  <si>
    <t>2月</t>
  </si>
  <si>
    <t>3月</t>
  </si>
  <si>
    <t>②定期管理業務スケジュール</t>
    <rPh sb="1" eb="3">
      <t>テイキ</t>
    </rPh>
    <rPh sb="3" eb="5">
      <t>カンリ</t>
    </rPh>
    <rPh sb="5" eb="7">
      <t>ギョウム</t>
    </rPh>
    <phoneticPr fontId="8"/>
  </si>
  <si>
    <t>↓下請法対象企業はカラー着色すること。</t>
    <rPh sb="1" eb="4">
      <t>シタウケホウ</t>
    </rPh>
    <rPh sb="4" eb="6">
      <t>タイショウ</t>
    </rPh>
    <rPh sb="6" eb="8">
      <t>キギョウ</t>
    </rPh>
    <rPh sb="12" eb="14">
      <t>チャクショク</t>
    </rPh>
    <phoneticPr fontId="156"/>
  </si>
  <si>
    <t>法定業務管理</t>
    <rPh sb="0" eb="2">
      <t>ホウテイ</t>
    </rPh>
    <rPh sb="2" eb="4">
      <t>ギョウム</t>
    </rPh>
    <rPh sb="4" eb="6">
      <t>カンリ</t>
    </rPh>
    <phoneticPr fontId="8"/>
  </si>
  <si>
    <t>委託業者</t>
    <rPh sb="0" eb="2">
      <t>イタク</t>
    </rPh>
    <rPh sb="2" eb="4">
      <t>ギョウシャ</t>
    </rPh>
    <phoneticPr fontId="8"/>
  </si>
  <si>
    <t>当ビル適用有無</t>
    <rPh sb="0" eb="1">
      <t>トウ</t>
    </rPh>
    <rPh sb="3" eb="5">
      <t>テキヨウ</t>
    </rPh>
    <rPh sb="5" eb="7">
      <t>ウム</t>
    </rPh>
    <phoneticPr fontId="8"/>
  </si>
  <si>
    <t>実施周期</t>
    <rPh sb="0" eb="2">
      <t>ジッシ</t>
    </rPh>
    <rPh sb="2" eb="4">
      <t>シュウキ</t>
    </rPh>
    <phoneticPr fontId="8"/>
  </si>
  <si>
    <t>法定周期</t>
    <rPh sb="0" eb="2">
      <t>ホウテイ</t>
    </rPh>
    <rPh sb="2" eb="4">
      <t>シュウキ</t>
    </rPh>
    <phoneticPr fontId="8"/>
  </si>
  <si>
    <t>当ﾋﾞﾙ周期</t>
    <rPh sb="0" eb="1">
      <t>トウ</t>
    </rPh>
    <rPh sb="4" eb="6">
      <t>シュウキ</t>
    </rPh>
    <phoneticPr fontId="8"/>
  </si>
  <si>
    <t>建築設備定期検査</t>
    <phoneticPr fontId="156"/>
  </si>
  <si>
    <t>法定</t>
  </si>
  <si>
    <t>建築基準法</t>
    <rPh sb="0" eb="2">
      <t>ケンチク</t>
    </rPh>
    <rPh sb="2" eb="5">
      <t>キジュンホウ</t>
    </rPh>
    <phoneticPr fontId="8"/>
  </si>
  <si>
    <t>SCB（ビューローベリタスジャパン）</t>
    <phoneticPr fontId="8"/>
  </si>
  <si>
    <t>※</t>
    <phoneticPr fontId="156"/>
  </si>
  <si>
    <t>※初回2023年9月</t>
    <rPh sb="1" eb="3">
      <t>ショカイ</t>
    </rPh>
    <rPh sb="7" eb="8">
      <t>ネン</t>
    </rPh>
    <rPh sb="9" eb="10">
      <t>ガツ</t>
    </rPh>
    <phoneticPr fontId="156"/>
  </si>
  <si>
    <t>特定建築物定期検査</t>
    <rPh sb="0" eb="2">
      <t>トクテイ</t>
    </rPh>
    <rPh sb="4" eb="5">
      <t>ブツ</t>
    </rPh>
    <phoneticPr fontId="156"/>
  </si>
  <si>
    <t>1回/3年</t>
    <rPh sb="1" eb="2">
      <t>カイ</t>
    </rPh>
    <rPh sb="4" eb="5">
      <t>ネン</t>
    </rPh>
    <phoneticPr fontId="8"/>
  </si>
  <si>
    <t>※初回2026年9月</t>
    <rPh sb="1" eb="3">
      <t>ショカイ</t>
    </rPh>
    <rPh sb="7" eb="8">
      <t>ネン</t>
    </rPh>
    <rPh sb="9" eb="10">
      <t>ガツ</t>
    </rPh>
    <phoneticPr fontId="156"/>
  </si>
  <si>
    <t>1回/年</t>
    <phoneticPr fontId="156"/>
  </si>
  <si>
    <t>※初回2023年9月</t>
    <phoneticPr fontId="156"/>
  </si>
  <si>
    <t>エレベーター保守</t>
  </si>
  <si>
    <t>SCB(三菱電機ビルテクノサービス）</t>
    <rPh sb="4" eb="6">
      <t>ミツビシ</t>
    </rPh>
    <rPh sb="6" eb="8">
      <t>デンキ</t>
    </rPh>
    <phoneticPr fontId="8"/>
  </si>
  <si>
    <t>◇</t>
    <phoneticPr fontId="156"/>
  </si>
  <si>
    <t>〇</t>
    <phoneticPr fontId="156"/>
  </si>
  <si>
    <t>◎</t>
    <phoneticPr fontId="156"/>
  </si>
  <si>
    <t>◎：法定点検　○：定期点検　◇：遠隔</t>
    <phoneticPr fontId="156"/>
  </si>
  <si>
    <t>エスカレーター保守</t>
    <phoneticPr fontId="156"/>
  </si>
  <si>
    <t>機械式駐車場保守</t>
    <rPh sb="0" eb="2">
      <t>キカイ</t>
    </rPh>
    <rPh sb="2" eb="3">
      <t>シキ</t>
    </rPh>
    <rPh sb="3" eb="6">
      <t>チュウシャジョウ</t>
    </rPh>
    <rPh sb="6" eb="8">
      <t>ホシュ</t>
    </rPh>
    <phoneticPr fontId="156"/>
  </si>
  <si>
    <t>-</t>
    <phoneticPr fontId="8"/>
  </si>
  <si>
    <t>毎月</t>
    <rPh sb="0" eb="2">
      <t>マイツキ</t>
    </rPh>
    <phoneticPr fontId="156"/>
  </si>
  <si>
    <t>厨房リフト（ダムウェーター）保守</t>
    <rPh sb="0" eb="2">
      <t>チュウボウ</t>
    </rPh>
    <rPh sb="14" eb="16">
      <t>ホシュ</t>
    </rPh>
    <phoneticPr fontId="156"/>
  </si>
  <si>
    <t>小荷物用専用エレベーター保守</t>
    <rPh sb="0" eb="3">
      <t>コニモツ</t>
    </rPh>
    <rPh sb="3" eb="4">
      <t>ヨウ</t>
    </rPh>
    <rPh sb="4" eb="6">
      <t>センヨウ</t>
    </rPh>
    <rPh sb="12" eb="14">
      <t>ホシュ</t>
    </rPh>
    <phoneticPr fontId="156"/>
  </si>
  <si>
    <t>カーリフト保守</t>
    <rPh sb="5" eb="7">
      <t>ホシュ</t>
    </rPh>
    <phoneticPr fontId="156"/>
  </si>
  <si>
    <t>電気工作物保守点検</t>
    <rPh sb="5" eb="7">
      <t>ホシュ</t>
    </rPh>
    <rPh sb="7" eb="9">
      <t>テンケン</t>
    </rPh>
    <phoneticPr fontId="156"/>
  </si>
  <si>
    <t>電気事業法</t>
    <rPh sb="0" eb="2">
      <t>デンキ</t>
    </rPh>
    <rPh sb="2" eb="5">
      <t>ジギョウホウ</t>
    </rPh>
    <phoneticPr fontId="8"/>
  </si>
  <si>
    <t>1回/年</t>
  </si>
  <si>
    <t>6回/年</t>
    <rPh sb="1" eb="2">
      <t>カイ</t>
    </rPh>
    <rPh sb="3" eb="4">
      <t>ネン</t>
    </rPh>
    <phoneticPr fontId="156"/>
  </si>
  <si>
    <t>関東電気保安協会</t>
    <rPh sb="0" eb="8">
      <t>カントウデンキホアンキョウカイ</t>
    </rPh>
    <phoneticPr fontId="156"/>
  </si>
  <si>
    <t>◎年次点検（無停電）　　※停電作業を伴う年次点検（1回/3年） ： 初回2024年10月予定</t>
    <phoneticPr fontId="156"/>
  </si>
  <si>
    <t>蓄電池設備（直流電源装置）点検</t>
    <rPh sb="0" eb="3">
      <t>チクデンチ</t>
    </rPh>
    <rPh sb="3" eb="5">
      <t>セツビ</t>
    </rPh>
    <rPh sb="6" eb="8">
      <t>チョクリュウ</t>
    </rPh>
    <rPh sb="8" eb="10">
      <t>デンゲン</t>
    </rPh>
    <rPh sb="10" eb="12">
      <t>ソウチ</t>
    </rPh>
    <rPh sb="13" eb="15">
      <t>テンケン</t>
    </rPh>
    <phoneticPr fontId="156"/>
  </si>
  <si>
    <t>電気事業法</t>
    <rPh sb="0" eb="2">
      <t>デンキ</t>
    </rPh>
    <rPh sb="2" eb="5">
      <t>ジギョウホウ</t>
    </rPh>
    <phoneticPr fontId="156"/>
  </si>
  <si>
    <t>▼ 選択</t>
  </si>
  <si>
    <t>高濃度PCB管理状況届出書</t>
    <rPh sb="0" eb="3">
      <t>コウノウド</t>
    </rPh>
    <rPh sb="6" eb="8">
      <t>カンリ</t>
    </rPh>
    <rPh sb="8" eb="10">
      <t>ジョウキョウ</t>
    </rPh>
    <rPh sb="10" eb="12">
      <t>トドケデ</t>
    </rPh>
    <rPh sb="12" eb="13">
      <t>ショ</t>
    </rPh>
    <phoneticPr fontId="156"/>
  </si>
  <si>
    <t>空気環境測定業務</t>
  </si>
  <si>
    <t>6回/年</t>
    <phoneticPr fontId="156"/>
  </si>
  <si>
    <t>初年度：毎月、2年目以降：6回/年</t>
    <phoneticPr fontId="156"/>
  </si>
  <si>
    <t>初年度は毎月実施。（2021年12月～2022年12月）</t>
    <rPh sb="0" eb="3">
      <t>ショネンド</t>
    </rPh>
    <rPh sb="4" eb="6">
      <t>マイツキ</t>
    </rPh>
    <rPh sb="6" eb="8">
      <t>ジッシ</t>
    </rPh>
    <rPh sb="14" eb="15">
      <t>ネン</t>
    </rPh>
    <rPh sb="17" eb="18">
      <t>ガツ</t>
    </rPh>
    <rPh sb="23" eb="24">
      <t>ネン</t>
    </rPh>
    <rPh sb="26" eb="27">
      <t>ガツ</t>
    </rPh>
    <phoneticPr fontId="156"/>
  </si>
  <si>
    <t>ホルムアルデヒド測定(新築時)</t>
    <rPh sb="8" eb="10">
      <t>ソクテイ</t>
    </rPh>
    <rPh sb="11" eb="13">
      <t>シンチク</t>
    </rPh>
    <rPh sb="13" eb="14">
      <t>ジ</t>
    </rPh>
    <phoneticPr fontId="156"/>
  </si>
  <si>
    <t>最初に迎える6～9月の間に1回</t>
    <rPh sb="0" eb="2">
      <t>サイショ</t>
    </rPh>
    <rPh sb="3" eb="4">
      <t>ムカ</t>
    </rPh>
    <rPh sb="9" eb="10">
      <t>ガツ</t>
    </rPh>
    <rPh sb="11" eb="12">
      <t>アイダ</t>
    </rPh>
    <rPh sb="14" eb="15">
      <t>カイ</t>
    </rPh>
    <phoneticPr fontId="8"/>
  </si>
  <si>
    <t>ホルムアルデヒド測定(大規模修繕/模様替実施後)</t>
    <rPh sb="8" eb="10">
      <t>ソクテイ</t>
    </rPh>
    <rPh sb="11" eb="14">
      <t>ダイキボ</t>
    </rPh>
    <rPh sb="14" eb="16">
      <t>シュウゼン</t>
    </rPh>
    <rPh sb="17" eb="19">
      <t>モヨウ</t>
    </rPh>
    <rPh sb="19" eb="20">
      <t>ガ</t>
    </rPh>
    <rPh sb="20" eb="22">
      <t>ジッシ</t>
    </rPh>
    <rPh sb="22" eb="23">
      <t>アト</t>
    </rPh>
    <phoneticPr fontId="156"/>
  </si>
  <si>
    <t>空調機器点検</t>
    <rPh sb="0" eb="2">
      <t>クウチョウ</t>
    </rPh>
    <rPh sb="2" eb="4">
      <t>キキ</t>
    </rPh>
    <rPh sb="4" eb="6">
      <t>テンケン</t>
    </rPh>
    <phoneticPr fontId="156"/>
  </si>
  <si>
    <t>〇※</t>
    <phoneticPr fontId="156"/>
  </si>
  <si>
    <t>エアネット監視　　※現地点検</t>
    <rPh sb="10" eb="14">
      <t>ゲンチテンケン</t>
    </rPh>
    <phoneticPr fontId="156"/>
  </si>
  <si>
    <t>冷却塔清掃（点検）</t>
    <rPh sb="0" eb="3">
      <t>レイキャクトウ</t>
    </rPh>
    <rPh sb="3" eb="5">
      <t>セイソウ</t>
    </rPh>
    <phoneticPr fontId="8"/>
  </si>
  <si>
    <t>1回/年（1回/月）</t>
    <rPh sb="1" eb="2">
      <t>カイ</t>
    </rPh>
    <rPh sb="3" eb="4">
      <t>ネン</t>
    </rPh>
    <rPh sb="6" eb="7">
      <t>カイ</t>
    </rPh>
    <rPh sb="8" eb="9">
      <t>ツキ</t>
    </rPh>
    <phoneticPr fontId="8"/>
  </si>
  <si>
    <t>冷却水配管清掃</t>
    <rPh sb="0" eb="3">
      <t>レイキャクスイ</t>
    </rPh>
    <rPh sb="3" eb="5">
      <t>ハイカン</t>
    </rPh>
    <rPh sb="5" eb="7">
      <t>セイソウ</t>
    </rPh>
    <phoneticPr fontId="8"/>
  </si>
  <si>
    <t>加湿装置清掃（点検）</t>
    <rPh sb="0" eb="2">
      <t>カシツ</t>
    </rPh>
    <rPh sb="2" eb="4">
      <t>ソウチ</t>
    </rPh>
    <rPh sb="4" eb="6">
      <t>セイソウ</t>
    </rPh>
    <rPh sb="7" eb="9">
      <t>テンケン</t>
    </rPh>
    <phoneticPr fontId="156"/>
  </si>
  <si>
    <t>1回/年（1回/月）</t>
    <phoneticPr fontId="8"/>
  </si>
  <si>
    <t>※ シーズンイン・オフで水抜き・水張り</t>
    <phoneticPr fontId="156"/>
  </si>
  <si>
    <t>空調機排水受け（ドレンパン）点検（清掃）</t>
    <rPh sb="0" eb="3">
      <t>クウチョウキ</t>
    </rPh>
    <rPh sb="3" eb="5">
      <t>ハイスイ</t>
    </rPh>
    <rPh sb="5" eb="6">
      <t>ウ</t>
    </rPh>
    <rPh sb="14" eb="16">
      <t>テンケン</t>
    </rPh>
    <rPh sb="17" eb="19">
      <t>セイソウ</t>
    </rPh>
    <phoneticPr fontId="156"/>
  </si>
  <si>
    <t>1回/月</t>
    <rPh sb="1" eb="2">
      <t>カイ</t>
    </rPh>
    <rPh sb="3" eb="4">
      <t>ツキ</t>
    </rPh>
    <phoneticPr fontId="8"/>
  </si>
  <si>
    <t>受水槽清掃・高架水槽清掃</t>
    <rPh sb="0" eb="1">
      <t>ジュ</t>
    </rPh>
    <rPh sb="1" eb="3">
      <t>スイソウ</t>
    </rPh>
    <rPh sb="3" eb="5">
      <t>セイソウ</t>
    </rPh>
    <rPh sb="6" eb="8">
      <t>コウカ</t>
    </rPh>
    <rPh sb="8" eb="10">
      <t>スイソウ</t>
    </rPh>
    <rPh sb="10" eb="12">
      <t>セイソウ</t>
    </rPh>
    <phoneticPr fontId="8"/>
  </si>
  <si>
    <t>飲料水水質検査</t>
    <rPh sb="0" eb="3">
      <t>インリョウスイ</t>
    </rPh>
    <phoneticPr fontId="8"/>
  </si>
  <si>
    <t>給湯水質検査</t>
    <rPh sb="0" eb="2">
      <t>キュウトウ</t>
    </rPh>
    <rPh sb="2" eb="4">
      <t>スイシツ</t>
    </rPh>
    <rPh sb="4" eb="6">
      <t>ケンサ</t>
    </rPh>
    <phoneticPr fontId="156"/>
  </si>
  <si>
    <t>残留塩素測定(上水)</t>
    <rPh sb="0" eb="2">
      <t>ザンリュウ</t>
    </rPh>
    <rPh sb="2" eb="4">
      <t>エンソ</t>
    </rPh>
    <rPh sb="4" eb="6">
      <t>ソクテイ</t>
    </rPh>
    <rPh sb="7" eb="9">
      <t>ジョウスイ</t>
    </rPh>
    <phoneticPr fontId="8"/>
  </si>
  <si>
    <t>1回/週</t>
    <rPh sb="1" eb="2">
      <t>カイ</t>
    </rPh>
    <rPh sb="3" eb="4">
      <t>シュウ</t>
    </rPh>
    <phoneticPr fontId="8"/>
  </si>
  <si>
    <t>残留塩素測定(中水)</t>
    <rPh sb="0" eb="2">
      <t>ザンリュウ</t>
    </rPh>
    <rPh sb="2" eb="4">
      <t>エンソ</t>
    </rPh>
    <rPh sb="4" eb="6">
      <t>ソクテイ</t>
    </rPh>
    <rPh sb="7" eb="8">
      <t>チュウ</t>
    </rPh>
    <rPh sb="8" eb="9">
      <t>ミズ</t>
    </rPh>
    <phoneticPr fontId="8"/>
  </si>
  <si>
    <t>雑用水水質検査</t>
    <rPh sb="0" eb="2">
      <t>ザツヨウ</t>
    </rPh>
    <rPh sb="2" eb="3">
      <t>ミズ</t>
    </rPh>
    <rPh sb="3" eb="5">
      <t>スイシツ</t>
    </rPh>
    <rPh sb="5" eb="7">
      <t>ケンサ</t>
    </rPh>
    <phoneticPr fontId="8"/>
  </si>
  <si>
    <t>雑排水槽清掃</t>
    <rPh sb="0" eb="3">
      <t>ザツハイスイ</t>
    </rPh>
    <rPh sb="3" eb="4">
      <t>ソウ</t>
    </rPh>
    <rPh sb="4" eb="6">
      <t>セイソウ</t>
    </rPh>
    <phoneticPr fontId="8"/>
  </si>
  <si>
    <t>汚水槽清掃</t>
    <rPh sb="0" eb="1">
      <t>キタナ</t>
    </rPh>
    <rPh sb="1" eb="2">
      <t>ミズ</t>
    </rPh>
    <rPh sb="2" eb="3">
      <t>ソウ</t>
    </rPh>
    <rPh sb="3" eb="5">
      <t>セイソウ</t>
    </rPh>
    <phoneticPr fontId="8"/>
  </si>
  <si>
    <t>ねずみ・害虫防除業務</t>
  </si>
  <si>
    <t>6回/年</t>
  </si>
  <si>
    <t>維持管理状況報告書</t>
    <rPh sb="0" eb="2">
      <t>イジ</t>
    </rPh>
    <phoneticPr fontId="8"/>
  </si>
  <si>
    <t>給湯器清掃・点検(中央式給湯設備：貯湯槽あり)</t>
    <rPh sb="0" eb="3">
      <t>キュウトウキ</t>
    </rPh>
    <rPh sb="3" eb="5">
      <t>セイソウ</t>
    </rPh>
    <rPh sb="6" eb="8">
      <t>テンケン</t>
    </rPh>
    <rPh sb="9" eb="11">
      <t>チュウオウ</t>
    </rPh>
    <rPh sb="11" eb="12">
      <t>シキ</t>
    </rPh>
    <rPh sb="12" eb="14">
      <t>キュウトウ</t>
    </rPh>
    <rPh sb="14" eb="16">
      <t>セツビ</t>
    </rPh>
    <rPh sb="17" eb="20">
      <t>チョトウソウ</t>
    </rPh>
    <phoneticPr fontId="156"/>
  </si>
  <si>
    <t>給湯器清掃・点検(局所式給湯設備：貯湯槽あり)
設備の構造上清掃できない場合、メーカーの取扱い説明に従い点検、メンテナンス実施</t>
    <rPh sb="0" eb="3">
      <t>キュウトウキ</t>
    </rPh>
    <rPh sb="3" eb="5">
      <t>セイソウ</t>
    </rPh>
    <rPh sb="6" eb="8">
      <t>テンケン</t>
    </rPh>
    <rPh sb="9" eb="11">
      <t>キョクショ</t>
    </rPh>
    <rPh sb="17" eb="20">
      <t>チョトウソウ</t>
    </rPh>
    <rPh sb="24" eb="26">
      <t>セツビ</t>
    </rPh>
    <rPh sb="27" eb="29">
      <t>コウゾウ</t>
    </rPh>
    <rPh sb="29" eb="30">
      <t>ジョウ</t>
    </rPh>
    <rPh sb="30" eb="32">
      <t>セイソウ</t>
    </rPh>
    <rPh sb="36" eb="38">
      <t>バアイ</t>
    </rPh>
    <rPh sb="44" eb="46">
      <t>トリアツカ</t>
    </rPh>
    <rPh sb="47" eb="49">
      <t>セツメイ</t>
    </rPh>
    <rPh sb="50" eb="51">
      <t>シタガ</t>
    </rPh>
    <rPh sb="52" eb="54">
      <t>テンケン</t>
    </rPh>
    <rPh sb="61" eb="63">
      <t>ジッシ</t>
    </rPh>
    <phoneticPr fontId="156"/>
  </si>
  <si>
    <r>
      <t>防火対象物</t>
    </r>
    <r>
      <rPr>
        <sz val="14"/>
        <rFont val="ＭＳ Ｐゴシック"/>
        <family val="3"/>
        <charset val="128"/>
      </rPr>
      <t>点検</t>
    </r>
    <rPh sb="0" eb="2">
      <t>ボウカ</t>
    </rPh>
    <rPh sb="2" eb="5">
      <t>タイショウブツ</t>
    </rPh>
    <rPh sb="5" eb="7">
      <t>テンケン</t>
    </rPh>
    <phoneticPr fontId="8"/>
  </si>
  <si>
    <t>防災管理点検</t>
    <rPh sb="0" eb="2">
      <t>ボウサイ</t>
    </rPh>
    <rPh sb="2" eb="4">
      <t>カンリ</t>
    </rPh>
    <rPh sb="4" eb="6">
      <t>テンケン</t>
    </rPh>
    <phoneticPr fontId="8"/>
  </si>
  <si>
    <t>SCB(能美防災）</t>
    <rPh sb="4" eb="6">
      <t>ノウミ</t>
    </rPh>
    <rPh sb="6" eb="8">
      <t>ボウサイ</t>
    </rPh>
    <phoneticPr fontId="8"/>
  </si>
  <si>
    <t>◎総合点検　○機器点検　■報告(1/3年)　</t>
    <phoneticPr fontId="156"/>
  </si>
  <si>
    <t>SCB（多紀システック）</t>
    <rPh sb="4" eb="5">
      <t>タ</t>
    </rPh>
    <rPh sb="5" eb="6">
      <t>キ</t>
    </rPh>
    <phoneticPr fontId="8"/>
  </si>
  <si>
    <t>非常電源負荷運転または内部観察等</t>
    <rPh sb="0" eb="2">
      <t>ヒジョウ</t>
    </rPh>
    <rPh sb="2" eb="4">
      <t>デンゲン</t>
    </rPh>
    <rPh sb="4" eb="6">
      <t>フカ</t>
    </rPh>
    <rPh sb="6" eb="8">
      <t>ウンテン</t>
    </rPh>
    <rPh sb="11" eb="13">
      <t>ナイブ</t>
    </rPh>
    <rPh sb="13" eb="15">
      <t>カンサツ</t>
    </rPh>
    <rPh sb="15" eb="16">
      <t>ナド</t>
    </rPh>
    <phoneticPr fontId="156"/>
  </si>
  <si>
    <t>非常電源負荷運転及び内部観察等
（予防的な保全が講じられている場合）</t>
    <rPh sb="0" eb="2">
      <t>ヒジョウ</t>
    </rPh>
    <rPh sb="2" eb="4">
      <t>デンゲン</t>
    </rPh>
    <rPh sb="4" eb="6">
      <t>フカ</t>
    </rPh>
    <rPh sb="6" eb="8">
      <t>ウンテン</t>
    </rPh>
    <rPh sb="8" eb="9">
      <t>オヨ</t>
    </rPh>
    <rPh sb="10" eb="12">
      <t>ナイブ</t>
    </rPh>
    <rPh sb="12" eb="14">
      <t>カンサツ</t>
    </rPh>
    <rPh sb="14" eb="15">
      <t>ナド</t>
    </rPh>
    <rPh sb="17" eb="20">
      <t>ヨボウテキ</t>
    </rPh>
    <rPh sb="21" eb="23">
      <t>ホゼン</t>
    </rPh>
    <rPh sb="24" eb="25">
      <t>コウ</t>
    </rPh>
    <rPh sb="31" eb="33">
      <t>バアイ</t>
    </rPh>
    <phoneticPr fontId="156"/>
  </si>
  <si>
    <t>法定</t>
    <phoneticPr fontId="156"/>
  </si>
  <si>
    <t>消防法</t>
    <rPh sb="0" eb="3">
      <t>ショウボウホウ</t>
    </rPh>
    <phoneticPr fontId="156"/>
  </si>
  <si>
    <t>1回/6年</t>
    <rPh sb="1" eb="2">
      <t>カイ</t>
    </rPh>
    <rPh sb="4" eb="5">
      <t>ネン</t>
    </rPh>
    <phoneticPr fontId="156"/>
  </si>
  <si>
    <t>消防訓練火災</t>
    <rPh sb="2" eb="4">
      <t>クンレン</t>
    </rPh>
    <rPh sb="4" eb="6">
      <t>カサイ</t>
    </rPh>
    <phoneticPr fontId="8"/>
  </si>
  <si>
    <t>未定</t>
    <rPh sb="0" eb="2">
      <t>ミテイ</t>
    </rPh>
    <phoneticPr fontId="156"/>
  </si>
  <si>
    <t>〃　　　地震</t>
    <rPh sb="4" eb="6">
      <t>ジシン</t>
    </rPh>
    <phoneticPr fontId="8"/>
  </si>
  <si>
    <t>連結送水管耐圧試験</t>
    <rPh sb="0" eb="2">
      <t>レンケツ</t>
    </rPh>
    <rPh sb="2" eb="5">
      <t>ソウスイカン</t>
    </rPh>
    <rPh sb="5" eb="7">
      <t>タイアツ</t>
    </rPh>
    <rPh sb="7" eb="9">
      <t>シケン</t>
    </rPh>
    <phoneticPr fontId="36"/>
  </si>
  <si>
    <t>1回/10年(10年以降3年毎)</t>
    <rPh sb="1" eb="2">
      <t>カイ</t>
    </rPh>
    <rPh sb="5" eb="6">
      <t>ネン</t>
    </rPh>
    <rPh sb="9" eb="10">
      <t>ネン</t>
    </rPh>
    <rPh sb="10" eb="12">
      <t>イコウ</t>
    </rPh>
    <rPh sb="13" eb="14">
      <t>ネン</t>
    </rPh>
    <rPh sb="14" eb="15">
      <t>ゴト</t>
    </rPh>
    <phoneticPr fontId="8"/>
  </si>
  <si>
    <t>消火栓ホース交換（耐圧代替）</t>
    <rPh sb="0" eb="3">
      <t>ショウカセン</t>
    </rPh>
    <rPh sb="6" eb="8">
      <t>コウカン</t>
    </rPh>
    <rPh sb="9" eb="11">
      <t>タイアツ</t>
    </rPh>
    <rPh sb="11" eb="13">
      <t>ダイタイ</t>
    </rPh>
    <phoneticPr fontId="156"/>
  </si>
  <si>
    <t>蓄圧式消火器交換（耐圧代替）</t>
    <rPh sb="0" eb="2">
      <t>チクアツ</t>
    </rPh>
    <rPh sb="2" eb="3">
      <t>シキ</t>
    </rPh>
    <rPh sb="3" eb="6">
      <t>ショウカキ</t>
    </rPh>
    <rPh sb="6" eb="8">
      <t>コウカン</t>
    </rPh>
    <rPh sb="9" eb="11">
      <t>タイアツ</t>
    </rPh>
    <rPh sb="11" eb="13">
      <t>ダイタイ</t>
    </rPh>
    <phoneticPr fontId="156"/>
  </si>
  <si>
    <t>1回/10年(10年以降5年毎)</t>
    <rPh sb="1" eb="2">
      <t>カイ</t>
    </rPh>
    <rPh sb="5" eb="6">
      <t>ネン</t>
    </rPh>
    <rPh sb="9" eb="10">
      <t>ネン</t>
    </rPh>
    <rPh sb="10" eb="12">
      <t>イコウ</t>
    </rPh>
    <rPh sb="13" eb="14">
      <t>ネン</t>
    </rPh>
    <rPh sb="14" eb="15">
      <t>ゴト</t>
    </rPh>
    <phoneticPr fontId="8"/>
  </si>
  <si>
    <t>10年</t>
    <rPh sb="2" eb="3">
      <t>ネン</t>
    </rPh>
    <phoneticPr fontId="8"/>
  </si>
  <si>
    <t>未定</t>
    <rPh sb="0" eb="2">
      <t>ミテイ</t>
    </rPh>
    <phoneticPr fontId="8"/>
  </si>
  <si>
    <t>加圧式消火器交換（耐圧代替）</t>
    <rPh sb="0" eb="2">
      <t>カアツ</t>
    </rPh>
    <rPh sb="2" eb="3">
      <t>シキ</t>
    </rPh>
    <rPh sb="3" eb="6">
      <t>ショウカキ</t>
    </rPh>
    <rPh sb="6" eb="8">
      <t>コウカン</t>
    </rPh>
    <rPh sb="9" eb="11">
      <t>タイアツ</t>
    </rPh>
    <rPh sb="11" eb="13">
      <t>ダイタイ</t>
    </rPh>
    <phoneticPr fontId="156"/>
  </si>
  <si>
    <t>ガス系消火設備容器弁点検</t>
    <rPh sb="2" eb="3">
      <t>ケイ</t>
    </rPh>
    <rPh sb="3" eb="5">
      <t>ショウカ</t>
    </rPh>
    <rPh sb="5" eb="7">
      <t>セツビ</t>
    </rPh>
    <rPh sb="7" eb="9">
      <t>ヨウキ</t>
    </rPh>
    <rPh sb="9" eb="10">
      <t>ベン</t>
    </rPh>
    <rPh sb="10" eb="12">
      <t>テンケン</t>
    </rPh>
    <phoneticPr fontId="156"/>
  </si>
  <si>
    <t>▼ 選択</t>
    <phoneticPr fontId="156"/>
  </si>
  <si>
    <t>地下タンク気密漏洩試験</t>
    <rPh sb="0" eb="2">
      <t>チカ</t>
    </rPh>
    <rPh sb="5" eb="7">
      <t>キミツ</t>
    </rPh>
    <rPh sb="7" eb="9">
      <t>ロウエイ</t>
    </rPh>
    <rPh sb="9" eb="11">
      <t>シケン</t>
    </rPh>
    <phoneticPr fontId="8"/>
  </si>
  <si>
    <t>ゴンドラ性能検査（定期自主検査）</t>
    <rPh sb="4" eb="8">
      <t>セイノウケンサ</t>
    </rPh>
    <rPh sb="9" eb="15">
      <t>テイキジシュケンサ</t>
    </rPh>
    <phoneticPr fontId="156"/>
  </si>
  <si>
    <t>ゴンドラ安全規則</t>
    <rPh sb="4" eb="6">
      <t>アンゼン</t>
    </rPh>
    <rPh sb="6" eb="8">
      <t>キソク</t>
    </rPh>
    <phoneticPr fontId="8"/>
  </si>
  <si>
    <t>1回/年（使用開始前1月以内）</t>
    <rPh sb="1" eb="2">
      <t>カイ</t>
    </rPh>
    <rPh sb="3" eb="4">
      <t>ネン</t>
    </rPh>
    <phoneticPr fontId="8"/>
  </si>
  <si>
    <t>ゴンドラ性能検査（定期自主検査）</t>
    <phoneticPr fontId="156"/>
  </si>
  <si>
    <t>1回/年（使用開始前1月以内）</t>
    <rPh sb="1" eb="2">
      <t>カイ</t>
    </rPh>
    <rPh sb="3" eb="4">
      <t>ネン</t>
    </rPh>
    <rPh sb="5" eb="7">
      <t>シヨウ</t>
    </rPh>
    <rPh sb="7" eb="9">
      <t>カイシ</t>
    </rPh>
    <rPh sb="9" eb="10">
      <t>マエ</t>
    </rPh>
    <rPh sb="11" eb="12">
      <t>ガツ</t>
    </rPh>
    <rPh sb="12" eb="14">
      <t>イナイ</t>
    </rPh>
    <phoneticPr fontId="8"/>
  </si>
  <si>
    <t>屋外広告物継続申請</t>
    <rPh sb="0" eb="2">
      <t>オクガイ</t>
    </rPh>
    <rPh sb="2" eb="4">
      <t>コウコク</t>
    </rPh>
    <rPh sb="4" eb="5">
      <t>ブツ</t>
    </rPh>
    <rPh sb="5" eb="7">
      <t>ケイゾク</t>
    </rPh>
    <rPh sb="7" eb="9">
      <t>シンセイ</t>
    </rPh>
    <phoneticPr fontId="8"/>
  </si>
  <si>
    <t>屋外広告物法</t>
    <rPh sb="0" eb="2">
      <t>オクガイ</t>
    </rPh>
    <rPh sb="2" eb="4">
      <t>コウコク</t>
    </rPh>
    <rPh sb="4" eb="5">
      <t>ブツ</t>
    </rPh>
    <rPh sb="5" eb="6">
      <t>ホウ</t>
    </rPh>
    <phoneticPr fontId="8"/>
  </si>
  <si>
    <t>簡易専用水道定期検査</t>
    <rPh sb="0" eb="2">
      <t>カンイ</t>
    </rPh>
    <rPh sb="2" eb="4">
      <t>センヨウ</t>
    </rPh>
    <rPh sb="4" eb="6">
      <t>スイドウ</t>
    </rPh>
    <rPh sb="6" eb="8">
      <t>テイキ</t>
    </rPh>
    <rPh sb="8" eb="10">
      <t>ケンサ</t>
    </rPh>
    <phoneticPr fontId="156"/>
  </si>
  <si>
    <t>水道法</t>
    <rPh sb="0" eb="2">
      <t>スイドウ</t>
    </rPh>
    <rPh sb="2" eb="3">
      <t>ホウ</t>
    </rPh>
    <phoneticPr fontId="156"/>
  </si>
  <si>
    <t>1回/年</t>
    <rPh sb="1" eb="2">
      <t>カイ</t>
    </rPh>
    <rPh sb="3" eb="4">
      <t>ネン</t>
    </rPh>
    <phoneticPr fontId="156"/>
  </si>
  <si>
    <t>高圧ガス定期自主検査</t>
    <rPh sb="0" eb="2">
      <t>コウアツ</t>
    </rPh>
    <rPh sb="4" eb="10">
      <t>テイキジシュケンサ</t>
    </rPh>
    <phoneticPr fontId="156"/>
  </si>
  <si>
    <t>高圧ｶﾞｽ保安法</t>
    <rPh sb="0" eb="2">
      <t>コウアツ</t>
    </rPh>
    <rPh sb="5" eb="8">
      <t>ホアンホウ</t>
    </rPh>
    <phoneticPr fontId="156"/>
  </si>
  <si>
    <t>高圧ガス保安検査</t>
    <rPh sb="0" eb="2">
      <t>コウアツ</t>
    </rPh>
    <rPh sb="4" eb="6">
      <t>ホアン</t>
    </rPh>
    <rPh sb="6" eb="8">
      <t>ケンサ</t>
    </rPh>
    <phoneticPr fontId="156"/>
  </si>
  <si>
    <t>汚染負荷量賦課金申告書</t>
    <rPh sb="0" eb="2">
      <t>オセン</t>
    </rPh>
    <rPh sb="2" eb="4">
      <t>フカ</t>
    </rPh>
    <rPh sb="4" eb="5">
      <t>リョウ</t>
    </rPh>
    <rPh sb="5" eb="8">
      <t>フカキン</t>
    </rPh>
    <rPh sb="8" eb="11">
      <t>シンコクショ</t>
    </rPh>
    <phoneticPr fontId="8"/>
  </si>
  <si>
    <t>公害健康被害補償法</t>
    <rPh sb="0" eb="2">
      <t>コウガイ</t>
    </rPh>
    <rPh sb="2" eb="4">
      <t>ケンコウ</t>
    </rPh>
    <rPh sb="4" eb="6">
      <t>ヒガイ</t>
    </rPh>
    <rPh sb="6" eb="8">
      <t>ホショウ</t>
    </rPh>
    <phoneticPr fontId="8"/>
  </si>
  <si>
    <t>１回/年</t>
    <rPh sb="1" eb="2">
      <t>カイ</t>
    </rPh>
    <rPh sb="3" eb="4">
      <t>ネン</t>
    </rPh>
    <phoneticPr fontId="8"/>
  </si>
  <si>
    <t>マニフェスト交付等状況報告書</t>
  </si>
  <si>
    <t>廃棄物処理法</t>
    <rPh sb="0" eb="3">
      <t>ハイキブツ</t>
    </rPh>
    <rPh sb="3" eb="6">
      <t>ショリホウ</t>
    </rPh>
    <phoneticPr fontId="8"/>
  </si>
  <si>
    <t>SBM</t>
    <phoneticPr fontId="156"/>
  </si>
  <si>
    <t>PCB廃棄物の保管及び処分状況等届出書</t>
    <rPh sb="3" eb="5">
      <t>ハイキ</t>
    </rPh>
    <rPh sb="5" eb="6">
      <t>ブツ</t>
    </rPh>
    <rPh sb="9" eb="10">
      <t>オヨ</t>
    </rPh>
    <rPh sb="11" eb="13">
      <t>ショブン</t>
    </rPh>
    <rPh sb="13" eb="15">
      <t>ジョウキョウ</t>
    </rPh>
    <rPh sb="15" eb="16">
      <t>ナド</t>
    </rPh>
    <rPh sb="16" eb="18">
      <t>トドケデ</t>
    </rPh>
    <rPh sb="18" eb="19">
      <t>ショ</t>
    </rPh>
    <phoneticPr fontId="8"/>
  </si>
  <si>
    <t>ＰＣＢ特別措置法施行規則</t>
    <rPh sb="3" eb="5">
      <t>トクベツ</t>
    </rPh>
    <rPh sb="5" eb="8">
      <t>ソチホウ</t>
    </rPh>
    <rPh sb="8" eb="10">
      <t>セコウ</t>
    </rPh>
    <rPh sb="10" eb="12">
      <t>キソク</t>
    </rPh>
    <phoneticPr fontId="8"/>
  </si>
  <si>
    <t>事業用家屋貸付等申告書</t>
    <rPh sb="0" eb="3">
      <t>ジギョウヨウ</t>
    </rPh>
    <rPh sb="3" eb="5">
      <t>カオク</t>
    </rPh>
    <rPh sb="5" eb="7">
      <t>カシツケ</t>
    </rPh>
    <rPh sb="7" eb="8">
      <t>ナド</t>
    </rPh>
    <rPh sb="8" eb="11">
      <t>シンコクショ</t>
    </rPh>
    <phoneticPr fontId="8"/>
  </si>
  <si>
    <t>地方税法</t>
    <rPh sb="0" eb="3">
      <t>チホウゼイ</t>
    </rPh>
    <rPh sb="3" eb="4">
      <t>ホウ</t>
    </rPh>
    <phoneticPr fontId="8"/>
  </si>
  <si>
    <t>都度</t>
    <rPh sb="0" eb="2">
      <t>ツド</t>
    </rPh>
    <phoneticPr fontId="8"/>
  </si>
  <si>
    <t>都度</t>
    <rPh sb="0" eb="2">
      <t>ツド</t>
    </rPh>
    <phoneticPr fontId="156"/>
  </si>
  <si>
    <t>SMTB（SBM）</t>
    <phoneticPr fontId="8"/>
  </si>
  <si>
    <t>※確認</t>
    <rPh sb="1" eb="3">
      <t>カクニン</t>
    </rPh>
    <phoneticPr fontId="156"/>
  </si>
  <si>
    <t>メーター交換(電力量計器)</t>
    <rPh sb="4" eb="6">
      <t>コウカン</t>
    </rPh>
    <rPh sb="7" eb="9">
      <t>デンリョク</t>
    </rPh>
    <rPh sb="9" eb="10">
      <t>リョウ</t>
    </rPh>
    <rPh sb="10" eb="11">
      <t>ケイ</t>
    </rPh>
    <rPh sb="11" eb="12">
      <t>ウツワ</t>
    </rPh>
    <phoneticPr fontId="8"/>
  </si>
  <si>
    <t>計量法</t>
    <rPh sb="0" eb="3">
      <t>ケイリョウホウ</t>
    </rPh>
    <phoneticPr fontId="8"/>
  </si>
  <si>
    <t>メーター交換(水道)</t>
    <rPh sb="4" eb="6">
      <t>コウカン</t>
    </rPh>
    <rPh sb="7" eb="9">
      <t>スイドウ</t>
    </rPh>
    <phoneticPr fontId="8"/>
  </si>
  <si>
    <t>1回/8年</t>
    <phoneticPr fontId="156"/>
  </si>
  <si>
    <r>
      <t>メーター交換(ガス)
①使用最大流量6m</t>
    </r>
    <r>
      <rPr>
        <vertAlign val="superscript"/>
        <sz val="14"/>
        <rFont val="ＭＳ Ｐゴシック"/>
        <family val="3"/>
        <charset val="128"/>
      </rPr>
      <t>3</t>
    </r>
    <r>
      <rPr>
        <sz val="14"/>
        <rFont val="ＭＳ Ｐゴシック"/>
        <family val="3"/>
        <charset val="128"/>
      </rPr>
      <t>/h以下のもの(都市ガス用)
②使用最大流量2.5m3/h以下のもの(LPガス用)</t>
    </r>
    <rPh sb="4" eb="6">
      <t>コウカン</t>
    </rPh>
    <rPh sb="12" eb="14">
      <t>シヨウ</t>
    </rPh>
    <rPh sb="14" eb="16">
      <t>サイダイ</t>
    </rPh>
    <rPh sb="16" eb="18">
      <t>リュウリョウ</t>
    </rPh>
    <rPh sb="23" eb="25">
      <t>イカ</t>
    </rPh>
    <rPh sb="29" eb="31">
      <t>トシ</t>
    </rPh>
    <rPh sb="33" eb="34">
      <t>ヨウ</t>
    </rPh>
    <phoneticPr fontId="8"/>
  </si>
  <si>
    <t>1回/10年</t>
    <rPh sb="1" eb="2">
      <t>カイ</t>
    </rPh>
    <rPh sb="5" eb="6">
      <t>ネン</t>
    </rPh>
    <phoneticPr fontId="156"/>
  </si>
  <si>
    <t>メーター交換(ガス)
上記①②以外のもの。主に業務用</t>
    <rPh sb="4" eb="6">
      <t>コウカン</t>
    </rPh>
    <rPh sb="11" eb="13">
      <t>ジョウキ</t>
    </rPh>
    <rPh sb="15" eb="17">
      <t>イガイ</t>
    </rPh>
    <rPh sb="21" eb="22">
      <t>オモ</t>
    </rPh>
    <rPh sb="23" eb="26">
      <t>ギョウムヨウ</t>
    </rPh>
    <phoneticPr fontId="8"/>
  </si>
  <si>
    <t>1回/7年</t>
    <rPh sb="1" eb="2">
      <t>カイ</t>
    </rPh>
    <rPh sb="4" eb="5">
      <t>ネン</t>
    </rPh>
    <phoneticPr fontId="156"/>
  </si>
  <si>
    <r>
      <t xml:space="preserve">メーター交換(積算熱量計)
</t>
    </r>
    <r>
      <rPr>
        <sz val="10"/>
        <rFont val="ＭＳ Ｐゴシック"/>
        <family val="3"/>
        <charset val="128"/>
      </rPr>
      <t>口径40mm以下のもの</t>
    </r>
    <rPh sb="4" eb="6">
      <t>コウカン</t>
    </rPh>
    <rPh sb="7" eb="9">
      <t>セキサン</t>
    </rPh>
    <rPh sb="9" eb="11">
      <t>ネツリョウ</t>
    </rPh>
    <rPh sb="11" eb="12">
      <t>ケイ</t>
    </rPh>
    <rPh sb="14" eb="16">
      <t>コウケイ</t>
    </rPh>
    <rPh sb="20" eb="22">
      <t>イカ</t>
    </rPh>
    <phoneticPr fontId="8"/>
  </si>
  <si>
    <t>ゴミ計量器検定</t>
    <rPh sb="2" eb="5">
      <t>ケイリョウキ</t>
    </rPh>
    <rPh sb="5" eb="7">
      <t>ケンテイ</t>
    </rPh>
    <phoneticPr fontId="156"/>
  </si>
  <si>
    <t>1回/2年</t>
    <phoneticPr fontId="156"/>
  </si>
  <si>
    <t>道路占用許可申請</t>
    <rPh sb="0" eb="2">
      <t>ドウロ</t>
    </rPh>
    <rPh sb="2" eb="4">
      <t>センヨウ</t>
    </rPh>
    <rPh sb="4" eb="6">
      <t>キョカ</t>
    </rPh>
    <rPh sb="6" eb="8">
      <t>シンセイ</t>
    </rPh>
    <phoneticPr fontId="156"/>
  </si>
  <si>
    <t>道路法</t>
    <rPh sb="0" eb="3">
      <t>ドウロホウ</t>
    </rPh>
    <phoneticPr fontId="156"/>
  </si>
  <si>
    <t>フロン簡易定期点検</t>
    <rPh sb="3" eb="5">
      <t>カンイ</t>
    </rPh>
    <rPh sb="5" eb="7">
      <t>テイキ</t>
    </rPh>
    <rPh sb="7" eb="9">
      <t>テンケン</t>
    </rPh>
    <phoneticPr fontId="8"/>
  </si>
  <si>
    <t>フロン排出抑制法</t>
    <rPh sb="3" eb="5">
      <t>ハイシュツ</t>
    </rPh>
    <rPh sb="5" eb="7">
      <t>ヨクセイ</t>
    </rPh>
    <rPh sb="7" eb="8">
      <t>ホウ</t>
    </rPh>
    <phoneticPr fontId="8"/>
  </si>
  <si>
    <t>1回/3ヵ月</t>
    <rPh sb="5" eb="6">
      <t>ゲツ</t>
    </rPh>
    <phoneticPr fontId="8"/>
  </si>
  <si>
    <t>4回/年</t>
    <rPh sb="3" eb="4">
      <t>ネン</t>
    </rPh>
    <phoneticPr fontId="8"/>
  </si>
  <si>
    <t>系統別で3ヵ月1回行う</t>
    <phoneticPr fontId="156"/>
  </si>
  <si>
    <t>フロン定期点検（7.5kW以上、50kW未満）</t>
    <rPh sb="3" eb="5">
      <t>テイキ</t>
    </rPh>
    <rPh sb="5" eb="7">
      <t>テンケン</t>
    </rPh>
    <rPh sb="13" eb="15">
      <t>イジョウ</t>
    </rPh>
    <rPh sb="20" eb="22">
      <t>ミマン</t>
    </rPh>
    <phoneticPr fontId="8"/>
  </si>
  <si>
    <t>1回/3年</t>
    <phoneticPr fontId="156"/>
  </si>
  <si>
    <t>1回/3年</t>
  </si>
  <si>
    <t>SCB(ダイキン工業）</t>
    <rPh sb="8" eb="10">
      <t>コウギョウ</t>
    </rPh>
    <phoneticPr fontId="8"/>
  </si>
  <si>
    <t>フロン定期点検（冷凍･冷蔵設備7.5kW以上）</t>
    <phoneticPr fontId="156"/>
  </si>
  <si>
    <t>フロン定期点検（50kW以上）</t>
    <rPh sb="3" eb="5">
      <t>テイキ</t>
    </rPh>
    <rPh sb="5" eb="7">
      <t>テンケン</t>
    </rPh>
    <phoneticPr fontId="8"/>
  </si>
  <si>
    <t>フロン類算定漏えい量報告</t>
    <rPh sb="3" eb="4">
      <t>ルイ</t>
    </rPh>
    <rPh sb="4" eb="6">
      <t>サンテイ</t>
    </rPh>
    <rPh sb="6" eb="7">
      <t>ロウ</t>
    </rPh>
    <rPh sb="9" eb="10">
      <t>リョウ</t>
    </rPh>
    <rPh sb="10" eb="12">
      <t>ホウコク</t>
    </rPh>
    <phoneticPr fontId="8"/>
  </si>
  <si>
    <t>定期報告書</t>
    <rPh sb="0" eb="2">
      <t>テイキ</t>
    </rPh>
    <rPh sb="2" eb="5">
      <t>ホウコクショ</t>
    </rPh>
    <phoneticPr fontId="156"/>
  </si>
  <si>
    <t>省エネ法</t>
    <rPh sb="0" eb="1">
      <t>ショウ</t>
    </rPh>
    <rPh sb="3" eb="4">
      <t>ホウ</t>
    </rPh>
    <phoneticPr fontId="156"/>
  </si>
  <si>
    <t>中長期計画書</t>
    <rPh sb="0" eb="3">
      <t>チュウチョウキ</t>
    </rPh>
    <rPh sb="3" eb="5">
      <t>ケイカク</t>
    </rPh>
    <rPh sb="5" eb="6">
      <t>ショ</t>
    </rPh>
    <phoneticPr fontId="156"/>
  </si>
  <si>
    <t>ボイラー/第一種圧力容器定期自主検査</t>
    <rPh sb="5" eb="12">
      <t>ダイイッシュアツリョクヨウキ</t>
    </rPh>
    <rPh sb="12" eb="14">
      <t>テイキ</t>
    </rPh>
    <rPh sb="14" eb="16">
      <t>ジシュ</t>
    </rPh>
    <rPh sb="16" eb="18">
      <t>ケンサ</t>
    </rPh>
    <phoneticPr fontId="156"/>
  </si>
  <si>
    <t>ボイラー及び圧力容器安全規則</t>
    <phoneticPr fontId="156"/>
  </si>
  <si>
    <t>第二種圧力容器定期自主検査</t>
    <rPh sb="0" eb="3">
      <t>ダイニシュ</t>
    </rPh>
    <rPh sb="3" eb="7">
      <t>アツリョクヨウキ</t>
    </rPh>
    <rPh sb="7" eb="13">
      <t>テイキジシュケンサ</t>
    </rPh>
    <phoneticPr fontId="156"/>
  </si>
  <si>
    <t>ボイラー/第一種圧力容器性能検査</t>
    <rPh sb="12" eb="14">
      <t>セイノウ</t>
    </rPh>
    <rPh sb="14" eb="16">
      <t>ケンサ</t>
    </rPh>
    <phoneticPr fontId="156"/>
  </si>
  <si>
    <t>労働安全衛生法</t>
    <phoneticPr fontId="8"/>
  </si>
  <si>
    <r>
      <t>高所作業車</t>
    </r>
    <r>
      <rPr>
        <sz val="14"/>
        <rFont val="ＭＳ Ｐゴシック"/>
        <family val="3"/>
        <charset val="128"/>
      </rPr>
      <t>特定自主検査（定期自主検査）</t>
    </r>
    <rPh sb="0" eb="2">
      <t>コウショ</t>
    </rPh>
    <rPh sb="2" eb="5">
      <t>サギョウシャ</t>
    </rPh>
    <rPh sb="5" eb="7">
      <t>トクテイ</t>
    </rPh>
    <rPh sb="7" eb="9">
      <t>ジシュ</t>
    </rPh>
    <rPh sb="9" eb="11">
      <t>ケンサ</t>
    </rPh>
    <rPh sb="12" eb="14">
      <t>テイキ</t>
    </rPh>
    <rPh sb="14" eb="16">
      <t>ジシュ</t>
    </rPh>
    <rPh sb="16" eb="18">
      <t>ケンサ</t>
    </rPh>
    <phoneticPr fontId="156"/>
  </si>
  <si>
    <t>労働安全衛生法</t>
    <rPh sb="0" eb="2">
      <t>ロウドウ</t>
    </rPh>
    <rPh sb="2" eb="4">
      <t>アンゼン</t>
    </rPh>
    <rPh sb="4" eb="7">
      <t>エイセイホウ</t>
    </rPh>
    <phoneticPr fontId="8"/>
  </si>
  <si>
    <r>
      <t>自走式高所作業車</t>
    </r>
    <r>
      <rPr>
        <sz val="14"/>
        <rFont val="ＭＳ Ｐゴシック"/>
        <family val="3"/>
        <charset val="128"/>
      </rPr>
      <t>特定自主検査（定期自主検査）</t>
    </r>
    <rPh sb="0" eb="3">
      <t>ジソウシキ</t>
    </rPh>
    <rPh sb="3" eb="8">
      <t>コウショサギョウシャ</t>
    </rPh>
    <rPh sb="8" eb="10">
      <t>トクテイ</t>
    </rPh>
    <rPh sb="10" eb="12">
      <t>ジシュ</t>
    </rPh>
    <rPh sb="12" eb="14">
      <t>ケンサ</t>
    </rPh>
    <rPh sb="15" eb="17">
      <t>テイキ</t>
    </rPh>
    <rPh sb="17" eb="19">
      <t>ジシュ</t>
    </rPh>
    <rPh sb="19" eb="21">
      <t>ケンサ</t>
    </rPh>
    <phoneticPr fontId="156"/>
  </si>
  <si>
    <t>ばい煙濃度測定</t>
    <rPh sb="2" eb="3">
      <t>エン</t>
    </rPh>
    <rPh sb="3" eb="5">
      <t>ノウド</t>
    </rPh>
    <rPh sb="5" eb="7">
      <t>ソクテイ</t>
    </rPh>
    <phoneticPr fontId="156"/>
  </si>
  <si>
    <t>大気汚染防止法</t>
    <rPh sb="0" eb="2">
      <t>タイキ</t>
    </rPh>
    <rPh sb="2" eb="4">
      <t>オセン</t>
    </rPh>
    <rPh sb="4" eb="6">
      <t>ボウシ</t>
    </rPh>
    <rPh sb="6" eb="7">
      <t>ホウ</t>
    </rPh>
    <phoneticPr fontId="156"/>
  </si>
  <si>
    <t>2回/年</t>
    <phoneticPr fontId="156"/>
  </si>
  <si>
    <t>中圧・低圧ガス漏洩検査</t>
    <rPh sb="0" eb="2">
      <t>チュウアツ</t>
    </rPh>
    <rPh sb="3" eb="5">
      <t>テイアツ</t>
    </rPh>
    <rPh sb="7" eb="9">
      <t>ロウエイ</t>
    </rPh>
    <rPh sb="9" eb="11">
      <t>ケンサ</t>
    </rPh>
    <phoneticPr fontId="156"/>
  </si>
  <si>
    <t>ガス事業法</t>
    <rPh sb="2" eb="5">
      <t>ジギョウホウ</t>
    </rPh>
    <phoneticPr fontId="156"/>
  </si>
  <si>
    <t>栄養管理報告</t>
    <rPh sb="0" eb="6">
      <t>エイヨウカンリホウコク</t>
    </rPh>
    <phoneticPr fontId="156"/>
  </si>
  <si>
    <t>健康増進法</t>
    <rPh sb="0" eb="2">
      <t>ケンコウ</t>
    </rPh>
    <rPh sb="2" eb="4">
      <t>ゾウシン</t>
    </rPh>
    <rPh sb="4" eb="5">
      <t>ホウ</t>
    </rPh>
    <phoneticPr fontId="156"/>
  </si>
  <si>
    <t>2回/年</t>
    <rPh sb="3" eb="4">
      <t>ネン</t>
    </rPh>
    <phoneticPr fontId="156"/>
  </si>
  <si>
    <t>自販機に関する営業許可</t>
    <rPh sb="0" eb="3">
      <t>ジハンキ</t>
    </rPh>
    <rPh sb="4" eb="5">
      <t>カン</t>
    </rPh>
    <rPh sb="7" eb="9">
      <t>エイギョウ</t>
    </rPh>
    <rPh sb="9" eb="11">
      <t>キョカ</t>
    </rPh>
    <phoneticPr fontId="156"/>
  </si>
  <si>
    <t>食品衛生法</t>
    <rPh sb="0" eb="2">
      <t>ショクヒン</t>
    </rPh>
    <rPh sb="2" eb="5">
      <t>エイセイホウ</t>
    </rPh>
    <phoneticPr fontId="156"/>
  </si>
  <si>
    <t>1回/5年</t>
    <rPh sb="1" eb="2">
      <t>カイ</t>
    </rPh>
    <rPh sb="4" eb="5">
      <t>ネン</t>
    </rPh>
    <phoneticPr fontId="169"/>
  </si>
  <si>
    <t>旅館業営業許可</t>
    <rPh sb="0" eb="2">
      <t>リョカン</t>
    </rPh>
    <rPh sb="2" eb="3">
      <t>ギョウ</t>
    </rPh>
    <rPh sb="3" eb="5">
      <t>エイギョウ</t>
    </rPh>
    <rPh sb="5" eb="7">
      <t>キョカ</t>
    </rPh>
    <phoneticPr fontId="156"/>
  </si>
  <si>
    <t>旅館業法</t>
    <rPh sb="0" eb="2">
      <t>リョカン</t>
    </rPh>
    <rPh sb="2" eb="4">
      <t>ギョウホウ</t>
    </rPh>
    <phoneticPr fontId="156"/>
  </si>
  <si>
    <t>その他条例</t>
    <rPh sb="2" eb="3">
      <t>タ</t>
    </rPh>
    <rPh sb="3" eb="5">
      <t>ジョウレイ</t>
    </rPh>
    <phoneticPr fontId="8"/>
  </si>
  <si>
    <t>事業系廃棄物減量計画書・処理実績報告書</t>
    <rPh sb="0" eb="2">
      <t>ジギョウ</t>
    </rPh>
    <rPh sb="2" eb="3">
      <t>ケイ</t>
    </rPh>
    <rPh sb="3" eb="6">
      <t>ハイキブツ</t>
    </rPh>
    <rPh sb="6" eb="8">
      <t>ゲンリョウ</t>
    </rPh>
    <rPh sb="8" eb="11">
      <t>ケイカクショ</t>
    </rPh>
    <rPh sb="12" eb="14">
      <t>ショリ</t>
    </rPh>
    <rPh sb="14" eb="16">
      <t>ジッセキ</t>
    </rPh>
    <rPh sb="16" eb="19">
      <t>ホウコクショ</t>
    </rPh>
    <phoneticPr fontId="8"/>
  </si>
  <si>
    <t>法定</t>
    <rPh sb="0" eb="2">
      <t>ホウテイ</t>
    </rPh>
    <phoneticPr fontId="8"/>
  </si>
  <si>
    <t>札幌市条例</t>
    <rPh sb="0" eb="3">
      <t>サッポロシ</t>
    </rPh>
    <rPh sb="3" eb="5">
      <t>ジョウレイ</t>
    </rPh>
    <phoneticPr fontId="8"/>
  </si>
  <si>
    <t>再利用計画書</t>
    <rPh sb="0" eb="3">
      <t>サイリヨウ</t>
    </rPh>
    <rPh sb="3" eb="5">
      <t>ケイカク</t>
    </rPh>
    <rPh sb="5" eb="6">
      <t>ショ</t>
    </rPh>
    <phoneticPr fontId="8"/>
  </si>
  <si>
    <t>東京都区条例</t>
    <rPh sb="0" eb="3">
      <t>トウキョウト</t>
    </rPh>
    <rPh sb="3" eb="4">
      <t>ク</t>
    </rPh>
    <rPh sb="4" eb="6">
      <t>ジョウレイ</t>
    </rPh>
    <phoneticPr fontId="8"/>
  </si>
  <si>
    <t>事業系廃棄物　減量化・資源化等計画書</t>
    <rPh sb="0" eb="2">
      <t>ジギョウ</t>
    </rPh>
    <rPh sb="2" eb="3">
      <t>ケイ</t>
    </rPh>
    <rPh sb="3" eb="6">
      <t>ハイキブツ</t>
    </rPh>
    <rPh sb="7" eb="10">
      <t>ゲンリョウカ</t>
    </rPh>
    <rPh sb="11" eb="14">
      <t>シゲンカ</t>
    </rPh>
    <rPh sb="14" eb="15">
      <t>トウ</t>
    </rPh>
    <rPh sb="15" eb="18">
      <t>ケイカクショ</t>
    </rPh>
    <phoneticPr fontId="156"/>
  </si>
  <si>
    <t>横浜市条例</t>
    <rPh sb="0" eb="3">
      <t>ヨコハマシ</t>
    </rPh>
    <rPh sb="3" eb="5">
      <t>ジョウレイ</t>
    </rPh>
    <phoneticPr fontId="156"/>
  </si>
  <si>
    <t>事業系廃棄物減量計画書</t>
    <phoneticPr fontId="156"/>
  </si>
  <si>
    <t>名古屋市条例</t>
    <rPh sb="0" eb="3">
      <t>ナゴヤ</t>
    </rPh>
    <rPh sb="3" eb="4">
      <t>シ</t>
    </rPh>
    <rPh sb="4" eb="6">
      <t>ジョウレイ</t>
    </rPh>
    <phoneticPr fontId="156"/>
  </si>
  <si>
    <t>１回/年</t>
    <phoneticPr fontId="156"/>
  </si>
  <si>
    <t>事業系一般廃棄物減量計画書</t>
    <rPh sb="0" eb="2">
      <t>ジギョウ</t>
    </rPh>
    <rPh sb="2" eb="3">
      <t>ケイ</t>
    </rPh>
    <rPh sb="3" eb="5">
      <t>イッパン</t>
    </rPh>
    <rPh sb="5" eb="8">
      <t>ハイキブツ</t>
    </rPh>
    <rPh sb="8" eb="10">
      <t>ゲンリョウ</t>
    </rPh>
    <rPh sb="10" eb="13">
      <t>ケイカクショ</t>
    </rPh>
    <phoneticPr fontId="156"/>
  </si>
  <si>
    <t>豊中市条例</t>
    <rPh sb="0" eb="2">
      <t>トヨナカ</t>
    </rPh>
    <rPh sb="2" eb="3">
      <t>シ</t>
    </rPh>
    <rPh sb="3" eb="5">
      <t>ジョウレイ</t>
    </rPh>
    <phoneticPr fontId="156"/>
  </si>
  <si>
    <t>減量推進及び適正処理に関する計画書</t>
    <rPh sb="0" eb="2">
      <t>ゲンリョウ</t>
    </rPh>
    <rPh sb="2" eb="4">
      <t>スイシン</t>
    </rPh>
    <rPh sb="4" eb="5">
      <t>オヨ</t>
    </rPh>
    <rPh sb="6" eb="8">
      <t>テキセイ</t>
    </rPh>
    <rPh sb="8" eb="10">
      <t>ショリ</t>
    </rPh>
    <rPh sb="11" eb="12">
      <t>カン</t>
    </rPh>
    <rPh sb="14" eb="17">
      <t>ケイカクショ</t>
    </rPh>
    <phoneticPr fontId="156"/>
  </si>
  <si>
    <t>大阪市条例</t>
    <rPh sb="0" eb="2">
      <t>オオサカ</t>
    </rPh>
    <rPh sb="2" eb="3">
      <t>シ</t>
    </rPh>
    <rPh sb="3" eb="5">
      <t>ジョウレイ</t>
    </rPh>
    <phoneticPr fontId="156"/>
  </si>
  <si>
    <t>廃棄物減量及び適正処理に関する計画書</t>
    <rPh sb="0" eb="3">
      <t>ハイキブツ</t>
    </rPh>
    <rPh sb="3" eb="5">
      <t>ゲンリョウ</t>
    </rPh>
    <rPh sb="5" eb="6">
      <t>オヨ</t>
    </rPh>
    <rPh sb="7" eb="9">
      <t>テキセイ</t>
    </rPh>
    <rPh sb="9" eb="11">
      <t>ショリ</t>
    </rPh>
    <rPh sb="12" eb="13">
      <t>カン</t>
    </rPh>
    <rPh sb="15" eb="17">
      <t>ケイカク</t>
    </rPh>
    <rPh sb="17" eb="18">
      <t>ショ</t>
    </rPh>
    <phoneticPr fontId="156"/>
  </si>
  <si>
    <t>福岡市条例</t>
    <rPh sb="0" eb="3">
      <t>フクオカシ</t>
    </rPh>
    <rPh sb="3" eb="5">
      <t>ジョウレイ</t>
    </rPh>
    <phoneticPr fontId="156"/>
  </si>
  <si>
    <t>地球温暖化対策計画書（大規模）</t>
    <rPh sb="0" eb="2">
      <t>チキュウ</t>
    </rPh>
    <rPh sb="2" eb="5">
      <t>オンダンカ</t>
    </rPh>
    <rPh sb="5" eb="7">
      <t>タイサク</t>
    </rPh>
    <rPh sb="7" eb="10">
      <t>ケイカクショ</t>
    </rPh>
    <rPh sb="11" eb="14">
      <t>ダイキボ</t>
    </rPh>
    <phoneticPr fontId="8"/>
  </si>
  <si>
    <t>東京都条例</t>
    <rPh sb="0" eb="2">
      <t>トウキョウ</t>
    </rPh>
    <rPh sb="2" eb="3">
      <t>ト</t>
    </rPh>
    <rPh sb="3" eb="5">
      <t>ジョウレイ</t>
    </rPh>
    <phoneticPr fontId="8"/>
  </si>
  <si>
    <t>地球温暖化対策報告書（中規模）</t>
    <rPh sb="0" eb="2">
      <t>チキュウ</t>
    </rPh>
    <rPh sb="2" eb="5">
      <t>オンダンカ</t>
    </rPh>
    <rPh sb="5" eb="7">
      <t>タイサク</t>
    </rPh>
    <rPh sb="7" eb="10">
      <t>ホウコクショ</t>
    </rPh>
    <rPh sb="11" eb="14">
      <t>チュウキボ</t>
    </rPh>
    <phoneticPr fontId="8"/>
  </si>
  <si>
    <t>地球温暖化対策計画書</t>
    <rPh sb="0" eb="2">
      <t>チキュウ</t>
    </rPh>
    <rPh sb="2" eb="5">
      <t>オンダンカ</t>
    </rPh>
    <rPh sb="5" eb="7">
      <t>タイサク</t>
    </rPh>
    <rPh sb="7" eb="9">
      <t>ケイカク</t>
    </rPh>
    <rPh sb="9" eb="10">
      <t>ショ</t>
    </rPh>
    <phoneticPr fontId="156"/>
  </si>
  <si>
    <t>地球温暖化対策実施状況報告書</t>
    <rPh sb="0" eb="2">
      <t>チキュウ</t>
    </rPh>
    <rPh sb="2" eb="5">
      <t>オンダンカ</t>
    </rPh>
    <rPh sb="5" eb="7">
      <t>タイサク</t>
    </rPh>
    <rPh sb="7" eb="9">
      <t>ジッシ</t>
    </rPh>
    <rPh sb="9" eb="11">
      <t>ジョウキョウ</t>
    </rPh>
    <rPh sb="11" eb="14">
      <t>ホウコクショ</t>
    </rPh>
    <phoneticPr fontId="156"/>
  </si>
  <si>
    <t>特定建築物年間管理計画書</t>
    <rPh sb="0" eb="2">
      <t>トクテイ</t>
    </rPh>
    <rPh sb="4" eb="5">
      <t>ブツ</t>
    </rPh>
    <rPh sb="5" eb="7">
      <t>ネンカン</t>
    </rPh>
    <rPh sb="7" eb="9">
      <t>カンリ</t>
    </rPh>
    <rPh sb="9" eb="12">
      <t>ケイカクショ</t>
    </rPh>
    <phoneticPr fontId="156"/>
  </si>
  <si>
    <t>大気汚染物質排出量調査票</t>
    <phoneticPr fontId="156"/>
  </si>
  <si>
    <t>対策計画書(大阪府温暖化防止条例)</t>
    <rPh sb="0" eb="2">
      <t>タイサク</t>
    </rPh>
    <rPh sb="2" eb="5">
      <t>ケイカクショ</t>
    </rPh>
    <rPh sb="6" eb="9">
      <t>オオサカフ</t>
    </rPh>
    <rPh sb="9" eb="12">
      <t>オンダンカ</t>
    </rPh>
    <rPh sb="12" eb="14">
      <t>ボウシ</t>
    </rPh>
    <rPh sb="14" eb="16">
      <t>ジョウレイ</t>
    </rPh>
    <phoneticPr fontId="156"/>
  </si>
  <si>
    <t>法定</t>
    <rPh sb="0" eb="2">
      <t>ホウテイ</t>
    </rPh>
    <phoneticPr fontId="156"/>
  </si>
  <si>
    <t>大阪府条例</t>
    <rPh sb="0" eb="2">
      <t>オオサカ</t>
    </rPh>
    <rPh sb="2" eb="3">
      <t>フ</t>
    </rPh>
    <rPh sb="3" eb="5">
      <t>ジョウレイ</t>
    </rPh>
    <phoneticPr fontId="156"/>
  </si>
  <si>
    <t>1回/3年</t>
    <rPh sb="1" eb="2">
      <t>カイ</t>
    </rPh>
    <rPh sb="4" eb="5">
      <t>ネン</t>
    </rPh>
    <phoneticPr fontId="156"/>
  </si>
  <si>
    <t>実績報告書(大阪府温暖化防止条例)</t>
    <rPh sb="0" eb="2">
      <t>ジッセキ</t>
    </rPh>
    <rPh sb="2" eb="4">
      <t>ホウコク</t>
    </rPh>
    <rPh sb="4" eb="5">
      <t>ショ</t>
    </rPh>
    <phoneticPr fontId="156"/>
  </si>
  <si>
    <t>大阪府条例</t>
    <phoneticPr fontId="156"/>
  </si>
  <si>
    <t>廃棄物減量等計画書</t>
    <rPh sb="0" eb="3">
      <t>ハイキブツ</t>
    </rPh>
    <rPh sb="3" eb="5">
      <t>ゲンリョウ</t>
    </rPh>
    <rPh sb="5" eb="6">
      <t>ナド</t>
    </rPh>
    <rPh sb="6" eb="9">
      <t>ケイカクショ</t>
    </rPh>
    <phoneticPr fontId="156"/>
  </si>
  <si>
    <t>春日部市条例</t>
    <rPh sb="0" eb="4">
      <t>カスカベシ</t>
    </rPh>
    <rPh sb="4" eb="6">
      <t>ジョウレイ</t>
    </rPh>
    <phoneticPr fontId="156"/>
  </si>
  <si>
    <t>駐車施設等管理報告</t>
    <rPh sb="0" eb="2">
      <t>チュウシャ</t>
    </rPh>
    <rPh sb="2" eb="5">
      <t>シセツナド</t>
    </rPh>
    <rPh sb="5" eb="7">
      <t>カンリ</t>
    </rPh>
    <rPh sb="7" eb="9">
      <t>ホウコク</t>
    </rPh>
    <phoneticPr fontId="156"/>
  </si>
  <si>
    <t>中央区付置義務駐車施設整備要綱</t>
    <rPh sb="0" eb="3">
      <t>チュウオウク</t>
    </rPh>
    <rPh sb="3" eb="5">
      <t>フチ</t>
    </rPh>
    <rPh sb="5" eb="7">
      <t>ギム</t>
    </rPh>
    <rPh sb="7" eb="9">
      <t>チュウシャ</t>
    </rPh>
    <rPh sb="9" eb="11">
      <t>シセツ</t>
    </rPh>
    <rPh sb="11" eb="13">
      <t>セイビ</t>
    </rPh>
    <rPh sb="13" eb="15">
      <t>ヨウコウ</t>
    </rPh>
    <phoneticPr fontId="156"/>
  </si>
  <si>
    <t>SC統一基準</t>
    <rPh sb="2" eb="4">
      <t>トウイツ</t>
    </rPh>
    <rPh sb="4" eb="6">
      <t>キジュン</t>
    </rPh>
    <phoneticPr fontId="8"/>
  </si>
  <si>
    <t>電気主任技術者選任</t>
    <rPh sb="0" eb="2">
      <t>デンキ</t>
    </rPh>
    <rPh sb="2" eb="4">
      <t>シュニン</t>
    </rPh>
    <rPh sb="4" eb="7">
      <t>ギジュツシャ</t>
    </rPh>
    <rPh sb="7" eb="9">
      <t>センニン</t>
    </rPh>
    <phoneticPr fontId="156"/>
  </si>
  <si>
    <t>SBM管理基準
1回/年（チェック）</t>
    <phoneticPr fontId="156"/>
  </si>
  <si>
    <t>-</t>
  </si>
  <si>
    <t>1回/年（チェック）</t>
    <phoneticPr fontId="156"/>
  </si>
  <si>
    <t>SBM管理基準</t>
    <rPh sb="3" eb="5">
      <t>カンリ</t>
    </rPh>
    <rPh sb="5" eb="7">
      <t>キジュン</t>
    </rPh>
    <phoneticPr fontId="156"/>
  </si>
  <si>
    <t>建築物環境衛生管理技術者選任</t>
    <rPh sb="0" eb="3">
      <t>ケンチクブツ</t>
    </rPh>
    <rPh sb="3" eb="5">
      <t>カンキョウ</t>
    </rPh>
    <rPh sb="5" eb="7">
      <t>エイセイ</t>
    </rPh>
    <rPh sb="7" eb="9">
      <t>カンリ</t>
    </rPh>
    <rPh sb="9" eb="12">
      <t>ギジュツシャ</t>
    </rPh>
    <rPh sb="12" eb="14">
      <t>センニン</t>
    </rPh>
    <phoneticPr fontId="156"/>
  </si>
  <si>
    <t>1回/年（チェック）</t>
    <rPh sb="1" eb="2">
      <t>カイ</t>
    </rPh>
    <rPh sb="3" eb="4">
      <t>ネン</t>
    </rPh>
    <phoneticPr fontId="8"/>
  </si>
  <si>
    <t>共同防火・防災管理協議会開催</t>
    <rPh sb="0" eb="2">
      <t>キョウドウ</t>
    </rPh>
    <rPh sb="2" eb="4">
      <t>ボウカ</t>
    </rPh>
    <rPh sb="5" eb="7">
      <t>ボウサイ</t>
    </rPh>
    <rPh sb="7" eb="9">
      <t>カンリ</t>
    </rPh>
    <rPh sb="9" eb="12">
      <t>キョウギカイ</t>
    </rPh>
    <rPh sb="12" eb="14">
      <t>カイサイ</t>
    </rPh>
    <phoneticPr fontId="8"/>
  </si>
  <si>
    <t>SBM管理基準
1回/年</t>
    <phoneticPr fontId="156"/>
  </si>
  <si>
    <r>
      <t>統括防火・防災管理</t>
    </r>
    <r>
      <rPr>
        <sz val="14"/>
        <rFont val="ＭＳ Ｐゴシック"/>
        <family val="3"/>
        <charset val="128"/>
      </rPr>
      <t>者選任</t>
    </r>
    <rPh sb="0" eb="2">
      <t>トウカツ</t>
    </rPh>
    <rPh sb="2" eb="4">
      <t>ボウカ</t>
    </rPh>
    <rPh sb="5" eb="7">
      <t>ボウサイ</t>
    </rPh>
    <rPh sb="7" eb="9">
      <t>カンリ</t>
    </rPh>
    <rPh sb="9" eb="10">
      <t>シャ</t>
    </rPh>
    <rPh sb="10" eb="12">
      <t>センニン</t>
    </rPh>
    <phoneticPr fontId="156"/>
  </si>
  <si>
    <r>
      <t>防火・防災管理</t>
    </r>
    <r>
      <rPr>
        <sz val="14"/>
        <rFont val="ＭＳ Ｐゴシック"/>
        <family val="3"/>
        <charset val="128"/>
      </rPr>
      <t>者選任</t>
    </r>
    <rPh sb="0" eb="2">
      <t>ボウカ</t>
    </rPh>
    <rPh sb="3" eb="5">
      <t>ボウサイ</t>
    </rPh>
    <rPh sb="5" eb="7">
      <t>カンリ</t>
    </rPh>
    <rPh sb="7" eb="8">
      <t>シャ</t>
    </rPh>
    <rPh sb="8" eb="10">
      <t>センニン</t>
    </rPh>
    <phoneticPr fontId="156"/>
  </si>
  <si>
    <t>防火管理技能者選任</t>
    <rPh sb="0" eb="2">
      <t>ボウカ</t>
    </rPh>
    <rPh sb="2" eb="4">
      <t>カンリ</t>
    </rPh>
    <rPh sb="4" eb="7">
      <t>ギノウシャ</t>
    </rPh>
    <rPh sb="7" eb="9">
      <t>センニン</t>
    </rPh>
    <phoneticPr fontId="156"/>
  </si>
  <si>
    <t>自衛消防活動中核要員選任</t>
    <rPh sb="0" eb="2">
      <t>ジエイ</t>
    </rPh>
    <rPh sb="2" eb="4">
      <t>ショウボウ</t>
    </rPh>
    <rPh sb="4" eb="6">
      <t>カツドウ</t>
    </rPh>
    <rPh sb="6" eb="8">
      <t>チュウカク</t>
    </rPh>
    <rPh sb="8" eb="10">
      <t>ヨウイン</t>
    </rPh>
    <rPh sb="10" eb="12">
      <t>センニン</t>
    </rPh>
    <phoneticPr fontId="156"/>
  </si>
  <si>
    <t>統括管理者選任</t>
    <rPh sb="0" eb="2">
      <t>トウカツ</t>
    </rPh>
    <rPh sb="2" eb="5">
      <t>カンリシャ</t>
    </rPh>
    <rPh sb="5" eb="7">
      <t>センニン</t>
    </rPh>
    <phoneticPr fontId="156"/>
  </si>
  <si>
    <t>ボイラー取扱責任者選任</t>
    <rPh sb="4" eb="5">
      <t>ト</t>
    </rPh>
    <rPh sb="5" eb="6">
      <t>アツカ</t>
    </rPh>
    <rPh sb="6" eb="9">
      <t>セキニンシャ</t>
    </rPh>
    <rPh sb="9" eb="11">
      <t>センニン</t>
    </rPh>
    <phoneticPr fontId="156"/>
  </si>
  <si>
    <t>ボイラー及び
圧力容器安全規則</t>
    <phoneticPr fontId="156"/>
  </si>
  <si>
    <t>許可証有効期限　　運搬業者</t>
    <rPh sb="0" eb="3">
      <t>キョカショウ</t>
    </rPh>
    <rPh sb="3" eb="5">
      <t>ユウコウ</t>
    </rPh>
    <rPh sb="5" eb="7">
      <t>キゲン</t>
    </rPh>
    <rPh sb="9" eb="11">
      <t>ウンパン</t>
    </rPh>
    <rPh sb="11" eb="13">
      <t>ギョウシャ</t>
    </rPh>
    <phoneticPr fontId="8"/>
  </si>
  <si>
    <t>SBM</t>
    <phoneticPr fontId="8"/>
  </si>
  <si>
    <t>　　〃　　　　　　　処分業者</t>
    <rPh sb="10" eb="12">
      <t>ショブン</t>
    </rPh>
    <rPh sb="12" eb="14">
      <t>ギョウシャ</t>
    </rPh>
    <phoneticPr fontId="8"/>
  </si>
  <si>
    <t>〃　　　　　 最終処分場</t>
    <rPh sb="7" eb="9">
      <t>サイシュウ</t>
    </rPh>
    <rPh sb="9" eb="12">
      <t>ショブンジョウ</t>
    </rPh>
    <phoneticPr fontId="8"/>
  </si>
  <si>
    <t>エネルギー管理者(員)選任</t>
    <rPh sb="5" eb="8">
      <t>カンリシャ</t>
    </rPh>
    <rPh sb="9" eb="10">
      <t>イン</t>
    </rPh>
    <rPh sb="11" eb="13">
      <t>センニン</t>
    </rPh>
    <phoneticPr fontId="156"/>
  </si>
  <si>
    <t>ゴンドラワイヤーロープ交換</t>
    <rPh sb="11" eb="13">
      <t>コウカン</t>
    </rPh>
    <phoneticPr fontId="36"/>
  </si>
  <si>
    <t>SC統一基準
1回/2年</t>
    <phoneticPr fontId="156"/>
  </si>
  <si>
    <t>アスベスト目視点検</t>
    <rPh sb="5" eb="7">
      <t>モクシ</t>
    </rPh>
    <rPh sb="7" eb="9">
      <t>テンケン</t>
    </rPh>
    <phoneticPr fontId="8"/>
  </si>
  <si>
    <t>SBM管理基準
1回/月、2回/年、
1回/年</t>
    <phoneticPr fontId="156"/>
  </si>
  <si>
    <t>労働安全衛生法</t>
    <rPh sb="0" eb="2">
      <t>ロウドウ</t>
    </rPh>
    <rPh sb="2" eb="4">
      <t>アンゼン</t>
    </rPh>
    <rPh sb="4" eb="7">
      <t>エイセイホウ</t>
    </rPh>
    <phoneticPr fontId="156"/>
  </si>
  <si>
    <t>アスベスト環境測定</t>
    <rPh sb="5" eb="7">
      <t>カンキョウ</t>
    </rPh>
    <rPh sb="7" eb="9">
      <t>ソクテイ</t>
    </rPh>
    <phoneticPr fontId="8"/>
  </si>
  <si>
    <t>無</t>
    <phoneticPr fontId="156"/>
  </si>
  <si>
    <t>特別管理産業廃棄物管理責任者選任</t>
    <rPh sb="0" eb="2">
      <t>トクベツ</t>
    </rPh>
    <rPh sb="2" eb="4">
      <t>カンリ</t>
    </rPh>
    <rPh sb="4" eb="6">
      <t>サンギョウ</t>
    </rPh>
    <rPh sb="6" eb="9">
      <t>ハイキブツ</t>
    </rPh>
    <rPh sb="9" eb="11">
      <t>カンリ</t>
    </rPh>
    <rPh sb="11" eb="14">
      <t>セキニンシャ</t>
    </rPh>
    <rPh sb="14" eb="16">
      <t>センニン</t>
    </rPh>
    <phoneticPr fontId="156"/>
  </si>
  <si>
    <t>条例</t>
    <rPh sb="0" eb="2">
      <t>ジョウレイ</t>
    </rPh>
    <phoneticPr fontId="8"/>
  </si>
  <si>
    <t>廃棄物管理責任者選任</t>
    <rPh sb="0" eb="2">
      <t>ハイキ</t>
    </rPh>
    <rPh sb="2" eb="3">
      <t>ブツ</t>
    </rPh>
    <rPh sb="3" eb="5">
      <t>カンリ</t>
    </rPh>
    <rPh sb="5" eb="7">
      <t>セキニン</t>
    </rPh>
    <rPh sb="7" eb="8">
      <t>シャ</t>
    </rPh>
    <rPh sb="8" eb="10">
      <t>センニン</t>
    </rPh>
    <phoneticPr fontId="156"/>
  </si>
  <si>
    <t>③定期管理業務スケジュール（法定以外）</t>
    <rPh sb="1" eb="3">
      <t>テイキ</t>
    </rPh>
    <rPh sb="3" eb="5">
      <t>カンリ</t>
    </rPh>
    <rPh sb="5" eb="7">
      <t>ギョウム</t>
    </rPh>
    <rPh sb="14" eb="16">
      <t>ホウテイ</t>
    </rPh>
    <rPh sb="16" eb="18">
      <t>イガイ</t>
    </rPh>
    <phoneticPr fontId="8"/>
  </si>
  <si>
    <t>清掃・</t>
    <rPh sb="0" eb="2">
      <t>セイソウ</t>
    </rPh>
    <phoneticPr fontId="8"/>
  </si>
  <si>
    <t>日常業務</t>
    <rPh sb="0" eb="2">
      <t>ニチジョウ</t>
    </rPh>
    <rPh sb="2" eb="4">
      <t>ギョウム</t>
    </rPh>
    <phoneticPr fontId="8"/>
  </si>
  <si>
    <t>建築</t>
    <phoneticPr fontId="8"/>
  </si>
  <si>
    <t>衛生</t>
    <rPh sb="0" eb="2">
      <t>エイセイ</t>
    </rPh>
    <phoneticPr fontId="156"/>
  </si>
  <si>
    <t>2023年</t>
    <rPh sb="4" eb="5">
      <t>ネン</t>
    </rPh>
    <phoneticPr fontId="8"/>
  </si>
  <si>
    <t>駐車装置点検</t>
    <rPh sb="0" eb="2">
      <t>チュウシャ</t>
    </rPh>
    <rPh sb="2" eb="4">
      <t>ソウチ</t>
    </rPh>
    <rPh sb="4" eb="6">
      <t>テンケン</t>
    </rPh>
    <phoneticPr fontId="8"/>
  </si>
  <si>
    <t>SCB(IHI運搬機械)</t>
    <rPh sb="7" eb="11">
      <t>ウンパンキカイ</t>
    </rPh>
    <phoneticPr fontId="8"/>
  </si>
  <si>
    <r>
      <t>シャッター、</t>
    </r>
    <r>
      <rPr>
        <sz val="12"/>
        <color rgb="FFFF0000"/>
        <rFont val="ＭＳ Ｐゴシック"/>
        <family val="3"/>
        <charset val="128"/>
      </rPr>
      <t>排煙設備点検</t>
    </r>
    <rPh sb="6" eb="8">
      <t>ハイエン</t>
    </rPh>
    <rPh sb="8" eb="10">
      <t>セツビ</t>
    </rPh>
    <rPh sb="10" eb="12">
      <t>テンケン</t>
    </rPh>
    <phoneticPr fontId="8"/>
  </si>
  <si>
    <t>【専用部】専有部清掃</t>
    <rPh sb="1" eb="3">
      <t>センヨウ</t>
    </rPh>
    <rPh sb="3" eb="4">
      <t>ブ</t>
    </rPh>
    <rPh sb="5" eb="8">
      <t>センユウブ</t>
    </rPh>
    <rPh sb="8" eb="10">
      <t>セイソウ</t>
    </rPh>
    <phoneticPr fontId="8"/>
  </si>
  <si>
    <t>電気検針、水道検針、ITV点検・管理室内機器外観点検</t>
    <rPh sb="5" eb="7">
      <t>スイドウ</t>
    </rPh>
    <rPh sb="7" eb="9">
      <t>ケンシン</t>
    </rPh>
    <rPh sb="24" eb="26">
      <t>テンケン</t>
    </rPh>
    <phoneticPr fontId="8"/>
  </si>
  <si>
    <t>SCB(住友林業緑化)…植栽管理作業</t>
    <phoneticPr fontId="8"/>
  </si>
  <si>
    <t xml:space="preserve"> </t>
    <phoneticPr fontId="8"/>
  </si>
  <si>
    <t>〇</t>
    <phoneticPr fontId="8"/>
  </si>
  <si>
    <t>1階　だれでもトイレ床清掃、外階段、バルコニー清掃</t>
    <rPh sb="1" eb="2">
      <t>カイ</t>
    </rPh>
    <rPh sb="10" eb="13">
      <t>ユカセイソウ</t>
    </rPh>
    <rPh sb="14" eb="15">
      <t>ソト</t>
    </rPh>
    <rPh sb="15" eb="17">
      <t>カイダン</t>
    </rPh>
    <rPh sb="23" eb="25">
      <t>セイソウ</t>
    </rPh>
    <phoneticPr fontId="8"/>
  </si>
  <si>
    <t>衛生設備</t>
    <rPh sb="0" eb="2">
      <t>エイセイ</t>
    </rPh>
    <rPh sb="2" eb="4">
      <t>セツビ</t>
    </rPh>
    <phoneticPr fontId="8"/>
  </si>
  <si>
    <t>SCB(IHI運搬機械）…機械式駐車装置点検</t>
    <phoneticPr fontId="8"/>
  </si>
  <si>
    <t>ＳＣＢ(シーアイシー)…害虫生息調査</t>
    <phoneticPr fontId="8"/>
  </si>
  <si>
    <t>2023年1月</t>
    <rPh sb="4" eb="5">
      <t>ネン</t>
    </rPh>
    <phoneticPr fontId="8"/>
  </si>
  <si>
    <t>SCB(住友林業緑化)</t>
    <rPh sb="4" eb="6">
      <t>スミトモ</t>
    </rPh>
    <rPh sb="6" eb="8">
      <t>リンギョウ</t>
    </rPh>
    <rPh sb="8" eb="10">
      <t>リョクカ</t>
    </rPh>
    <phoneticPr fontId="10"/>
  </si>
  <si>
    <t>共用部定期清掃</t>
    <rPh sb="0" eb="3">
      <t>キョウヨウブ</t>
    </rPh>
    <rPh sb="3" eb="7">
      <t>テイキセイソウ</t>
    </rPh>
    <phoneticPr fontId="8"/>
  </si>
  <si>
    <t xml:space="preserve">SCB(ビーエムテクノ) </t>
    <phoneticPr fontId="8"/>
  </si>
  <si>
    <t>害虫生息調査</t>
    <rPh sb="0" eb="2">
      <t>ガイチュウ</t>
    </rPh>
    <rPh sb="2" eb="6">
      <t>セイソクチョウサ</t>
    </rPh>
    <phoneticPr fontId="8"/>
  </si>
  <si>
    <t>SCB(三菱電機ビルソリューションズ)</t>
    <rPh sb="3" eb="5">
      <t>ミツビシ</t>
    </rPh>
    <rPh sb="5" eb="7">
      <t>デンキ</t>
    </rPh>
    <phoneticPr fontId="8"/>
  </si>
  <si>
    <t>植栽管理作業</t>
    <phoneticPr fontId="8"/>
  </si>
  <si>
    <t>良</t>
    <rPh sb="0" eb="1">
      <t>リョウ</t>
    </rPh>
    <phoneticPr fontId="8"/>
  </si>
  <si>
    <t>SCB…共用部定期清掃</t>
    <phoneticPr fontId="8"/>
  </si>
  <si>
    <t>発電機設備・危険物施設点検</t>
    <phoneticPr fontId="8"/>
  </si>
  <si>
    <t>建築設備</t>
    <phoneticPr fontId="8"/>
  </si>
  <si>
    <t>火</t>
    <rPh sb="0" eb="1">
      <t>カ</t>
    </rPh>
    <phoneticPr fontId="8"/>
  </si>
  <si>
    <t>その他</t>
    <phoneticPr fontId="8"/>
  </si>
  <si>
    <t xml:space="preserve"> </t>
    <phoneticPr fontId="8"/>
  </si>
  <si>
    <t>12:18 1階店舗裏通用口の電気錠異常発報</t>
    <rPh sb="7" eb="8">
      <t>カイ</t>
    </rPh>
    <rPh sb="8" eb="10">
      <t>テンポ</t>
    </rPh>
    <rPh sb="10" eb="11">
      <t>ウラ</t>
    </rPh>
    <rPh sb="11" eb="14">
      <t>ツウヨウグチ</t>
    </rPh>
    <rPh sb="15" eb="18">
      <t>デンキジョウ</t>
    </rPh>
    <rPh sb="18" eb="20">
      <t>イジョウ</t>
    </rPh>
    <rPh sb="20" eb="22">
      <t>ハッポウ</t>
    </rPh>
    <phoneticPr fontId="8"/>
  </si>
  <si>
    <t>CSP到着時、復旧済み</t>
    <rPh sb="3" eb="6">
      <t>トウチャクジ</t>
    </rPh>
    <rPh sb="7" eb="10">
      <t>フッキュウズ</t>
    </rPh>
    <phoneticPr fontId="8"/>
  </si>
  <si>
    <t>済</t>
    <rPh sb="0" eb="1">
      <t>スミ</t>
    </rPh>
    <phoneticPr fontId="8"/>
  </si>
  <si>
    <t>その他</t>
    <rPh sb="2" eb="3">
      <t>ホカ</t>
    </rPh>
    <phoneticPr fontId="8"/>
  </si>
  <si>
    <t>15:53　1階店舗裏通用口の電気錠異常発報</t>
    <phoneticPr fontId="8"/>
  </si>
  <si>
    <t>CSP到着時、復旧済み</t>
    <phoneticPr fontId="8"/>
  </si>
  <si>
    <t>消防設備</t>
    <rPh sb="0" eb="4">
      <t>ショウボウセツビ</t>
    </rPh>
    <phoneticPr fontId="8"/>
  </si>
  <si>
    <t>防排煙諸警報発生に伴う現地確認</t>
    <phoneticPr fontId="8"/>
  </si>
  <si>
    <t>エス・シー・ビルサービス</t>
    <phoneticPr fontId="8"/>
  </si>
  <si>
    <t>10階　神戸学園　新規デスク搬入、コンセント工事</t>
    <rPh sb="2" eb="3">
      <t>カイ</t>
    </rPh>
    <rPh sb="4" eb="6">
      <t>コウベ</t>
    </rPh>
    <rPh sb="6" eb="8">
      <t>ガクエン</t>
    </rPh>
    <rPh sb="9" eb="11">
      <t>シンキ</t>
    </rPh>
    <rPh sb="14" eb="16">
      <t>ハンニュウ</t>
    </rPh>
    <rPh sb="22" eb="24">
      <t>コウジ</t>
    </rPh>
    <phoneticPr fontId="8"/>
  </si>
  <si>
    <t>良</t>
    <rPh sb="0" eb="1">
      <t>リョウ</t>
    </rPh>
    <phoneticPr fontId="8"/>
  </si>
  <si>
    <t>住商インテリア インターナショナル</t>
    <phoneticPr fontId="8"/>
  </si>
  <si>
    <t>建築設備</t>
    <rPh sb="0" eb="2">
      <t>ケンチク</t>
    </rPh>
    <rPh sb="2" eb="4">
      <t>セツビ</t>
    </rPh>
    <phoneticPr fontId="8"/>
  </si>
  <si>
    <t>2F・3F セットアップオフィス扉のスピード調整</t>
    <phoneticPr fontId="8"/>
  </si>
  <si>
    <t>22:31　8F廊下南側扉開放発報</t>
    <rPh sb="15" eb="17">
      <t>ハッポウ</t>
    </rPh>
    <phoneticPr fontId="8"/>
  </si>
  <si>
    <t>テナントが誤って警戒をかけたとの事。</t>
    <phoneticPr fontId="8"/>
  </si>
  <si>
    <t>1F(車路)にて電気錠異常発報</t>
    <rPh sb="11" eb="13">
      <t>イジョウ</t>
    </rPh>
    <rPh sb="13" eb="15">
      <t>ハッポウ</t>
    </rPh>
    <phoneticPr fontId="8"/>
  </si>
  <si>
    <t>＊1</t>
    <phoneticPr fontId="8"/>
  </si>
  <si>
    <t>＊1　CSP到着時､扉閉鎖しているが未施錠状態。扉閉にて施錠され復旧</t>
    <rPh sb="6" eb="9">
      <t>トウチャクジ</t>
    </rPh>
    <phoneticPr fontId="8"/>
  </si>
  <si>
    <t>直結増圧ポンプ点検</t>
    <rPh sb="7" eb="9">
      <t>テンケン</t>
    </rPh>
    <phoneticPr fontId="8"/>
  </si>
  <si>
    <t>エレベーター仕様変更</t>
    <rPh sb="6" eb="10">
      <t>シヨウヘンコウ</t>
    </rPh>
    <phoneticPr fontId="8"/>
  </si>
  <si>
    <t>空調設備</t>
    <rPh sb="0" eb="4">
      <t>クウチョウセツビ</t>
    </rPh>
    <phoneticPr fontId="8"/>
  </si>
  <si>
    <t>5F執務室振動緩和対策工事</t>
    <phoneticPr fontId="8"/>
  </si>
  <si>
    <t>三晃空調</t>
    <rPh sb="0" eb="2">
      <t>サンコウ</t>
    </rPh>
    <rPh sb="2" eb="4">
      <t>クウチョウ</t>
    </rPh>
    <phoneticPr fontId="8"/>
  </si>
  <si>
    <t>16:32　防排煙・火災諸警報発報</t>
    <rPh sb="15" eb="17">
      <t>ハッポウ</t>
    </rPh>
    <phoneticPr fontId="8"/>
  </si>
  <si>
    <t>警報瞬時復帰。館内異常なし</t>
    <phoneticPr fontId="8"/>
  </si>
  <si>
    <t>検針、管理室機器外観点検、ITV設備点検、排水槽、ポンプ点検</t>
    <phoneticPr fontId="8"/>
  </si>
  <si>
    <t>排水槽点検時に駐車場内部に入室した際、床面にクラックを発見し、水が湧き出ていた。</t>
    <phoneticPr fontId="8"/>
  </si>
  <si>
    <t>関係各所に報告実施。</t>
    <phoneticPr fontId="8"/>
  </si>
  <si>
    <t>発電機点検</t>
    <rPh sb="0" eb="2">
      <t>ハツデンキ</t>
    </rPh>
    <rPh sb="2" eb="4">
      <t>テンケン</t>
    </rPh>
    <phoneticPr fontId="8"/>
  </si>
  <si>
    <t>電気設備</t>
    <rPh sb="0" eb="4">
      <t>デンキセツビ</t>
    </rPh>
    <phoneticPr fontId="8"/>
  </si>
  <si>
    <t>電気設備月例点検</t>
    <rPh sb="0" eb="2">
      <t>デンキ</t>
    </rPh>
    <rPh sb="2" eb="4">
      <t>セツビ</t>
    </rPh>
    <rPh sb="4" eb="6">
      <t>ゲツレイ</t>
    </rPh>
    <rPh sb="6" eb="8">
      <t>テンケン</t>
    </rPh>
    <phoneticPr fontId="8"/>
  </si>
  <si>
    <t>12:22　屋外階段 電気錠警報発報</t>
    <rPh sb="16" eb="18">
      <t>ハッポウ</t>
    </rPh>
    <phoneticPr fontId="8"/>
  </si>
  <si>
    <t>12:54 　防排煙・諸警報発報</t>
    <rPh sb="14" eb="16">
      <t>ハッポウ</t>
    </rPh>
    <phoneticPr fontId="8"/>
  </si>
  <si>
    <t>＊3</t>
    <phoneticPr fontId="8"/>
  </si>
  <si>
    <t>空気環境測定</t>
    <rPh sb="0" eb="6">
      <t>クウキカンキョウソクテイ</t>
    </rPh>
    <phoneticPr fontId="8"/>
  </si>
  <si>
    <t>SCB</t>
    <phoneticPr fontId="8"/>
  </si>
  <si>
    <t>11:58 　防排煙・諸警報発報</t>
    <rPh sb="14" eb="16">
      <t>ハッポウ</t>
    </rPh>
    <phoneticPr fontId="8"/>
  </si>
  <si>
    <t>CSP到着時復旧済み</t>
    <phoneticPr fontId="8"/>
  </si>
  <si>
    <t>機械式駐車ピット漏水調査</t>
    <phoneticPr fontId="8"/>
  </si>
  <si>
    <t>熊谷組</t>
    <rPh sb="0" eb="2">
      <t>クマガヤグミ</t>
    </rPh>
    <phoneticPr fontId="8"/>
  </si>
  <si>
    <t>2,3階LayerX ネットワーク工事</t>
    <phoneticPr fontId="8"/>
  </si>
  <si>
    <t>アルプシステムズ</t>
    <phoneticPr fontId="8"/>
  </si>
  <si>
    <t>建築設備</t>
    <rPh sb="0" eb="4">
      <t>ケンチクセツビ</t>
    </rPh>
    <phoneticPr fontId="8"/>
  </si>
  <si>
    <t>5~6階振動調査</t>
    <phoneticPr fontId="8"/>
  </si>
  <si>
    <t>熊谷組</t>
    <phoneticPr fontId="8"/>
  </si>
  <si>
    <t>2023年3月30日で所有者変更</t>
    <rPh sb="4" eb="5">
      <t>ネン</t>
    </rPh>
    <rPh sb="6" eb="7">
      <t>ツキ</t>
    </rPh>
    <rPh sb="9" eb="10">
      <t>ヒ</t>
    </rPh>
    <rPh sb="11" eb="13">
      <t>ショユウ</t>
    </rPh>
    <rPh sb="13" eb="14">
      <t>シャ</t>
    </rPh>
    <rPh sb="14" eb="16">
      <t>ヘンコウ</t>
    </rPh>
    <phoneticPr fontId="8"/>
  </si>
  <si>
    <t>直結増圧ポンプ点検、ポンプ制御盤</t>
    <phoneticPr fontId="8"/>
  </si>
  <si>
    <t>空調機・全熱交換器点検(2日目)</t>
    <rPh sb="13" eb="15">
      <t>ニチメ</t>
    </rPh>
    <phoneticPr fontId="8"/>
  </si>
  <si>
    <t>空調機・全熱交換器点検(1日目)</t>
    <rPh sb="13" eb="15">
      <t>ニチメ</t>
    </rPh>
    <phoneticPr fontId="8"/>
  </si>
  <si>
    <t>SCB(三菱電機ビルソリューションズ)…エレベーター定期点検</t>
    <rPh sb="4" eb="8">
      <t>ミツビシデンキ</t>
    </rPh>
    <rPh sb="26" eb="30">
      <t>テイキテンケン</t>
    </rPh>
    <phoneticPr fontId="8"/>
  </si>
  <si>
    <t>SCB（アットアロマ）…アロマ空調コーディネート</t>
    <rPh sb="15" eb="17">
      <t>クウチョウ</t>
    </rPh>
    <phoneticPr fontId="8"/>
  </si>
  <si>
    <t>2023年度　年間管理作業予定・実績表（巡回業務）</t>
    <phoneticPr fontId="8"/>
  </si>
  <si>
    <t>2023年度　年間管理作業予定・実績表（保守業務）</t>
    <rPh sb="5" eb="7">
      <t>ネンカン</t>
    </rPh>
    <rPh sb="7" eb="9">
      <t>カンリ</t>
    </rPh>
    <rPh sb="9" eb="11">
      <t>サギョウ</t>
    </rPh>
    <rPh sb="11" eb="13">
      <t>ヨテイ</t>
    </rPh>
    <rPh sb="14" eb="16">
      <t>ジッセキ</t>
    </rPh>
    <rPh sb="18" eb="20">
      <t>ホシュ</t>
    </rPh>
    <rPh sb="20" eb="22">
      <t>ギョウム</t>
    </rPh>
    <phoneticPr fontId="8"/>
  </si>
  <si>
    <t>18</t>
    <phoneticPr fontId="8"/>
  </si>
  <si>
    <t>19</t>
    <phoneticPr fontId="8"/>
  </si>
  <si>
    <t>22、.30</t>
    <phoneticPr fontId="8"/>
  </si>
  <si>
    <t>11</t>
    <phoneticPr fontId="8"/>
  </si>
  <si>
    <t>22，30</t>
    <phoneticPr fontId="8"/>
  </si>
  <si>
    <t>26</t>
    <phoneticPr fontId="8"/>
  </si>
  <si>
    <t>24</t>
    <phoneticPr fontId="8"/>
  </si>
  <si>
    <t>2</t>
    <phoneticPr fontId="8"/>
  </si>
  <si>
    <t>《　4　月　度　所　見　》</t>
    <rPh sb="4" eb="5">
      <t>ガツ</t>
    </rPh>
    <rPh sb="6" eb="7">
      <t>タビ</t>
    </rPh>
    <rPh sb="8" eb="9">
      <t>ショ</t>
    </rPh>
    <rPh sb="10" eb="11">
      <t>ケン</t>
    </rPh>
    <phoneticPr fontId="8"/>
  </si>
  <si>
    <t>空調機、全熱交換器、加湿器停止、メーター有効期限確認(10階のみ)（1日目)</t>
    <rPh sb="13" eb="15">
      <t>テイシ</t>
    </rPh>
    <rPh sb="20" eb="22">
      <t>ユウコウ</t>
    </rPh>
    <rPh sb="22" eb="24">
      <t>キゲン</t>
    </rPh>
    <rPh sb="24" eb="26">
      <t>カクニン</t>
    </rPh>
    <rPh sb="29" eb="30">
      <t>カイ</t>
    </rPh>
    <rPh sb="35" eb="37">
      <t>ニチメ</t>
    </rPh>
    <phoneticPr fontId="8"/>
  </si>
  <si>
    <t>空調機、全熱交換器、加湿器停止、メーター有効期限確認（2日目)</t>
    <rPh sb="28" eb="29">
      <t>ヒ</t>
    </rPh>
    <rPh sb="29" eb="30">
      <t>メ</t>
    </rPh>
    <phoneticPr fontId="8"/>
  </si>
  <si>
    <t>関東電気保安協会</t>
    <rPh sb="0" eb="8">
      <t>カントウデンキホアンキョウカイ</t>
    </rPh>
    <phoneticPr fontId="8"/>
  </si>
  <si>
    <t>空調設備</t>
    <rPh sb="0" eb="4">
      <t>クウチョウセツビ</t>
    </rPh>
    <phoneticPr fontId="8"/>
  </si>
  <si>
    <t>1F NeiRoh室内異臭調査</t>
    <phoneticPr fontId="8"/>
  </si>
  <si>
    <t>＊3　CSP到着時、電気錠施錠状態。動作確認を行ったが特に異状認めません</t>
    <phoneticPr fontId="8"/>
  </si>
  <si>
    <t>＊4　CSP現場到着時、管理室の火災受信盤に表示無く、復旧している状況、点検したが異常なし。</t>
    <rPh sb="36" eb="38">
      <t>テンケン</t>
    </rPh>
    <rPh sb="41" eb="43">
      <t>イジョウ</t>
    </rPh>
    <phoneticPr fontId="8"/>
  </si>
  <si>
    <t>＊2　室内中央辺り下水の様な異臭あり。空調機からの風に異臭は感じられず原因不明</t>
    <phoneticPr fontId="8"/>
  </si>
  <si>
    <t>＊2</t>
    <phoneticPr fontId="8"/>
  </si>
  <si>
    <t>済</t>
    <rPh sb="0" eb="1">
      <t>スミ</t>
    </rPh>
    <phoneticPr fontId="8"/>
  </si>
  <si>
    <t>＊4</t>
    <phoneticPr fontId="8"/>
  </si>
  <si>
    <t xml:space="preserve"> </t>
    <phoneticPr fontId="8"/>
  </si>
  <si>
    <t>祝祭日</t>
    <rPh sb="0" eb="3">
      <t>シュクサイジツ</t>
    </rPh>
    <phoneticPr fontId="8"/>
  </si>
  <si>
    <t>業者作業　転写用キーワード表</t>
    <rPh sb="0" eb="2">
      <t>ギョウシャ</t>
    </rPh>
    <rPh sb="2" eb="4">
      <t>サギョウ</t>
    </rPh>
    <rPh sb="5" eb="7">
      <t>テンシャ</t>
    </rPh>
    <rPh sb="7" eb="8">
      <t>ヨウ</t>
    </rPh>
    <rPh sb="13" eb="14">
      <t>ヒョウ</t>
    </rPh>
    <phoneticPr fontId="8"/>
  </si>
  <si>
    <t>ガラス清掃</t>
    <phoneticPr fontId="8"/>
  </si>
  <si>
    <t>2024/1/8</t>
  </si>
  <si>
    <t>フィルター清掃</t>
    <phoneticPr fontId="8"/>
  </si>
  <si>
    <t>ELV定期</t>
    <phoneticPr fontId="8"/>
  </si>
  <si>
    <t>kokoro</t>
    <phoneticPr fontId="8"/>
  </si>
  <si>
    <t>消防設備点検</t>
    <phoneticPr fontId="8"/>
  </si>
  <si>
    <t>アロマ</t>
    <phoneticPr fontId="8"/>
  </si>
  <si>
    <t>電気設備</t>
    <phoneticPr fontId="8"/>
  </si>
  <si>
    <t>定期清掃</t>
    <phoneticPr fontId="8"/>
  </si>
  <si>
    <t>空調</t>
    <phoneticPr fontId="8"/>
  </si>
  <si>
    <t>IHヒーター</t>
    <phoneticPr fontId="8"/>
  </si>
  <si>
    <t>エレベーター</t>
    <phoneticPr fontId="8"/>
  </si>
  <si>
    <t>植栽管理</t>
    <rPh sb="0" eb="4">
      <t>ショクサイカンリ</t>
    </rPh>
    <phoneticPr fontId="8"/>
  </si>
  <si>
    <t>2023/11/3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</si>
</sst>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6">
    <numFmt numFmtId="6" formatCode="&quot;¥&quot;#,##0;[Red]&quot;¥&quot;\-#,##0"/>
    <numFmt numFmtId="176" formatCode="0.0%"/>
    <numFmt numFmtId="177" formatCode="m/d"/>
    <numFmt numFmtId="178" formatCode="#,##0&quot;m3&quot;"/>
    <numFmt numFmtId="179" formatCode="yyyy&quot;年&quot;m&quot;月度&quot;"/>
    <numFmt numFmtId="180" formatCode="#,##0&quot;ｋWh&quot;"/>
    <numFmt numFmtId="181" formatCode="#,##0&quot;kWh&quot;"/>
    <numFmt numFmtId="182" formatCode="[$-411]ddd"/>
    <numFmt numFmtId="183" formatCode="#,##0;\-#,##0;&quot;-&quot;"/>
    <numFmt numFmtId="184" formatCode="0.00_)"/>
    <numFmt numFmtId="185" formatCode="0.000"/>
    <numFmt numFmtId="186" formatCode="#,##0.0&quot;ｋW&quot;"/>
    <numFmt numFmtId="187" formatCode="d"/>
    <numFmt numFmtId="188" formatCode="aaa"/>
    <numFmt numFmtId="189" formatCode="0&quot;月度 月報&quot;"/>
    <numFmt numFmtId="190" formatCode=";;;"/>
    <numFmt numFmtId="191" formatCode="0.000000000"/>
    <numFmt numFmtId="192" formatCode="#,##0.0_);\(#,##0.0\)"/>
    <numFmt numFmtId="193" formatCode="&quot;¥&quot;_(#,##0.00_);&quot;¥&quot;\(#,##0.00\)"/>
    <numFmt numFmtId="194" formatCode="#,##0.0_)\x;\(#,##0.0\)\x"/>
    <numFmt numFmtId="195" formatCode="#,##0.0_)_x;\(#,##0.0\)_x"/>
    <numFmt numFmtId="196" formatCode="0.0_)\%;\(0.0\)\%"/>
    <numFmt numFmtId="197" formatCode="#,##0.0_)_%;\(#,##0.0\)_%"/>
    <numFmt numFmtId="198" formatCode="m/yy"/>
    <numFmt numFmtId="199" formatCode="mm/dd"/>
    <numFmt numFmtId="200" formatCode="000"/>
    <numFmt numFmtId="201" formatCode="&quot;$&quot;#,##0.000"/>
    <numFmt numFmtId="202" formatCode="_(* #,##0.0_);_(* \(#,##0.0\);_(* &quot;-&quot;?_);_(@_)"/>
    <numFmt numFmtId="203" formatCode="000000000"/>
    <numFmt numFmtId="204" formatCode="0.00_);[Red]\(0.00\)"/>
    <numFmt numFmtId="205" formatCode="_(* #,##0.0000_);_(* \(#,##0.0000\);_(* &quot;-&quot;??_);_(@_)"/>
    <numFmt numFmtId="206" formatCode="dd\-mmm\-yy_)"/>
    <numFmt numFmtId="207" formatCode="_(* #,##0_);_(* \(#,##0\);_(* &quot;-&quot;_);_(@_)"/>
    <numFmt numFmtId="208" formatCode="&quot;$&quot;#,##0_);\(&quot;$&quot;#,##0\)"/>
    <numFmt numFmtId="209" formatCode="&quot;$&quot;#,##0.0_);\(&quot;$&quot;#,##0.0\)"/>
    <numFmt numFmtId="210" formatCode="&quot;¥&quot;#,##0_);\(&quot;¥&quot;#,##0\)"/>
    <numFmt numFmtId="211" formatCode="_-&quot;｣&quot;* #,##0_-;\-&quot;｣&quot;* #,##0_-;_-&quot;｣&quot;* &quot;-&quot;_-;_-@_-"/>
    <numFmt numFmtId="212" formatCode="_-&quot;｣&quot;* #,##0.00_-;\-&quot;｣&quot;* #,##0.00_-;_-&quot;｣&quot;* &quot;-&quot;??_-;_-@_-"/>
    <numFmt numFmtId="213" formatCode="_(&quot;$&quot;* #,##0.00_);_(&quot;$&quot;* \(#,##0.00\);_(&quot;$&quot;* &quot;-&quot;??_);_(@_)"/>
    <numFmt numFmtId="214" formatCode="m/d/yyyy\ \ h:mm\ AM/PM"/>
    <numFmt numFmtId="215" formatCode="&quot;$&quot;#,##0.00"/>
    <numFmt numFmtId="216" formatCode="mm/yyyy"/>
    <numFmt numFmtId="217" formatCode="_(* #,##0.00\ \x_);_(* \(#,##0.00\ \x\);_(* &quot;-&quot;??_);_(@_)"/>
    <numFmt numFmtId="218" formatCode="_(* #,##0\ \x_);_(* \(#,##0\ \x\);_(* &quot;-&quot;??_);_(@_)"/>
    <numFmt numFmtId="219" formatCode="_(* #,##0.0\ \x_);_(* \(#,##0.0\ \x\);_(* &quot;-&quot;??_);_(@_)"/>
    <numFmt numFmtId="220" formatCode="[&lt;=9999999]###\-####;\(###\)\ ###\-####"/>
    <numFmt numFmtId="221" formatCode="#&quot;年&quot;"/>
    <numFmt numFmtId="222" formatCode="??&quot;月&quot;"/>
    <numFmt numFmtId="223" formatCode="yyyy/m"/>
    <numFmt numFmtId="224" formatCode="#,##0.00&quot;㎡&quot;_ "/>
    <numFmt numFmtId="225" formatCode="yyyy&quot;年&quot;m&quot;月&quot;;@"/>
    <numFmt numFmtId="226" formatCode="0&quot;階&quot;_ "/>
    <numFmt numFmtId="227" formatCode="#,##0&quot;m&quot;_ "/>
    <numFmt numFmtId="228" formatCode="#,##0&quot;kl/年&quot;"/>
    <numFmt numFmtId="229" formatCode="&quot;《&quot;\ m\ &quot;月　度　所　見　》&quot;"/>
    <numFmt numFmtId="230" formatCode="m&quot;月度 月報&quot;"/>
  </numFmts>
  <fonts count="179">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b/>
      <i/>
      <sz val="11"/>
      <name val="ＭＳ Ｐゴシック"/>
      <family val="3"/>
      <charset val="128"/>
    </font>
    <font>
      <sz val="12"/>
      <name val="ＭＳ Ｐゴシック"/>
      <family val="3"/>
      <charset val="128"/>
    </font>
    <font>
      <sz val="10"/>
      <name val="ＭＳ Ｐゴシック"/>
      <family val="3"/>
      <charset val="128"/>
    </font>
    <font>
      <b/>
      <sz val="14"/>
      <name val="ＭＳ Ｐゴシック"/>
      <family val="3"/>
      <charset val="128"/>
    </font>
    <font>
      <sz val="6"/>
      <name val="ＭＳ Ｐゴシック"/>
      <family val="3"/>
      <charset val="128"/>
    </font>
    <font>
      <b/>
      <i/>
      <sz val="20"/>
      <name val="ＭＳ Ｐゴシック"/>
      <family val="3"/>
      <charset val="128"/>
    </font>
    <font>
      <sz val="11"/>
      <name val="ＭＳ Ｐゴシック"/>
      <family val="3"/>
      <charset val="128"/>
    </font>
    <font>
      <b/>
      <sz val="20"/>
      <name val="ＭＳ Ｐゴシック"/>
      <family val="3"/>
      <charset val="128"/>
    </font>
    <font>
      <sz val="16"/>
      <name val="ＭＳ Ｐゴシック"/>
      <family val="3"/>
      <charset val="128"/>
    </font>
    <font>
      <sz val="11"/>
      <name val="ＭＳ Ｐゴシック"/>
      <family val="3"/>
      <charset val="128"/>
    </font>
    <font>
      <b/>
      <sz val="11"/>
      <name val="ＭＳ Ｐゴシック"/>
      <family val="3"/>
      <charset val="128"/>
    </font>
    <font>
      <sz val="14"/>
      <name val="ＭＳ Ｐゴシック"/>
      <family val="3"/>
      <charset val="128"/>
    </font>
    <font>
      <b/>
      <sz val="10"/>
      <name val="ＭＳ Ｐゴシック"/>
      <family val="3"/>
      <charset val="128"/>
    </font>
    <font>
      <b/>
      <sz val="12"/>
      <name val="ＭＳ Ｐゴシック"/>
      <family val="3"/>
      <charset val="128"/>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b/>
      <sz val="9"/>
      <color indexed="12"/>
      <name val="ＭＳ Ｐゴシック"/>
      <family val="3"/>
      <charset val="128"/>
    </font>
    <font>
      <b/>
      <sz val="10"/>
      <color indexed="12"/>
      <name val="ＭＳ Ｐゴシック"/>
      <family val="3"/>
      <charset val="128"/>
    </font>
    <font>
      <b/>
      <sz val="10"/>
      <color indexed="81"/>
      <name val="ＭＳ Ｐゴシック"/>
      <family val="3"/>
      <charset val="128"/>
    </font>
    <font>
      <b/>
      <sz val="10"/>
      <color indexed="10"/>
      <name val="ＭＳ Ｐゴシック"/>
      <family val="3"/>
      <charset val="128"/>
    </font>
    <font>
      <sz val="18"/>
      <name val="ＭＳ Ｐゴシック"/>
      <family val="3"/>
      <charset val="128"/>
    </font>
    <font>
      <b/>
      <sz val="24"/>
      <name val="ＭＳ Ｐゴシック"/>
      <family val="3"/>
      <charset val="128"/>
    </font>
    <font>
      <b/>
      <sz val="18"/>
      <color indexed="10"/>
      <name val="ＭＳ Ｐゴシック"/>
      <family val="3"/>
      <charset val="128"/>
    </font>
    <font>
      <sz val="11"/>
      <name val="ＭＳ 明朝"/>
      <family val="1"/>
      <charset val="128"/>
    </font>
    <font>
      <sz val="12"/>
      <name val="ＭＳ 明朝"/>
      <family val="1"/>
      <charset val="128"/>
    </font>
    <font>
      <sz val="14"/>
      <name val="ＭＳ 明朝"/>
      <family val="1"/>
      <charset val="128"/>
    </font>
    <font>
      <sz val="12"/>
      <name val="ＭＳ Ｐ明朝"/>
      <family val="1"/>
      <charset val="128"/>
    </font>
    <font>
      <sz val="10"/>
      <color theme="1"/>
      <name val="ＭＳ Ｐゴシック"/>
      <family val="3"/>
      <charset val="128"/>
    </font>
    <font>
      <sz val="16"/>
      <name val="ＭＳ ゴシック"/>
      <family val="3"/>
      <charset val="128"/>
    </font>
    <font>
      <sz val="10"/>
      <color rgb="FFFF0000"/>
      <name val="ＭＳ Ｐゴシック"/>
      <family val="3"/>
      <charset val="128"/>
    </font>
    <font>
      <sz val="12"/>
      <color rgb="FFFF0000"/>
      <name val="ＭＳ Ｐゴシック"/>
      <family val="3"/>
      <charset val="128"/>
    </font>
    <font>
      <b/>
      <sz val="18"/>
      <name val="ＭＳ Ｐゴシック"/>
      <family val="3"/>
      <charset val="128"/>
    </font>
    <font>
      <sz val="10"/>
      <color indexed="8"/>
      <name val="Arial"/>
      <family val="2"/>
    </font>
    <font>
      <sz val="8"/>
      <name val="Arial"/>
      <family val="2"/>
    </font>
    <font>
      <b/>
      <sz val="12"/>
      <name val="Arial"/>
      <family val="2"/>
    </font>
    <font>
      <sz val="10"/>
      <name val="Times New Roman"/>
      <family val="1"/>
    </font>
    <font>
      <b/>
      <sz val="10"/>
      <name val="Times New Roman"/>
      <family val="1"/>
    </font>
    <font>
      <b/>
      <i/>
      <sz val="16"/>
      <name val="Helv"/>
      <family val="2"/>
    </font>
    <font>
      <sz val="10"/>
      <name val="Arial"/>
      <family val="2"/>
    </font>
    <font>
      <b/>
      <sz val="10"/>
      <name val="Arial"/>
      <family val="2"/>
    </font>
    <font>
      <sz val="11"/>
      <color theme="1"/>
      <name val="ＭＳ Ｐゴシック"/>
      <family val="3"/>
      <charset val="128"/>
      <scheme val="minor"/>
    </font>
    <font>
      <sz val="11"/>
      <color indexed="8"/>
      <name val="ＭＳ Ｐゴシック"/>
      <family val="3"/>
      <charset val="128"/>
    </font>
    <font>
      <sz val="11"/>
      <color indexed="20"/>
      <name val="ＭＳ Ｐゴシック"/>
      <family val="3"/>
      <charset val="128"/>
    </font>
    <font>
      <b/>
      <sz val="25.6"/>
      <color rgb="FF333333"/>
      <name val="ＭＳ Ｐゴシック"/>
      <family val="3"/>
      <charset val="128"/>
    </font>
    <font>
      <sz val="10"/>
      <name val="ＭＳ Ｐゴシック"/>
      <family val="3"/>
      <charset val="128"/>
      <scheme val="minor"/>
    </font>
    <font>
      <sz val="12"/>
      <color indexed="10"/>
      <name val="ＭＳ Ｐゴシック"/>
      <family val="3"/>
      <charset val="128"/>
    </font>
    <font>
      <b/>
      <sz val="16"/>
      <name val="ＭＳ Ｐゴシック"/>
      <family val="3"/>
      <charset val="128"/>
      <scheme val="major"/>
    </font>
    <font>
      <b/>
      <sz val="12"/>
      <name val="HG丸ｺﾞｼｯｸM-PRO"/>
      <family val="3"/>
      <charset val="128"/>
    </font>
    <font>
      <sz val="12"/>
      <color indexed="48"/>
      <name val="ＭＳ Ｐゴシック"/>
      <family val="3"/>
      <charset val="128"/>
    </font>
    <font>
      <sz val="11"/>
      <name val="ＭＳ ゴシック"/>
      <family val="3"/>
      <charset val="128"/>
    </font>
    <font>
      <sz val="11"/>
      <name val="??"/>
      <family val="1"/>
    </font>
    <font>
      <sz val="11"/>
      <name val="?? ?????"/>
      <family val="3"/>
    </font>
    <font>
      <sz val="14"/>
      <name val="?? ??"/>
      <family val="1"/>
    </font>
    <font>
      <u/>
      <sz val="8.4"/>
      <color indexed="12"/>
      <name val="Arial"/>
      <family val="2"/>
    </font>
    <font>
      <sz val="12"/>
      <name val="Arial"/>
      <family val="2"/>
    </font>
    <font>
      <sz val="11"/>
      <name val="?l?r ?o?S?V?b?N"/>
      <family val="3"/>
    </font>
    <font>
      <sz val="11"/>
      <name val="?l?r ?S?V?b?N"/>
      <family val="3"/>
    </font>
    <font>
      <sz val="11"/>
      <name val="??l"/>
      <family val="1"/>
    </font>
    <font>
      <sz val="10"/>
      <name val="ＭＳ 明朝"/>
      <family val="1"/>
      <charset val="128"/>
    </font>
    <font>
      <sz val="10"/>
      <name val="Geneva"/>
      <family val="2"/>
    </font>
    <font>
      <sz val="10"/>
      <color indexed="9"/>
      <name val="Arial"/>
      <family val="2"/>
    </font>
    <font>
      <sz val="11"/>
      <color indexed="9"/>
      <name val="ＭＳ Ｐゴシック"/>
      <family val="3"/>
      <charset val="128"/>
    </font>
    <font>
      <sz val="9"/>
      <name val="Tahoma"/>
      <family val="2"/>
    </font>
    <font>
      <sz val="11"/>
      <color indexed="9"/>
      <name val="Calibri"/>
      <family val="2"/>
    </font>
    <font>
      <sz val="11"/>
      <color indexed="8"/>
      <name val="Calibri"/>
      <family val="2"/>
    </font>
    <font>
      <sz val="11"/>
      <color indexed="16"/>
      <name val="Calibri"/>
      <family val="2"/>
    </font>
    <font>
      <b/>
      <i/>
      <sz val="10"/>
      <color indexed="30"/>
      <name val="Comic Sans MS"/>
      <family val="4"/>
    </font>
    <font>
      <sz val="8"/>
      <color indexed="30"/>
      <name val="Comic Sans MS"/>
      <family val="4"/>
    </font>
    <font>
      <b/>
      <sz val="8"/>
      <color indexed="30"/>
      <name val="Comic Sans MS"/>
      <family val="4"/>
    </font>
    <font>
      <sz val="10"/>
      <color indexed="30"/>
      <name val="Comic Sans MS"/>
      <family val="4"/>
    </font>
    <font>
      <sz val="12"/>
      <name val="Times New Roman"/>
      <family val="1"/>
    </font>
    <font>
      <b/>
      <sz val="11"/>
      <color indexed="53"/>
      <name val="Calibri"/>
      <family val="2"/>
    </font>
    <font>
      <b/>
      <sz val="11"/>
      <color indexed="9"/>
      <name val="Calibri"/>
      <family val="2"/>
    </font>
    <font>
      <b/>
      <sz val="9"/>
      <name val="Tahoma"/>
      <family val="2"/>
    </font>
    <font>
      <sz val="10"/>
      <name val="MS Sans Serif"/>
      <family val="2"/>
    </font>
    <font>
      <sz val="10"/>
      <name val="BERNHARD"/>
      <family val="1"/>
    </font>
    <font>
      <sz val="10"/>
      <name val="Helv"/>
      <family val="2"/>
    </font>
    <font>
      <b/>
      <sz val="10"/>
      <color indexed="30"/>
      <name val="Comic Sans MS"/>
      <family val="4"/>
    </font>
    <font>
      <sz val="12"/>
      <color indexed="30"/>
      <name val="Comic Sans MS"/>
      <family val="4"/>
    </font>
    <font>
      <sz val="9"/>
      <name val="Arial"/>
      <family val="2"/>
    </font>
    <font>
      <sz val="8"/>
      <color indexed="14"/>
      <name val="Times New Roman"/>
      <family val="1"/>
    </font>
    <font>
      <b/>
      <sz val="11"/>
      <color indexed="8"/>
      <name val="Calibri"/>
      <family val="2"/>
    </font>
    <font>
      <sz val="9"/>
      <name val="Times New Roman"/>
      <family val="1"/>
    </font>
    <font>
      <i/>
      <sz val="10"/>
      <color indexed="23"/>
      <name val="Arial"/>
      <family val="2"/>
    </font>
    <font>
      <sz val="11"/>
      <color indexed="17"/>
      <name val="Calibri"/>
      <family val="2"/>
    </font>
    <font>
      <b/>
      <sz val="10"/>
      <name val="Tahoma"/>
      <family val="2"/>
    </font>
    <font>
      <u/>
      <sz val="12"/>
      <name val="Tahoma"/>
      <family val="2"/>
    </font>
    <font>
      <u/>
      <sz val="11"/>
      <name val="Tahoma"/>
      <family val="2"/>
    </font>
    <font>
      <u/>
      <sz val="10"/>
      <name val="Tahoma"/>
      <family val="2"/>
    </font>
    <font>
      <u/>
      <sz val="9"/>
      <name val="Tahoma"/>
      <family val="2"/>
    </font>
    <font>
      <b/>
      <sz val="8"/>
      <name val="Palatino"/>
      <family val="1"/>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8"/>
      <name val="Times New Roman"/>
      <family val="1"/>
    </font>
    <font>
      <sz val="11"/>
      <color indexed="60"/>
      <name val="Calibri"/>
      <family val="2"/>
    </font>
    <font>
      <sz val="10"/>
      <name val="ＭＳ ゴシック"/>
      <family val="3"/>
      <charset val="128"/>
    </font>
    <font>
      <b/>
      <sz val="11"/>
      <color indexed="63"/>
      <name val="Calibri"/>
      <family val="2"/>
    </font>
    <font>
      <sz val="12"/>
      <name val="Book Antiqua"/>
      <family val="1"/>
    </font>
    <font>
      <b/>
      <sz val="10"/>
      <name val="MS Sans Serif"/>
      <family val="2"/>
    </font>
    <font>
      <sz val="8"/>
      <color indexed="16"/>
      <name val="Century Schoolbook"/>
      <family val="1"/>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i/>
      <sz val="10"/>
      <name val="Times New Roman"/>
      <family val="1"/>
    </font>
    <font>
      <b/>
      <sz val="18"/>
      <color indexed="62"/>
      <name val="Cambria"/>
      <family val="1"/>
    </font>
    <font>
      <b/>
      <sz val="11"/>
      <name val="Helv"/>
      <family val="2"/>
    </font>
    <font>
      <b/>
      <u/>
      <sz val="10"/>
      <name val="Tahoma"/>
      <family val="2"/>
    </font>
    <font>
      <b/>
      <sz val="11"/>
      <name val="Times New Roman"/>
      <family val="1"/>
    </font>
    <font>
      <b/>
      <sz val="9"/>
      <name val="Times New Roman"/>
      <family val="1"/>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b/>
      <sz val="10"/>
      <color indexed="30"/>
      <name val="Arial"/>
      <family val="2"/>
    </font>
    <font>
      <sz val="11"/>
      <color indexed="10"/>
      <name val="Calibri"/>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color theme="1"/>
      <name val="Arial"/>
      <family val="2"/>
      <charset val="128"/>
    </font>
    <font>
      <sz val="11"/>
      <color indexed="17"/>
      <name val="ＭＳ Ｐゴシック"/>
      <family val="3"/>
      <charset val="128"/>
    </font>
    <font>
      <b/>
      <sz val="18"/>
      <color indexed="62"/>
      <name val="ＭＳ Ｐゴシック"/>
      <family val="3"/>
      <charset val="128"/>
    </font>
    <font>
      <sz val="10"/>
      <name val="ＭＳ Ｐ明朝"/>
      <family val="1"/>
      <charset val="128"/>
    </font>
    <font>
      <sz val="9"/>
      <name val="ＭＳ 明朝"/>
      <family val="1"/>
      <charset val="128"/>
    </font>
    <font>
      <u/>
      <sz val="8.25"/>
      <color indexed="36"/>
      <name val="ＭＳ Ｐゴシック"/>
      <family val="3"/>
      <charset val="128"/>
    </font>
    <font>
      <b/>
      <sz val="11"/>
      <color rgb="FFFF0000"/>
      <name val="ＭＳ Ｐゴシック"/>
      <family val="3"/>
      <charset val="128"/>
    </font>
    <font>
      <sz val="6"/>
      <name val="ＭＳ Ｐゴシック"/>
      <family val="3"/>
      <charset val="128"/>
      <scheme val="minor"/>
    </font>
    <font>
      <sz val="12"/>
      <color theme="1"/>
      <name val="ＭＳ Ｐゴシック"/>
      <family val="3"/>
      <charset val="128"/>
    </font>
    <font>
      <sz val="11"/>
      <color theme="1"/>
      <name val="ＭＳ Ｐゴシック"/>
      <family val="3"/>
      <charset val="128"/>
    </font>
    <font>
      <b/>
      <sz val="20"/>
      <color indexed="81"/>
      <name val="ＭＳ Ｐゴシック"/>
      <family val="3"/>
      <charset val="128"/>
    </font>
    <font>
      <sz val="12"/>
      <color rgb="FFFFC000"/>
      <name val="ＭＳ Ｐゴシック"/>
      <family val="3"/>
      <charset val="128"/>
    </font>
    <font>
      <sz val="12"/>
      <color theme="0" tint="-0.499984740745262"/>
      <name val="ＭＳ Ｐゴシック"/>
      <family val="3"/>
      <charset val="128"/>
    </font>
    <font>
      <sz val="12"/>
      <color rgb="FF00B0F0"/>
      <name val="ＭＳ Ｐゴシック"/>
      <family val="3"/>
      <charset val="128"/>
    </font>
    <font>
      <sz val="6"/>
      <name val="ＭＳ Ｐゴシック"/>
      <family val="2"/>
      <charset val="128"/>
      <scheme val="minor"/>
    </font>
    <font>
      <sz val="11"/>
      <name val="ＭＳ Ｐ明朝"/>
      <family val="1"/>
      <charset val="128"/>
    </font>
    <font>
      <b/>
      <sz val="28"/>
      <name val="ＭＳ Ｐゴシック"/>
      <family val="3"/>
      <charset val="128"/>
    </font>
    <font>
      <sz val="11"/>
      <name val="ＭＳ Ｐゴシック"/>
      <family val="3"/>
      <charset val="128"/>
      <scheme val="minor"/>
    </font>
    <font>
      <sz val="14"/>
      <color theme="1"/>
      <name val="ＭＳ Ｐゴシック"/>
      <family val="2"/>
      <charset val="128"/>
      <scheme val="minor"/>
    </font>
    <font>
      <sz val="14"/>
      <color rgb="FF000000"/>
      <name val="ＭＳ ゴシック"/>
      <family val="3"/>
      <charset val="128"/>
    </font>
    <font>
      <b/>
      <sz val="16"/>
      <name val="ＭＳ Ｐゴシック"/>
      <family val="3"/>
      <charset val="128"/>
    </font>
    <font>
      <sz val="14"/>
      <color rgb="FFFF0000"/>
      <name val="ＭＳ Ｐゴシック"/>
      <family val="3"/>
      <charset val="128"/>
    </font>
    <font>
      <b/>
      <sz val="14"/>
      <color rgb="FFFF0000"/>
      <name val="ＭＳ Ｐゴシック"/>
      <family val="3"/>
      <charset val="128"/>
    </font>
    <font>
      <sz val="12"/>
      <color rgb="FF7030A0"/>
      <name val="ＭＳ Ｐゴシック"/>
      <family val="3"/>
      <charset val="128"/>
    </font>
    <font>
      <vertAlign val="superscript"/>
      <sz val="14"/>
      <name val="ＭＳ Ｐゴシック"/>
      <family val="3"/>
      <charset val="128"/>
    </font>
    <font>
      <sz val="12"/>
      <color rgb="FF00B050"/>
      <name val="ＭＳ Ｐゴシック"/>
      <family val="3"/>
      <charset val="128"/>
    </font>
    <font>
      <b/>
      <sz val="14"/>
      <color rgb="FF00B050"/>
      <name val="ＭＳ Ｐゴシック"/>
      <family val="3"/>
      <charset val="128"/>
    </font>
    <font>
      <sz val="14"/>
      <name val="ＭＳ Ｐゴシック"/>
      <family val="3"/>
      <charset val="128"/>
      <scheme val="minor"/>
    </font>
    <font>
      <b/>
      <strike/>
      <sz val="14"/>
      <color rgb="FFFF0000"/>
      <name val="ＭＳ Ｐゴシック"/>
      <family val="3"/>
      <charset val="128"/>
    </font>
    <font>
      <b/>
      <sz val="16"/>
      <name val="ＭＳ Ｐゴシック"/>
      <family val="3"/>
      <charset val="128"/>
      <scheme val="minor"/>
    </font>
    <font>
      <sz val="10"/>
      <color indexed="81"/>
      <name val="ＭＳ Ｐゴシック"/>
      <family val="3"/>
      <charset val="128"/>
    </font>
    <font>
      <sz val="10"/>
      <color indexed="81"/>
      <name val="ＭＳ ゴシック"/>
      <family val="3"/>
      <charset val="128"/>
    </font>
    <font>
      <sz val="9"/>
      <color indexed="81"/>
      <name val="MS P ゴシック"/>
      <family val="2"/>
      <charset val="128"/>
    </font>
    <font>
      <b/>
      <sz val="9"/>
      <color indexed="81"/>
      <name val="MS P ゴシック"/>
      <family val="2"/>
      <charset val="128"/>
    </font>
    <font>
      <sz val="10"/>
      <color rgb="FF00B0F0"/>
      <name val="ＭＳ Ｐゴシック"/>
      <family val="3"/>
      <charset val="128"/>
    </font>
    <font>
      <b/>
      <sz val="9"/>
      <color indexed="81"/>
      <name val="MS P ゴシック"/>
      <family val="3"/>
      <charset val="128"/>
    </font>
    <font>
      <sz val="9"/>
      <color indexed="81"/>
      <name val="MS P ゴシック"/>
      <family val="3"/>
      <charset val="128"/>
    </font>
  </fonts>
  <fills count="64">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
      <patternFill patternType="solid">
        <fgColor rgb="FFFFFF00"/>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54"/>
      </patternFill>
    </fill>
    <fill>
      <patternFill patternType="solid">
        <fgColor indexed="57"/>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44"/>
        <bgColor indexed="64"/>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mediumGray">
        <fgColor indexed="22"/>
      </patternFill>
    </fill>
    <fill>
      <patternFill patternType="solid">
        <fgColor indexed="43"/>
      </patternFill>
    </fill>
    <fill>
      <patternFill patternType="solid">
        <fgColor indexed="10"/>
      </patternFill>
    </fill>
    <fill>
      <patternFill patternType="solid">
        <fgColor indexed="53"/>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indexed="62"/>
      </patternFill>
    </fill>
    <fill>
      <patternFill patternType="solid">
        <fgColor indexed="55"/>
      </patternFill>
    </fill>
    <fill>
      <patternFill patternType="solid">
        <fgColor rgb="FFCCFFCC"/>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CC99"/>
        <bgColor indexed="64"/>
      </patternFill>
    </fill>
  </fills>
  <borders count="262">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dashed">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style="dashed">
        <color indexed="64"/>
      </left>
      <right style="thin">
        <color indexed="64"/>
      </right>
      <top style="thin">
        <color indexed="64"/>
      </top>
      <bottom/>
      <diagonal/>
    </border>
    <border>
      <left style="thin">
        <color indexed="64"/>
      </left>
      <right style="dashed">
        <color indexed="64"/>
      </right>
      <top style="thin">
        <color indexed="64"/>
      </top>
      <bottom/>
      <diagonal/>
    </border>
    <border>
      <left style="dashed">
        <color indexed="64"/>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dashed">
        <color indexed="64"/>
      </left>
      <right/>
      <top style="thin">
        <color indexed="64"/>
      </top>
      <bottom style="thin">
        <color indexed="64"/>
      </bottom>
      <diagonal/>
    </border>
    <border>
      <left style="medium">
        <color indexed="64"/>
      </left>
      <right style="dashed">
        <color indexed="64"/>
      </right>
      <top style="thin">
        <color indexed="64"/>
      </top>
      <bottom style="thin">
        <color indexed="64"/>
      </bottom>
      <diagonal/>
    </border>
    <border>
      <left style="thin">
        <color indexed="64"/>
      </left>
      <right/>
      <top/>
      <bottom style="hair">
        <color indexed="64"/>
      </bottom>
      <diagonal/>
    </border>
    <border>
      <left style="medium">
        <color indexed="64"/>
      </left>
      <right style="medium">
        <color indexed="64"/>
      </right>
      <top/>
      <bottom/>
      <diagonal/>
    </border>
    <border>
      <left style="dashed">
        <color indexed="64"/>
      </left>
      <right style="thin">
        <color indexed="64"/>
      </right>
      <top/>
      <bottom/>
      <diagonal/>
    </border>
    <border>
      <left style="thin">
        <color indexed="64"/>
      </left>
      <right style="dashed">
        <color indexed="64"/>
      </right>
      <top/>
      <bottom/>
      <diagonal/>
    </border>
    <border>
      <left/>
      <right style="medium">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medium">
        <color indexed="64"/>
      </top>
      <bottom style="thin">
        <color indexed="64"/>
      </bottom>
      <diagonal/>
    </border>
    <border>
      <left style="thin">
        <color indexed="64"/>
      </left>
      <right style="double">
        <color indexed="64"/>
      </right>
      <top style="hair">
        <color indexed="64"/>
      </top>
      <bottom/>
      <diagonal/>
    </border>
    <border>
      <left/>
      <right/>
      <top style="medium">
        <color indexed="64"/>
      </top>
      <bottom style="medium">
        <color indexed="64"/>
      </bottom>
      <diagonal/>
    </border>
    <border>
      <left style="medium">
        <color indexed="64"/>
      </left>
      <right/>
      <top style="medium">
        <color indexed="64"/>
      </top>
      <bottom/>
      <diagonal/>
    </border>
    <border>
      <left style="dashed">
        <color indexed="64"/>
      </left>
      <right/>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style="medium">
        <color indexed="64"/>
      </left>
      <right style="dashed">
        <color indexed="64"/>
      </right>
      <top style="thin">
        <color indexed="64"/>
      </top>
      <bottom/>
      <diagonal/>
    </border>
    <border>
      <left style="medium">
        <color indexed="64"/>
      </left>
      <right style="dashed">
        <color indexed="64"/>
      </right>
      <top/>
      <bottom style="thin">
        <color indexed="64"/>
      </bottom>
      <diagonal/>
    </border>
    <border>
      <left style="thin">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dashed">
        <color indexed="64"/>
      </right>
      <top/>
      <bottom style="medium">
        <color indexed="64"/>
      </bottom>
      <diagonal/>
    </border>
    <border>
      <left style="dashed">
        <color indexed="64"/>
      </left>
      <right style="thin">
        <color indexed="64"/>
      </right>
      <top/>
      <bottom style="medium">
        <color indexed="64"/>
      </bottom>
      <diagonal/>
    </border>
    <border>
      <left style="thin">
        <color indexed="64"/>
      </left>
      <right style="dashed">
        <color indexed="64"/>
      </right>
      <top/>
      <bottom style="medium">
        <color indexed="64"/>
      </bottom>
      <diagonal/>
    </border>
    <border>
      <left style="thin">
        <color indexed="64"/>
      </left>
      <right style="double">
        <color indexed="64"/>
      </right>
      <top/>
      <bottom style="thin">
        <color indexed="64"/>
      </bottom>
      <diagonal/>
    </border>
    <border>
      <left style="dashed">
        <color indexed="64"/>
      </left>
      <right style="thin">
        <color indexed="64"/>
      </right>
      <top style="medium">
        <color indexed="64"/>
      </top>
      <bottom/>
      <diagonal/>
    </border>
    <border>
      <left/>
      <right style="dashed">
        <color indexed="64"/>
      </right>
      <top style="thin">
        <color indexed="64"/>
      </top>
      <bottom/>
      <diagonal/>
    </border>
    <border>
      <left style="dashed">
        <color indexed="64"/>
      </left>
      <right style="medium">
        <color indexed="64"/>
      </right>
      <top style="thin">
        <color indexed="64"/>
      </top>
      <bottom style="thin">
        <color indexed="64"/>
      </bottom>
      <diagonal/>
    </border>
    <border>
      <left style="double">
        <color indexed="64"/>
      </left>
      <right style="thin">
        <color indexed="64"/>
      </right>
      <top style="hair">
        <color indexed="64"/>
      </top>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right/>
      <top style="thick">
        <color indexed="30"/>
      </top>
      <bottom/>
      <diagonal/>
    </border>
    <border>
      <left style="thin">
        <color indexed="30"/>
      </left>
      <right style="thin">
        <color indexed="30"/>
      </right>
      <top/>
      <bottom style="double">
        <color indexed="30"/>
      </bottom>
      <diagonal/>
    </border>
    <border>
      <left/>
      <right/>
      <top/>
      <bottom style="thin">
        <color indexed="30"/>
      </bottom>
      <diagonal/>
    </border>
    <border>
      <left/>
      <right/>
      <top/>
      <bottom style="thick">
        <color indexed="30"/>
      </bottom>
      <diagonal/>
    </border>
    <border>
      <left style="thin">
        <color indexed="30"/>
      </left>
      <right style="thin">
        <color indexed="30"/>
      </right>
      <top/>
      <bottom style="thin">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30"/>
      </left>
      <right/>
      <top/>
      <bottom/>
      <diagonal/>
    </border>
    <border>
      <left style="thin">
        <color indexed="30"/>
      </left>
      <right style="thin">
        <color indexed="30"/>
      </right>
      <top/>
      <bottom/>
      <diagonal/>
    </border>
    <border>
      <left/>
      <right/>
      <top/>
      <bottom style="hair">
        <color indexed="22"/>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30"/>
      </left>
      <right/>
      <top/>
      <bottom style="thin">
        <color indexed="30"/>
      </bottom>
      <diagonal/>
    </border>
    <border>
      <left/>
      <right style="thin">
        <color indexed="30"/>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thick">
        <color indexed="30"/>
      </left>
      <right style="thin">
        <color indexed="30"/>
      </right>
      <top style="thick">
        <color indexed="30"/>
      </top>
      <bottom style="thick">
        <color indexed="30"/>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double">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auto="1"/>
      </top>
      <bottom/>
      <diagonal/>
    </border>
    <border>
      <left/>
      <right/>
      <top style="thin">
        <color indexed="48"/>
      </top>
      <bottom style="double">
        <color indexed="48"/>
      </bottom>
      <diagonal/>
    </border>
    <border>
      <left/>
      <right/>
      <top/>
      <bottom style="double">
        <color indexed="52"/>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double">
        <color indexed="64"/>
      </bottom>
      <diagonal/>
    </border>
    <border>
      <left style="thin">
        <color auto="1"/>
      </left>
      <right/>
      <top/>
      <bottom/>
      <diagonal/>
    </border>
    <border>
      <left style="double">
        <color indexed="64"/>
      </left>
      <right style="thin">
        <color indexed="64"/>
      </right>
      <top style="hair">
        <color indexed="64"/>
      </top>
      <bottom style="thin">
        <color indexed="64"/>
      </bottom>
      <diagonal/>
    </border>
    <border>
      <left style="thin">
        <color indexed="64"/>
      </left>
      <right style="double">
        <color indexed="64"/>
      </right>
      <top/>
      <bottom/>
      <diagonal/>
    </border>
    <border>
      <left style="double">
        <color indexed="64"/>
      </left>
      <right style="thin">
        <color indexed="64"/>
      </right>
      <top style="thin">
        <color indexed="64"/>
      </top>
      <bottom style="hair">
        <color indexed="64"/>
      </bottom>
      <diagonal/>
    </border>
    <border>
      <left style="dashed">
        <color indexed="64"/>
      </left>
      <right style="medium">
        <color indexed="64"/>
      </right>
      <top/>
      <bottom style="medium">
        <color indexed="64"/>
      </bottom>
      <diagonal/>
    </border>
    <border>
      <left style="thin">
        <color indexed="64"/>
      </left>
      <right/>
      <top/>
      <bottom style="medium">
        <color indexed="64"/>
      </bottom>
      <diagonal/>
    </border>
    <border>
      <left style="dashed">
        <color indexed="64"/>
      </left>
      <right style="medium">
        <color indexed="64"/>
      </right>
      <top/>
      <bottom style="thin">
        <color indexed="64"/>
      </bottom>
      <diagonal/>
    </border>
    <border>
      <left style="medium">
        <color indexed="64"/>
      </left>
      <right style="medium">
        <color indexed="64"/>
      </right>
      <top style="hair">
        <color indexed="64"/>
      </top>
      <bottom style="medium">
        <color indexed="64"/>
      </bottom>
      <diagonal/>
    </border>
    <border>
      <left style="dashed">
        <color indexed="64"/>
      </left>
      <right style="medium">
        <color indexed="64"/>
      </right>
      <top style="thin">
        <color indexed="64"/>
      </top>
      <bottom/>
      <diagonal/>
    </border>
    <border>
      <left style="dashed">
        <color indexed="64"/>
      </left>
      <right style="medium">
        <color indexed="64"/>
      </right>
      <top style="medium">
        <color indexed="64"/>
      </top>
      <bottom style="thin">
        <color indexed="64"/>
      </bottom>
      <diagonal/>
    </border>
    <border>
      <left style="medium">
        <color indexed="64"/>
      </left>
      <right style="dashed">
        <color indexed="64"/>
      </right>
      <top style="medium">
        <color indexed="64"/>
      </top>
      <bottom style="thin">
        <color indexed="64"/>
      </bottom>
      <diagonal/>
    </border>
    <border>
      <left style="dashed">
        <color indexed="64"/>
      </left>
      <right style="medium">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dashed">
        <color indexed="64"/>
      </right>
      <top style="medium">
        <color indexed="64"/>
      </top>
      <bottom style="thin">
        <color indexed="64"/>
      </bottom>
      <diagonal/>
    </border>
    <border>
      <left/>
      <right style="dashed">
        <color indexed="64"/>
      </right>
      <top style="thin">
        <color indexed="64"/>
      </top>
      <bottom style="thin">
        <color indexed="64"/>
      </bottom>
      <diagonal/>
    </border>
    <border>
      <left/>
      <right style="dashed">
        <color indexed="64"/>
      </right>
      <top style="thin">
        <color indexed="64"/>
      </top>
      <bottom style="medium">
        <color indexed="64"/>
      </bottom>
      <diagonal/>
    </border>
    <border>
      <left/>
      <right style="dashed">
        <color indexed="64"/>
      </right>
      <top/>
      <bottom style="thin">
        <color indexed="64"/>
      </bottom>
      <diagonal/>
    </border>
    <border>
      <left/>
      <right style="dashed">
        <color indexed="64"/>
      </right>
      <top/>
      <bottom/>
      <diagonal/>
    </border>
    <border>
      <left style="thin">
        <color auto="1"/>
      </left>
      <right style="thin">
        <color auto="1"/>
      </right>
      <top style="thin">
        <color auto="1"/>
      </top>
      <bottom style="thin">
        <color auto="1"/>
      </bottom>
      <diagonal/>
    </border>
    <border>
      <left style="thin">
        <color auto="1"/>
      </left>
      <right/>
      <top style="thin">
        <color auto="1"/>
      </top>
      <bottom style="double">
        <color indexed="64"/>
      </bottom>
      <diagonal/>
    </border>
    <border>
      <left/>
      <right/>
      <top style="thin">
        <color auto="1"/>
      </top>
      <bottom style="double">
        <color indexed="64"/>
      </bottom>
      <diagonal/>
    </border>
    <border>
      <left/>
      <right style="thin">
        <color auto="1"/>
      </right>
      <top style="thin">
        <color auto="1"/>
      </top>
      <bottom style="double">
        <color indexed="64"/>
      </bottom>
      <diagonal/>
    </border>
    <border>
      <left/>
      <right style="thin">
        <color auto="1"/>
      </right>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thin">
        <color auto="1"/>
      </left>
      <right style="thin">
        <color indexed="64"/>
      </right>
      <top style="thin">
        <color indexed="64"/>
      </top>
      <bottom/>
      <diagonal/>
    </border>
    <border>
      <left/>
      <right/>
      <top/>
      <bottom style="thin">
        <color auto="1"/>
      </bottom>
      <diagonal/>
    </border>
    <border>
      <left/>
      <right style="thin">
        <color auto="1"/>
      </right>
      <top/>
      <bottom style="thin">
        <color auto="1"/>
      </bottom>
      <diagonal/>
    </border>
    <border>
      <left/>
      <right/>
      <top/>
      <bottom style="thick">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hair">
        <color indexed="64"/>
      </top>
      <bottom style="hair">
        <color indexed="64"/>
      </bottom>
      <diagonal/>
    </border>
    <border>
      <left/>
      <right style="medium">
        <color indexed="64"/>
      </right>
      <top style="thin">
        <color indexed="64"/>
      </top>
      <bottom style="hair">
        <color indexed="64"/>
      </bottom>
      <diagonal/>
    </border>
    <border>
      <left style="medium">
        <color indexed="64"/>
      </left>
      <right style="dashed">
        <color indexed="64"/>
      </right>
      <top style="thin">
        <color indexed="64"/>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dashed">
        <color indexed="64"/>
      </right>
      <top style="thin">
        <color indexed="64"/>
      </top>
      <bottom style="hair">
        <color indexed="64"/>
      </bottom>
      <diagonal/>
    </border>
    <border>
      <left/>
      <right style="dashed">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hair">
        <color indexed="64"/>
      </bottom>
      <diagonal/>
    </border>
    <border>
      <left style="medium">
        <color indexed="64"/>
      </left>
      <right style="dashed">
        <color indexed="64"/>
      </right>
      <top/>
      <bottom style="hair">
        <color indexed="64"/>
      </bottom>
      <diagonal/>
    </border>
    <border>
      <left style="dashed">
        <color indexed="64"/>
      </left>
      <right style="thin">
        <color indexed="64"/>
      </right>
      <top/>
      <bottom style="hair">
        <color indexed="64"/>
      </bottom>
      <diagonal/>
    </border>
    <border>
      <left style="thin">
        <color indexed="64"/>
      </left>
      <right style="dashed">
        <color indexed="64"/>
      </right>
      <top/>
      <bottom style="hair">
        <color indexed="64"/>
      </bottom>
      <diagonal/>
    </border>
    <border>
      <left/>
      <right style="dashed">
        <color indexed="64"/>
      </right>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style="thin">
        <color indexed="64"/>
      </left>
      <right style="dashed">
        <color indexed="64"/>
      </right>
      <top style="hair">
        <color indexed="64"/>
      </top>
      <bottom style="medium">
        <color indexed="64"/>
      </bottom>
      <diagonal/>
    </border>
    <border>
      <left/>
      <right style="dashed">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medium">
        <color indexed="64"/>
      </top>
      <bottom/>
      <diagonal/>
    </border>
    <border>
      <left style="dashed">
        <color indexed="64"/>
      </left>
      <right style="thin">
        <color indexed="64"/>
      </right>
      <top style="hair">
        <color indexed="64"/>
      </top>
      <bottom style="hair">
        <color indexed="64"/>
      </bottom>
      <diagonal/>
    </border>
    <border>
      <left style="thin">
        <color indexed="64"/>
      </left>
      <right style="medium">
        <color indexed="64"/>
      </right>
      <top/>
      <bottom style="hair">
        <color indexed="64"/>
      </bottom>
      <diagonal/>
    </border>
    <border>
      <left/>
      <right style="dashed">
        <color indexed="64"/>
      </right>
      <top style="hair">
        <color indexed="64"/>
      </top>
      <bottom style="hair">
        <color indexed="64"/>
      </bottom>
      <diagonal/>
    </border>
    <border>
      <left style="thin">
        <color indexed="64"/>
      </left>
      <right style="dashed">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dashed">
        <color indexed="64"/>
      </right>
      <top style="hair">
        <color indexed="64"/>
      </top>
      <bottom/>
      <diagonal/>
    </border>
    <border>
      <left style="dashed">
        <color indexed="64"/>
      </left>
      <right style="thin">
        <color indexed="64"/>
      </right>
      <top style="hair">
        <color indexed="64"/>
      </top>
      <bottom/>
      <diagonal/>
    </border>
    <border>
      <left/>
      <right style="dashed">
        <color indexed="64"/>
      </right>
      <top style="hair">
        <color indexed="64"/>
      </top>
      <bottom/>
      <diagonal/>
    </border>
    <border>
      <left style="thin">
        <color indexed="64"/>
      </left>
      <right style="medium">
        <color indexed="64"/>
      </right>
      <top style="hair">
        <color indexed="64"/>
      </top>
      <bottom/>
      <diagonal/>
    </border>
    <border>
      <left style="medium">
        <color indexed="64"/>
      </left>
      <right style="dashed">
        <color indexed="64"/>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dashed">
        <color indexed="64"/>
      </right>
      <top/>
      <bottom/>
      <diagonal/>
    </border>
    <border>
      <left style="medium">
        <color indexed="64"/>
      </left>
      <right/>
      <top/>
      <bottom style="double">
        <color indexed="64"/>
      </bottom>
      <diagonal/>
    </border>
    <border>
      <left style="thin">
        <color indexed="64"/>
      </left>
      <right/>
      <top/>
      <bottom style="double">
        <color indexed="64"/>
      </bottom>
      <diagonal/>
    </border>
    <border>
      <left style="thin">
        <color auto="1"/>
      </left>
      <right style="thin">
        <color auto="1"/>
      </right>
      <top/>
      <bottom style="double">
        <color indexed="64"/>
      </bottom>
      <diagonal/>
    </border>
    <border>
      <left style="thin">
        <color indexed="64"/>
      </left>
      <right style="medium">
        <color indexed="64"/>
      </right>
      <top/>
      <bottom style="double">
        <color indexed="64"/>
      </bottom>
      <diagonal/>
    </border>
    <border>
      <left style="medium">
        <color indexed="64"/>
      </left>
      <right style="dashed">
        <color indexed="64"/>
      </right>
      <top/>
      <bottom style="double">
        <color indexed="64"/>
      </bottom>
      <diagonal/>
    </border>
    <border>
      <left style="dashed">
        <color indexed="64"/>
      </left>
      <right style="thin">
        <color indexed="64"/>
      </right>
      <top/>
      <bottom style="double">
        <color indexed="64"/>
      </bottom>
      <diagonal/>
    </border>
    <border>
      <left style="thin">
        <color indexed="64"/>
      </left>
      <right style="dashed">
        <color indexed="64"/>
      </right>
      <top/>
      <bottom style="double">
        <color indexed="64"/>
      </bottom>
      <diagonal/>
    </border>
    <border>
      <left/>
      <right style="dashed">
        <color indexed="64"/>
      </right>
      <top/>
      <bottom style="double">
        <color indexed="64"/>
      </bottom>
      <diagonal/>
    </border>
    <border>
      <left/>
      <right style="medium">
        <color indexed="64"/>
      </right>
      <top style="hair">
        <color indexed="64"/>
      </top>
      <bottom/>
      <diagonal/>
    </border>
    <border>
      <left style="medium">
        <color auto="1"/>
      </left>
      <right style="thin">
        <color indexed="64"/>
      </right>
      <top/>
      <bottom style="double">
        <color auto="1"/>
      </bottom>
      <diagonal/>
    </border>
    <border>
      <left style="thin">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indexed="64"/>
      </left>
      <right style="dashed">
        <color indexed="64"/>
      </right>
      <top style="hair">
        <color indexed="64"/>
      </top>
      <bottom style="double">
        <color indexed="64"/>
      </bottom>
      <diagonal/>
    </border>
    <border>
      <left style="dashed">
        <color indexed="64"/>
      </left>
      <right style="thin">
        <color indexed="64"/>
      </right>
      <top style="hair">
        <color indexed="64"/>
      </top>
      <bottom style="double">
        <color indexed="64"/>
      </bottom>
      <diagonal/>
    </border>
    <border>
      <left style="thin">
        <color indexed="64"/>
      </left>
      <right style="dashed">
        <color indexed="64"/>
      </right>
      <top style="hair">
        <color indexed="64"/>
      </top>
      <bottom style="double">
        <color indexed="64"/>
      </bottom>
      <diagonal/>
    </border>
    <border>
      <left/>
      <right style="dashed">
        <color indexed="64"/>
      </right>
      <top style="hair">
        <color indexed="64"/>
      </top>
      <bottom style="double">
        <color indexed="64"/>
      </bottom>
      <diagonal/>
    </border>
    <border>
      <left style="medium">
        <color auto="1"/>
      </left>
      <right/>
      <top style="double">
        <color auto="1"/>
      </top>
      <bottom/>
      <diagonal/>
    </border>
    <border>
      <left style="thin">
        <color indexed="64"/>
      </left>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medium">
        <color indexed="64"/>
      </right>
      <top style="double">
        <color auto="1"/>
      </top>
      <bottom style="hair">
        <color indexed="64"/>
      </bottom>
      <diagonal/>
    </border>
    <border>
      <left style="thin">
        <color indexed="64"/>
      </left>
      <right style="dashed">
        <color indexed="64"/>
      </right>
      <top style="double">
        <color auto="1"/>
      </top>
      <bottom/>
      <diagonal/>
    </border>
    <border>
      <left style="dashed">
        <color indexed="64"/>
      </left>
      <right style="thin">
        <color indexed="64"/>
      </right>
      <top style="double">
        <color auto="1"/>
      </top>
      <bottom/>
      <diagonal/>
    </border>
    <border>
      <left/>
      <right style="dashed">
        <color indexed="64"/>
      </right>
      <top style="double">
        <color auto="1"/>
      </top>
      <bottom/>
      <diagonal/>
    </border>
    <border>
      <left style="thin">
        <color indexed="64"/>
      </left>
      <right style="medium">
        <color indexed="64"/>
      </right>
      <top style="hair">
        <color indexed="64"/>
      </top>
      <bottom style="thin">
        <color indexed="64"/>
      </bottom>
      <diagonal/>
    </border>
    <border>
      <left style="thin">
        <color indexed="64"/>
      </left>
      <right style="dashed">
        <color indexed="64"/>
      </right>
      <top style="hair">
        <color indexed="64"/>
      </top>
      <bottom style="thin">
        <color indexed="64"/>
      </bottom>
      <diagonal/>
    </border>
    <border>
      <left style="dashed">
        <color indexed="64"/>
      </left>
      <right style="thin">
        <color indexed="64"/>
      </right>
      <top style="hair">
        <color indexed="64"/>
      </top>
      <bottom style="thin">
        <color indexed="64"/>
      </bottom>
      <diagonal/>
    </border>
    <border>
      <left/>
      <right style="dashed">
        <color indexed="64"/>
      </right>
      <top style="hair">
        <color indexed="64"/>
      </top>
      <bottom style="thin">
        <color indexed="64"/>
      </bottom>
      <diagonal/>
    </border>
    <border>
      <left style="medium">
        <color indexed="64"/>
      </left>
      <right style="dashed">
        <color indexed="64"/>
      </right>
      <top style="hair">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ashed">
        <color indexed="64"/>
      </right>
      <top/>
      <bottom style="medium">
        <color indexed="64"/>
      </bottom>
      <diagonal/>
    </border>
    <border>
      <left/>
      <right style="double">
        <color indexed="64"/>
      </right>
      <top/>
      <bottom/>
      <diagonal/>
    </border>
    <border>
      <left style="thin">
        <color auto="1"/>
      </left>
      <right/>
      <top/>
      <bottom style="hair">
        <color auto="1"/>
      </bottom>
      <diagonal/>
    </border>
    <border>
      <left/>
      <right/>
      <top/>
      <bottom style="hair">
        <color auto="1"/>
      </bottom>
      <diagonal/>
    </border>
    <border>
      <left/>
      <right style="thin">
        <color indexed="64"/>
      </right>
      <top/>
      <bottom style="hair">
        <color auto="1"/>
      </bottom>
      <diagonal/>
    </border>
  </borders>
  <cellStyleXfs count="572">
    <xf numFmtId="0" fontId="0" fillId="0" borderId="0" applyBorder="0"/>
    <xf numFmtId="6" fontId="3" fillId="0" borderId="0" applyFont="0" applyFill="0" applyBorder="0" applyAlignment="0" applyProtection="0"/>
    <xf numFmtId="0" fontId="10" fillId="0" borderId="0">
      <alignment vertical="center"/>
    </xf>
    <xf numFmtId="0" fontId="10" fillId="0" borderId="0">
      <alignment vertical="center"/>
    </xf>
    <xf numFmtId="0" fontId="10" fillId="0" borderId="0"/>
    <xf numFmtId="0" fontId="3" fillId="0" borderId="0"/>
    <xf numFmtId="0" fontId="3" fillId="0" borderId="0"/>
    <xf numFmtId="0" fontId="3" fillId="0" borderId="0" applyBorder="0"/>
    <xf numFmtId="0" fontId="3" fillId="0" borderId="0"/>
    <xf numFmtId="0" fontId="3" fillId="0" borderId="0">
      <alignment vertical="center"/>
    </xf>
    <xf numFmtId="0" fontId="3" fillId="0" borderId="0"/>
    <xf numFmtId="0" fontId="3" fillId="0" borderId="0" applyBorder="0"/>
    <xf numFmtId="183" fontId="37" fillId="0" borderId="0" applyFill="0" applyBorder="0" applyAlignment="0"/>
    <xf numFmtId="38" fontId="38" fillId="5" borderId="0" applyNumberFormat="0" applyBorder="0" applyAlignment="0" applyProtection="0"/>
    <xf numFmtId="0" fontId="39" fillId="0" borderId="91" applyNumberFormat="0" applyAlignment="0" applyProtection="0">
      <alignment horizontal="left" vertical="center"/>
    </xf>
    <xf numFmtId="0" fontId="39" fillId="0" borderId="48">
      <alignment horizontal="left" vertical="center"/>
    </xf>
    <xf numFmtId="10" fontId="38" fillId="6" borderId="2" applyNumberFormat="0" applyBorder="0" applyAlignment="0" applyProtection="0"/>
    <xf numFmtId="38" fontId="40" fillId="0" borderId="0"/>
    <xf numFmtId="38" fontId="41" fillId="1" borderId="10"/>
    <xf numFmtId="184" fontId="42" fillId="0" borderId="0"/>
    <xf numFmtId="0" fontId="43" fillId="0" borderId="0"/>
    <xf numFmtId="0" fontId="43" fillId="0" borderId="0"/>
    <xf numFmtId="10" fontId="43" fillId="0" borderId="0" applyFont="0" applyFill="0" applyBorder="0" applyAlignment="0" applyProtection="0"/>
    <xf numFmtId="38" fontId="40" fillId="0" borderId="7"/>
    <xf numFmtId="0" fontId="44" fillId="5" borderId="0">
      <alignment horizontal="center"/>
    </xf>
    <xf numFmtId="9"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0" fontId="3" fillId="0" borderId="0"/>
    <xf numFmtId="0" fontId="3" fillId="0" borderId="0"/>
    <xf numFmtId="0" fontId="3" fillId="0" borderId="0"/>
    <xf numFmtId="0" fontId="3" fillId="0" borderId="0">
      <alignment vertical="center"/>
    </xf>
    <xf numFmtId="0" fontId="45" fillId="0" borderId="0">
      <alignment vertical="center"/>
    </xf>
    <xf numFmtId="0" fontId="45" fillId="0" borderId="0">
      <alignment vertical="center"/>
    </xf>
    <xf numFmtId="0" fontId="3" fillId="0" borderId="0" applyBorder="0"/>
    <xf numFmtId="0" fontId="54" fillId="0" borderId="0" applyFont="0" applyFill="0" applyBorder="0" applyAlignment="0" applyProtection="0"/>
    <xf numFmtId="0" fontId="40" fillId="0" borderId="0">
      <alignment horizontal="center"/>
    </xf>
    <xf numFmtId="190" fontId="40" fillId="0" borderId="0" applyFont="0" applyFill="0" applyBorder="0" applyAlignment="0"/>
    <xf numFmtId="0" fontId="54" fillId="0" borderId="0" applyFont="0" applyFill="0" applyBorder="0" applyAlignment="0" applyProtection="0"/>
    <xf numFmtId="0" fontId="55" fillId="0" borderId="0" applyFont="0" applyFill="0" applyBorder="0" applyAlignment="0" applyProtection="0"/>
    <xf numFmtId="191" fontId="56" fillId="0" borderId="0" applyFont="0" applyFill="0" applyBorder="0" applyAlignment="0" applyProtection="0"/>
    <xf numFmtId="1" fontId="57" fillId="0" borderId="0"/>
    <xf numFmtId="0" fontId="54" fillId="0" borderId="0" applyFont="0" applyFill="0" applyBorder="0" applyAlignment="0" applyProtection="0"/>
    <xf numFmtId="0" fontId="43" fillId="0" borderId="0" applyFont="0" applyFill="0" applyBorder="0" applyAlignment="0" applyProtection="0"/>
    <xf numFmtId="0" fontId="58" fillId="0" borderId="0" applyNumberFormat="0" applyFill="0" applyBorder="0" applyAlignment="0" applyProtection="0">
      <alignment vertical="top"/>
      <protection locked="0"/>
    </xf>
    <xf numFmtId="0" fontId="43" fillId="0" borderId="0" applyFont="0" applyFill="0" applyBorder="0" applyAlignment="0" applyProtection="0"/>
    <xf numFmtId="1" fontId="59" fillId="0" borderId="0"/>
    <xf numFmtId="40" fontId="60" fillId="0" borderId="0" applyFont="0" applyFill="0" applyBorder="0" applyAlignment="0" applyProtection="0"/>
    <xf numFmtId="38" fontId="60" fillId="0" borderId="0" applyFont="0" applyFill="0" applyBorder="0" applyAlignment="0" applyProtection="0"/>
    <xf numFmtId="40" fontId="60" fillId="0" borderId="0" applyFont="0" applyFill="0" applyBorder="0" applyAlignment="0" applyProtection="0"/>
    <xf numFmtId="38" fontId="60" fillId="0" borderId="0" applyFont="0" applyFill="0" applyBorder="0" applyAlignment="0" applyProtection="0"/>
    <xf numFmtId="0" fontId="61" fillId="0" borderId="0"/>
    <xf numFmtId="0" fontId="62" fillId="0" borderId="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192" fontId="3" fillId="0" borderId="0" applyFont="0" applyFill="0" applyBorder="0" applyAlignment="0" applyProtection="0"/>
    <xf numFmtId="193" fontId="3" fillId="0" borderId="0" applyFont="0" applyFill="0" applyBorder="0" applyAlignment="0" applyProtection="0"/>
    <xf numFmtId="39" fontId="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194" fontId="3"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7" fontId="3"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3" fillId="0" borderId="0" applyFont="0" applyFill="0" applyBorder="0" applyAlignment="0" applyProtection="0"/>
    <xf numFmtId="0" fontId="62" fillId="0" borderId="0" applyFont="0" applyFill="0" applyBorder="0" applyAlignment="0" applyProtection="0"/>
    <xf numFmtId="0" fontId="62" fillId="0" borderId="0" applyFont="0" applyFill="0" applyBorder="0" applyAlignment="0" applyProtection="0"/>
    <xf numFmtId="0" fontId="5" fillId="0" borderId="0"/>
    <xf numFmtId="0" fontId="5" fillId="0" borderId="0"/>
    <xf numFmtId="0" fontId="5" fillId="0" borderId="0"/>
    <xf numFmtId="0" fontId="5" fillId="0" borderId="0"/>
    <xf numFmtId="0" fontId="29" fillId="0" borderId="111" applyNumberFormat="0" applyFont="0" applyFill="0" applyAlignment="0" applyProtection="0"/>
    <xf numFmtId="0" fontId="37" fillId="8"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1" borderId="0" applyNumberFormat="0" applyBorder="0" applyAlignment="0" applyProtection="0"/>
    <xf numFmtId="0" fontId="37" fillId="12" borderId="0" applyNumberFormat="0" applyBorder="0" applyAlignment="0" applyProtection="0"/>
    <xf numFmtId="0" fontId="37" fillId="13" borderId="0" applyNumberFormat="0" applyBorder="0" applyAlignment="0" applyProtection="0"/>
    <xf numFmtId="0" fontId="46" fillId="14" borderId="0" applyNumberFormat="0" applyBorder="0" applyAlignment="0" applyProtection="0">
      <alignment vertical="center"/>
    </xf>
    <xf numFmtId="0" fontId="46" fillId="13" borderId="0" applyNumberFormat="0" applyBorder="0" applyAlignment="0" applyProtection="0">
      <alignment vertical="center"/>
    </xf>
    <xf numFmtId="0" fontId="46" fillId="15" borderId="0" applyNumberFormat="0" applyBorder="0" applyAlignment="0" applyProtection="0">
      <alignment vertical="center"/>
    </xf>
    <xf numFmtId="0" fontId="46" fillId="16" borderId="0" applyNumberFormat="0" applyBorder="0" applyAlignment="0" applyProtection="0">
      <alignment vertical="center"/>
    </xf>
    <xf numFmtId="0" fontId="46" fillId="17" borderId="0" applyNumberFormat="0" applyBorder="0" applyAlignment="0" applyProtection="0">
      <alignment vertical="center"/>
    </xf>
    <xf numFmtId="0" fontId="46" fillId="18" borderId="0" applyNumberFormat="0" applyBorder="0" applyAlignment="0" applyProtection="0">
      <alignment vertical="center"/>
    </xf>
    <xf numFmtId="0" fontId="37" fillId="19" borderId="0" applyNumberFormat="0" applyBorder="0" applyAlignment="0" applyProtection="0"/>
    <xf numFmtId="0" fontId="37" fillId="9" borderId="0" applyNumberFormat="0" applyBorder="0" applyAlignment="0" applyProtection="0"/>
    <xf numFmtId="0" fontId="37" fillId="20" borderId="0" applyNumberFormat="0" applyBorder="0" applyAlignment="0" applyProtection="0"/>
    <xf numFmtId="0" fontId="37" fillId="21" borderId="0" applyNumberFormat="0" applyBorder="0" applyAlignment="0" applyProtection="0"/>
    <xf numFmtId="0" fontId="37" fillId="19" borderId="0" applyNumberFormat="0" applyBorder="0" applyAlignment="0" applyProtection="0"/>
    <xf numFmtId="0" fontId="37" fillId="18" borderId="0" applyNumberFormat="0" applyBorder="0" applyAlignment="0" applyProtection="0"/>
    <xf numFmtId="0" fontId="46" fillId="12" borderId="0" applyNumberFormat="0" applyBorder="0" applyAlignment="0" applyProtection="0">
      <alignment vertical="center"/>
    </xf>
    <xf numFmtId="0" fontId="46" fillId="9" borderId="0" applyNumberFormat="0" applyBorder="0" applyAlignment="0" applyProtection="0">
      <alignment vertical="center"/>
    </xf>
    <xf numFmtId="0" fontId="46" fillId="22" borderId="0" applyNumberFormat="0" applyBorder="0" applyAlignment="0" applyProtection="0">
      <alignment vertical="center"/>
    </xf>
    <xf numFmtId="0" fontId="46" fillId="16" borderId="0" applyNumberFormat="0" applyBorder="0" applyAlignment="0" applyProtection="0">
      <alignment vertical="center"/>
    </xf>
    <xf numFmtId="0" fontId="46" fillId="12" borderId="0" applyNumberFormat="0" applyBorder="0" applyAlignment="0" applyProtection="0">
      <alignment vertical="center"/>
    </xf>
    <xf numFmtId="0" fontId="46" fillId="23" borderId="0" applyNumberFormat="0" applyBorder="0" applyAlignment="0" applyProtection="0">
      <alignment vertical="center"/>
    </xf>
    <xf numFmtId="198" fontId="64" fillId="0" borderId="0">
      <alignment horizontal="center"/>
    </xf>
    <xf numFmtId="0" fontId="65" fillId="19" borderId="0" applyNumberFormat="0" applyBorder="0" applyAlignment="0" applyProtection="0"/>
    <xf numFmtId="0" fontId="65" fillId="9" borderId="0" applyNumberFormat="0" applyBorder="0" applyAlignment="0" applyProtection="0"/>
    <xf numFmtId="0" fontId="65" fillId="20" borderId="0" applyNumberFormat="0" applyBorder="0" applyAlignment="0" applyProtection="0"/>
    <xf numFmtId="0" fontId="65" fillId="21" borderId="0" applyNumberFormat="0" applyBorder="0" applyAlignment="0" applyProtection="0"/>
    <xf numFmtId="0" fontId="65" fillId="19" borderId="0" applyNumberFormat="0" applyBorder="0" applyAlignment="0" applyProtection="0"/>
    <xf numFmtId="0" fontId="65" fillId="18" borderId="0" applyNumberFormat="0" applyBorder="0" applyAlignment="0" applyProtection="0"/>
    <xf numFmtId="0" fontId="66" fillId="24" borderId="0" applyNumberFormat="0" applyBorder="0" applyAlignment="0" applyProtection="0">
      <alignment vertical="center"/>
    </xf>
    <xf numFmtId="0" fontId="66" fillId="9" borderId="0" applyNumberFormat="0" applyBorder="0" applyAlignment="0" applyProtection="0">
      <alignment vertical="center"/>
    </xf>
    <xf numFmtId="0" fontId="66" fillId="22" borderId="0" applyNumberFormat="0" applyBorder="0" applyAlignment="0" applyProtection="0">
      <alignment vertical="center"/>
    </xf>
    <xf numFmtId="0" fontId="66" fillId="25" borderId="0" applyNumberFormat="0" applyBorder="0" applyAlignment="0" applyProtection="0">
      <alignment vertical="center"/>
    </xf>
    <xf numFmtId="0" fontId="66" fillId="26" borderId="0" applyNumberFormat="0" applyBorder="0" applyAlignment="0" applyProtection="0">
      <alignment vertical="center"/>
    </xf>
    <xf numFmtId="0" fontId="66" fillId="27" borderId="0" applyNumberFormat="0" applyBorder="0" applyAlignment="0" applyProtection="0">
      <alignment vertical="center"/>
    </xf>
    <xf numFmtId="14" fontId="67" fillId="0" borderId="0"/>
    <xf numFmtId="0" fontId="68" fillId="28"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68" fillId="31" borderId="0" applyNumberFormat="0" applyBorder="0" applyAlignment="0" applyProtection="0"/>
    <xf numFmtId="0" fontId="68" fillId="32" borderId="0" applyNumberFormat="0" applyBorder="0" applyAlignment="0" applyProtection="0"/>
    <xf numFmtId="0" fontId="69" fillId="33" borderId="0" applyNumberFormat="0" applyBorder="0" applyAlignment="0" applyProtection="0"/>
    <xf numFmtId="0" fontId="69" fillId="34" borderId="0" applyNumberFormat="0" applyBorder="0" applyAlignment="0" applyProtection="0"/>
    <xf numFmtId="0" fontId="68" fillId="35" borderId="0" applyNumberFormat="0" applyBorder="0" applyAlignment="0" applyProtection="0"/>
    <xf numFmtId="0" fontId="68" fillId="35" borderId="0" applyNumberFormat="0" applyBorder="0" applyAlignment="0" applyProtection="0"/>
    <xf numFmtId="0" fontId="69" fillId="36" borderId="0" applyNumberFormat="0" applyBorder="0" applyAlignment="0" applyProtection="0"/>
    <xf numFmtId="0" fontId="69" fillId="37" borderId="0" applyNumberFormat="0" applyBorder="0" applyAlignment="0" applyProtection="0"/>
    <xf numFmtId="0" fontId="68" fillId="38" borderId="0" applyNumberFormat="0" applyBorder="0" applyAlignment="0" applyProtection="0"/>
    <xf numFmtId="0" fontId="68" fillId="39" borderId="0" applyNumberFormat="0" applyBorder="0" applyAlignment="0" applyProtection="0"/>
    <xf numFmtId="0" fontId="69" fillId="37" borderId="0" applyNumberFormat="0" applyBorder="0" applyAlignment="0" applyProtection="0"/>
    <xf numFmtId="0" fontId="69" fillId="38" borderId="0" applyNumberFormat="0" applyBorder="0" applyAlignment="0" applyProtection="0"/>
    <xf numFmtId="0" fontId="68" fillId="38" borderId="0" applyNumberFormat="0" applyBorder="0" applyAlignment="0" applyProtection="0"/>
    <xf numFmtId="0" fontId="68" fillId="40"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68" fillId="30" borderId="0" applyNumberFormat="0" applyBorder="0" applyAlignment="0" applyProtection="0"/>
    <xf numFmtId="0" fontId="68" fillId="41" borderId="0" applyNumberFormat="0" applyBorder="0" applyAlignment="0" applyProtection="0"/>
    <xf numFmtId="0" fontId="69" fillId="42" borderId="0" applyNumberFormat="0" applyBorder="0" applyAlignment="0" applyProtection="0"/>
    <xf numFmtId="0" fontId="69" fillId="34" borderId="0" applyNumberFormat="0" applyBorder="0" applyAlignment="0" applyProtection="0"/>
    <xf numFmtId="0" fontId="68" fillId="43" borderId="0" applyNumberFormat="0" applyBorder="0" applyAlignment="0" applyProtection="0"/>
    <xf numFmtId="0" fontId="70" fillId="34" borderId="0" applyNumberFormat="0" applyBorder="0" applyAlignment="0" applyProtection="0"/>
    <xf numFmtId="0" fontId="71" fillId="0" borderId="112"/>
    <xf numFmtId="0" fontId="72" fillId="44" borderId="113" applyAlignment="0">
      <alignment horizontal="center"/>
    </xf>
    <xf numFmtId="0" fontId="73" fillId="0" borderId="114"/>
    <xf numFmtId="0" fontId="74" fillId="0" borderId="115"/>
    <xf numFmtId="0" fontId="74" fillId="0" borderId="116"/>
    <xf numFmtId="199" fontId="43" fillId="0" borderId="0" applyFill="0" applyBorder="0" applyAlignment="0"/>
    <xf numFmtId="200" fontId="56" fillId="0" borderId="0" applyFill="0" applyBorder="0" applyAlignment="0"/>
    <xf numFmtId="201" fontId="56" fillId="0" borderId="0" applyFill="0" applyBorder="0" applyAlignment="0"/>
    <xf numFmtId="202" fontId="75" fillId="0" borderId="0" applyFill="0" applyBorder="0" applyAlignment="0"/>
    <xf numFmtId="203" fontId="56" fillId="0" borderId="0" applyFill="0" applyBorder="0" applyAlignment="0"/>
    <xf numFmtId="204" fontId="56" fillId="0" borderId="0" applyFill="0" applyBorder="0" applyAlignment="0"/>
    <xf numFmtId="199" fontId="43" fillId="0" borderId="0" applyFill="0" applyBorder="0" applyAlignment="0"/>
    <xf numFmtId="0" fontId="76" fillId="45" borderId="117" applyNumberFormat="0" applyAlignment="0" applyProtection="0"/>
    <xf numFmtId="0" fontId="77" fillId="35" borderId="118" applyNumberFormat="0" applyAlignment="0" applyProtection="0"/>
    <xf numFmtId="0" fontId="78" fillId="44" borderId="0" applyNumberFormat="0">
      <alignment horizontal="center"/>
    </xf>
    <xf numFmtId="205" fontId="64" fillId="0" borderId="0"/>
    <xf numFmtId="205" fontId="64" fillId="0" borderId="0"/>
    <xf numFmtId="205" fontId="64" fillId="0" borderId="0"/>
    <xf numFmtId="205" fontId="64" fillId="0" borderId="0"/>
    <xf numFmtId="205" fontId="64" fillId="0" borderId="0"/>
    <xf numFmtId="205" fontId="64" fillId="0" borderId="0"/>
    <xf numFmtId="205" fontId="64" fillId="0" borderId="0"/>
    <xf numFmtId="205" fontId="64" fillId="0" borderId="0"/>
    <xf numFmtId="37" fontId="43" fillId="0" borderId="0" applyFont="0" applyFill="0" applyBorder="0" applyAlignment="0" applyProtection="0"/>
    <xf numFmtId="192" fontId="40" fillId="0" borderId="0" applyFont="0" applyFill="0" applyBorder="0" applyAlignment="0" applyProtection="0"/>
    <xf numFmtId="206" fontId="3" fillId="0" borderId="0" applyFont="0" applyFill="0" applyBorder="0" applyAlignment="0" applyProtection="0"/>
    <xf numFmtId="203" fontId="56" fillId="0" borderId="0" applyFont="0" applyFill="0" applyBorder="0" applyAlignment="0" applyProtection="0"/>
    <xf numFmtId="192" fontId="75" fillId="0" borderId="0" applyFont="0" applyFill="0" applyBorder="0" applyAlignment="0" applyProtection="0"/>
    <xf numFmtId="40" fontId="79" fillId="0" borderId="0" applyFont="0" applyFill="0" applyBorder="0" applyAlignment="0" applyProtection="0"/>
    <xf numFmtId="0" fontId="80" fillId="0" borderId="0"/>
    <xf numFmtId="0" fontId="81" fillId="0" borderId="0"/>
    <xf numFmtId="0" fontId="80" fillId="0" borderId="0"/>
    <xf numFmtId="0" fontId="81" fillId="0" borderId="0"/>
    <xf numFmtId="207" fontId="72" fillId="0" borderId="119">
      <alignment horizontal="center"/>
      <protection locked="0" hidden="1"/>
    </xf>
    <xf numFmtId="207" fontId="72" fillId="0" borderId="120">
      <alignment horizontal="center"/>
      <protection locked="0"/>
    </xf>
    <xf numFmtId="207" fontId="82" fillId="0" borderId="112">
      <protection hidden="1"/>
    </xf>
    <xf numFmtId="207" fontId="83" fillId="0" borderId="112"/>
    <xf numFmtId="207" fontId="72" fillId="0" borderId="112">
      <alignment horizontal="right"/>
    </xf>
    <xf numFmtId="200" fontId="56" fillId="0" borderId="0">
      <alignment horizontal="center"/>
    </xf>
    <xf numFmtId="208" fontId="40" fillId="0" borderId="0" applyFont="0" applyFill="0" applyBorder="0" applyAlignment="0" applyProtection="0"/>
    <xf numFmtId="209" fontId="40" fillId="0" borderId="0" applyFont="0" applyFill="0" applyBorder="0" applyAlignment="0" applyProtection="0"/>
    <xf numFmtId="210" fontId="43" fillId="0" borderId="0" applyFont="0" applyFill="0" applyBorder="0" applyAlignment="0" applyProtection="0"/>
    <xf numFmtId="211" fontId="43" fillId="0" borderId="0" applyFont="0" applyFill="0" applyBorder="0" applyAlignment="0" applyProtection="0"/>
    <xf numFmtId="199" fontId="43" fillId="0" borderId="0" applyFont="0" applyFill="0" applyBorder="0" applyAlignment="0" applyProtection="0"/>
    <xf numFmtId="209" fontId="75" fillId="0" borderId="0" applyFont="0" applyFill="0" applyBorder="0" applyAlignment="0" applyProtection="0"/>
    <xf numFmtId="212" fontId="43" fillId="0" borderId="0" applyFont="0" applyFill="0" applyBorder="0" applyAlignment="0" applyProtection="0"/>
    <xf numFmtId="213" fontId="82" fillId="0" borderId="112">
      <alignment horizontal="center"/>
      <protection hidden="1"/>
    </xf>
    <xf numFmtId="39" fontId="67" fillId="0" borderId="0">
      <alignment horizontal="right"/>
    </xf>
    <xf numFmtId="14" fontId="72" fillId="0" borderId="120">
      <alignment horizontal="center"/>
    </xf>
    <xf numFmtId="14" fontId="40" fillId="0" borderId="0" applyFont="0" applyFill="0" applyBorder="0" applyAlignment="0" applyProtection="0"/>
    <xf numFmtId="14" fontId="75" fillId="0" borderId="0" applyFont="0" applyFill="0" applyBorder="0" applyAlignment="0" applyProtection="0"/>
    <xf numFmtId="214" fontId="84" fillId="0" borderId="0" applyFill="0" applyProtection="0">
      <alignment vertical="center"/>
    </xf>
    <xf numFmtId="215" fontId="85" fillId="0" borderId="0" applyFont="0" applyFill="0" applyBorder="0" applyAlignment="0" applyProtection="0"/>
    <xf numFmtId="0" fontId="86" fillId="46" borderId="0" applyNumberFormat="0" applyBorder="0" applyAlignment="0" applyProtection="0"/>
    <xf numFmtId="0" fontId="86" fillId="47" borderId="0" applyNumberFormat="0" applyBorder="0" applyAlignment="0" applyProtection="0"/>
    <xf numFmtId="0" fontId="86" fillId="48" borderId="0" applyNumberFormat="0" applyBorder="0" applyAlignment="0" applyProtection="0"/>
    <xf numFmtId="0" fontId="87" fillId="0" borderId="0">
      <alignment horizontal="left"/>
    </xf>
    <xf numFmtId="0" fontId="43" fillId="0" borderId="121" applyNumberFormat="0" applyFont="0" applyFill="0" applyBorder="0" applyAlignment="0" applyProtection="0"/>
    <xf numFmtId="0" fontId="88" fillId="0" borderId="0" applyNumberFormat="0" applyFill="0" applyBorder="0" applyAlignment="0" applyProtection="0"/>
    <xf numFmtId="176" fontId="67" fillId="0" borderId="0" applyBorder="0"/>
    <xf numFmtId="0" fontId="89" fillId="49" borderId="0" applyNumberFormat="0" applyBorder="0" applyAlignment="0" applyProtection="0"/>
    <xf numFmtId="0" fontId="90" fillId="0" borderId="0">
      <alignment horizontal="left" indent="2"/>
    </xf>
    <xf numFmtId="0" fontId="91" fillId="0" borderId="0" applyNumberFormat="0" applyFill="0" applyBorder="0" applyAlignment="0" applyProtection="0">
      <alignment horizontal="left"/>
    </xf>
    <xf numFmtId="0" fontId="92" fillId="0" borderId="0" applyNumberFormat="0" applyFill="0" applyBorder="0" applyAlignment="0" applyProtection="0">
      <alignment horizontal="left"/>
    </xf>
    <xf numFmtId="0" fontId="92" fillId="0" borderId="0" applyNumberFormat="0" applyFill="0" applyBorder="0" applyAlignment="0" applyProtection="0">
      <alignment horizontal="left"/>
    </xf>
    <xf numFmtId="0" fontId="93" fillId="0" borderId="0" applyNumberFormat="0" applyFill="0" applyBorder="0" applyAlignment="0" applyProtection="0">
      <alignment horizontal="left"/>
    </xf>
    <xf numFmtId="0" fontId="93" fillId="0" borderId="0" applyNumberFormat="0" applyFill="0" applyAlignment="0" applyProtection="0">
      <alignment horizontal="left"/>
    </xf>
    <xf numFmtId="0" fontId="93" fillId="0" borderId="0" applyNumberFormat="0" applyFill="0" applyBorder="0" applyAlignment="0" applyProtection="0">
      <alignment horizontal="left"/>
    </xf>
    <xf numFmtId="0" fontId="93" fillId="0" borderId="0" applyNumberFormat="0" applyFill="0" applyBorder="0" applyAlignment="0" applyProtection="0">
      <alignment horizontal="left"/>
    </xf>
    <xf numFmtId="0" fontId="94" fillId="0" borderId="0" applyNumberFormat="0" applyFill="0" applyBorder="0" applyAlignment="0" applyProtection="0">
      <alignment horizontal="left"/>
    </xf>
    <xf numFmtId="0" fontId="94" fillId="0" borderId="0" applyNumberFormat="0" applyFill="0" applyBorder="0" applyAlignment="0" applyProtection="0">
      <alignment horizontal="left"/>
    </xf>
    <xf numFmtId="0" fontId="95" fillId="0" borderId="0">
      <alignment horizontal="center"/>
    </xf>
    <xf numFmtId="0" fontId="96" fillId="0" borderId="122" applyNumberFormat="0" applyFill="0" applyAlignment="0" applyProtection="0"/>
    <xf numFmtId="0" fontId="97" fillId="0" borderId="123" applyNumberFormat="0" applyFill="0" applyAlignment="0" applyProtection="0"/>
    <xf numFmtId="0" fontId="98" fillId="0" borderId="124" applyNumberFormat="0" applyFill="0" applyAlignment="0" applyProtection="0"/>
    <xf numFmtId="0" fontId="98" fillId="0" borderId="0" applyNumberFormat="0" applyFill="0" applyBorder="0" applyAlignment="0" applyProtection="0"/>
    <xf numFmtId="0" fontId="43" fillId="44" borderId="63" applyNumberFormat="0" applyFont="0" applyBorder="0" applyAlignment="0" applyProtection="0"/>
    <xf numFmtId="37" fontId="67" fillId="0" borderId="0" applyBorder="0"/>
    <xf numFmtId="0" fontId="99" fillId="43" borderId="117" applyNumberFormat="0" applyAlignment="0" applyProtection="0"/>
    <xf numFmtId="0" fontId="43" fillId="0" borderId="119"/>
    <xf numFmtId="0" fontId="100" fillId="0" borderId="125" applyNumberFormat="0" applyFill="0" applyAlignment="0" applyProtection="0"/>
    <xf numFmtId="216" fontId="67" fillId="0" borderId="0"/>
    <xf numFmtId="217" fontId="101" fillId="0" borderId="0" applyFont="0" applyFill="0" applyBorder="0" applyAlignment="0" applyProtection="0"/>
    <xf numFmtId="218" fontId="101" fillId="0" borderId="0" applyFont="0" applyFill="0" applyBorder="0" applyAlignment="0" applyProtection="0"/>
    <xf numFmtId="219" fontId="75" fillId="0" borderId="0" applyFont="0" applyFill="0" applyBorder="0" applyAlignment="0" applyProtection="0"/>
    <xf numFmtId="0" fontId="102" fillId="43" borderId="0" applyNumberFormat="0" applyBorder="0" applyAlignment="0" applyProtection="0"/>
    <xf numFmtId="0" fontId="82" fillId="44" borderId="126"/>
    <xf numFmtId="17" fontId="82" fillId="0" borderId="120">
      <alignment horizontal="center"/>
    </xf>
    <xf numFmtId="0" fontId="74" fillId="0" borderId="120"/>
    <xf numFmtId="3" fontId="72" fillId="0" borderId="127">
      <protection locked="0"/>
    </xf>
    <xf numFmtId="9" fontId="72" fillId="0" borderId="127"/>
    <xf numFmtId="0" fontId="43" fillId="42" borderId="128" applyNumberFormat="0" applyFont="0" applyAlignment="0" applyProtection="0"/>
    <xf numFmtId="3" fontId="103" fillId="0" borderId="129"/>
    <xf numFmtId="3" fontId="3" fillId="0" borderId="11"/>
    <xf numFmtId="0" fontId="3" fillId="0" borderId="2"/>
    <xf numFmtId="0" fontId="43" fillId="0" borderId="121" applyNumberFormat="0" applyFont="0" applyFill="0" applyBorder="0" applyAlignment="0" applyProtection="0"/>
    <xf numFmtId="0" fontId="73" fillId="0" borderId="130">
      <alignment horizontal="left" wrapText="1"/>
    </xf>
    <xf numFmtId="0" fontId="104" fillId="45" borderId="131" applyNumberFormat="0" applyAlignment="0" applyProtection="0"/>
    <xf numFmtId="0" fontId="43" fillId="0" borderId="132" applyNumberFormat="0" applyFont="0" applyFill="0" applyBorder="0" applyAlignment="0" applyProtection="0"/>
    <xf numFmtId="0" fontId="43" fillId="0" borderId="133" applyNumberFormat="0" applyFont="0" applyFill="0" applyAlignment="0" applyProtection="0"/>
    <xf numFmtId="220" fontId="67" fillId="0" borderId="95" applyBorder="0"/>
    <xf numFmtId="176" fontId="40" fillId="0" borderId="0" applyFont="0" applyFill="0" applyBorder="0" applyAlignment="0" applyProtection="0"/>
    <xf numFmtId="10" fontId="40" fillId="0" borderId="0" applyFont="0" applyFill="0" applyBorder="0" applyAlignment="0" applyProtection="0"/>
    <xf numFmtId="9" fontId="75" fillId="0" borderId="0" applyFont="0" applyFill="0" applyBorder="0" applyAlignment="0" applyProtection="0"/>
    <xf numFmtId="176" fontId="75" fillId="0" borderId="0" applyFont="0" applyFill="0" applyBorder="0" applyAlignment="0" applyProtection="0"/>
    <xf numFmtId="9" fontId="82" fillId="0" borderId="112">
      <alignment horizontal="center"/>
    </xf>
    <xf numFmtId="10" fontId="105" fillId="0" borderId="0" applyFont="0" applyFill="0" applyBorder="0" applyAlignment="0" applyProtection="0"/>
    <xf numFmtId="9" fontId="82" fillId="0" borderId="112">
      <alignment horizontal="right"/>
    </xf>
    <xf numFmtId="4" fontId="87" fillId="0" borderId="0">
      <alignment horizontal="right"/>
    </xf>
    <xf numFmtId="0" fontId="79" fillId="0" borderId="0" applyNumberFormat="0" applyFont="0" applyFill="0" applyBorder="0" applyAlignment="0" applyProtection="0">
      <alignment horizontal="left"/>
    </xf>
    <xf numFmtId="15" fontId="79" fillId="0" borderId="0" applyFont="0" applyFill="0" applyBorder="0" applyAlignment="0" applyProtection="0"/>
    <xf numFmtId="4" fontId="79" fillId="0" borderId="0" applyFont="0" applyFill="0" applyBorder="0" applyAlignment="0" applyProtection="0"/>
    <xf numFmtId="0" fontId="106" fillId="0" borderId="95">
      <alignment horizontal="center"/>
    </xf>
    <xf numFmtId="3" fontId="79" fillId="0" borderId="0" applyFont="0" applyFill="0" applyBorder="0" applyAlignment="0" applyProtection="0"/>
    <xf numFmtId="0" fontId="79" fillId="50" borderId="0" applyNumberFormat="0" applyFont="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 fontId="107" fillId="0" borderId="0">
      <alignment horizontal="right"/>
    </xf>
    <xf numFmtId="4" fontId="108" fillId="51" borderId="134" applyNumberFormat="0" applyProtection="0">
      <alignment vertical="center"/>
    </xf>
    <xf numFmtId="4" fontId="109" fillId="51" borderId="134" applyNumberFormat="0" applyProtection="0">
      <alignment vertical="center"/>
    </xf>
    <xf numFmtId="4" fontId="108" fillId="51" borderId="134" applyNumberFormat="0" applyProtection="0">
      <alignment horizontal="left" vertical="center" indent="1"/>
    </xf>
    <xf numFmtId="0" fontId="108" fillId="51" borderId="134" applyNumberFormat="0" applyProtection="0">
      <alignment horizontal="left" vertical="top" indent="1"/>
    </xf>
    <xf numFmtId="4" fontId="108" fillId="8" borderId="0" applyNumberFormat="0" applyProtection="0">
      <alignment horizontal="left" vertical="center" indent="1"/>
    </xf>
    <xf numFmtId="4" fontId="37" fillId="13" borderId="134" applyNumberFormat="0" applyProtection="0">
      <alignment horizontal="right" vertical="center"/>
    </xf>
    <xf numFmtId="4" fontId="37" fillId="9" borderId="134" applyNumberFormat="0" applyProtection="0">
      <alignment horizontal="right" vertical="center"/>
    </xf>
    <xf numFmtId="4" fontId="37" fillId="52" borderId="134" applyNumberFormat="0" applyProtection="0">
      <alignment horizontal="right" vertical="center"/>
    </xf>
    <xf numFmtId="4" fontId="37" fillId="23" borderId="134" applyNumberFormat="0" applyProtection="0">
      <alignment horizontal="right" vertical="center"/>
    </xf>
    <xf numFmtId="4" fontId="37" fillId="27" borderId="134" applyNumberFormat="0" applyProtection="0">
      <alignment horizontal="right" vertical="center"/>
    </xf>
    <xf numFmtId="4" fontId="37" fillId="53" borderId="134" applyNumberFormat="0" applyProtection="0">
      <alignment horizontal="right" vertical="center"/>
    </xf>
    <xf numFmtId="4" fontId="37" fillId="20" borderId="134" applyNumberFormat="0" applyProtection="0">
      <alignment horizontal="right" vertical="center"/>
    </xf>
    <xf numFmtId="4" fontId="37" fillId="54" borderId="134" applyNumberFormat="0" applyProtection="0">
      <alignment horizontal="right" vertical="center"/>
    </xf>
    <xf numFmtId="4" fontId="37" fillId="22" borderId="134" applyNumberFormat="0" applyProtection="0">
      <alignment horizontal="right" vertical="center"/>
    </xf>
    <xf numFmtId="4" fontId="108" fillId="55" borderId="135" applyNumberFormat="0" applyProtection="0">
      <alignment horizontal="left" vertical="center" indent="1"/>
    </xf>
    <xf numFmtId="4" fontId="37" fillId="56" borderId="0" applyNumberFormat="0" applyProtection="0">
      <alignment horizontal="left" vertical="center" indent="1"/>
    </xf>
    <xf numFmtId="4" fontId="110" fillId="19" borderId="0" applyNumberFormat="0" applyProtection="0">
      <alignment horizontal="left" vertical="center" indent="1"/>
    </xf>
    <xf numFmtId="4" fontId="37" fillId="8" borderId="134" applyNumberFormat="0" applyProtection="0">
      <alignment horizontal="right" vertical="center"/>
    </xf>
    <xf numFmtId="4" fontId="37" fillId="56" borderId="0" applyNumberFormat="0" applyProtection="0">
      <alignment horizontal="left" vertical="center" indent="1"/>
    </xf>
    <xf numFmtId="4" fontId="37" fillId="8" borderId="0" applyNumberFormat="0" applyProtection="0">
      <alignment horizontal="left" vertical="center" indent="1"/>
    </xf>
    <xf numFmtId="0" fontId="43" fillId="19" borderId="134" applyNumberFormat="0" applyProtection="0">
      <alignment horizontal="left" vertical="center" indent="1"/>
    </xf>
    <xf numFmtId="0" fontId="43" fillId="19" borderId="134" applyNumberFormat="0" applyProtection="0">
      <alignment horizontal="left" vertical="top" indent="1"/>
    </xf>
    <xf numFmtId="0" fontId="43" fillId="8" borderId="134" applyNumberFormat="0" applyProtection="0">
      <alignment horizontal="left" vertical="center" indent="1"/>
    </xf>
    <xf numFmtId="0" fontId="43" fillId="8" borderId="134" applyNumberFormat="0" applyProtection="0">
      <alignment horizontal="left" vertical="top" indent="1"/>
    </xf>
    <xf numFmtId="0" fontId="43" fillId="12" borderId="134" applyNumberFormat="0" applyProtection="0">
      <alignment horizontal="left" vertical="center" indent="1"/>
    </xf>
    <xf numFmtId="0" fontId="43" fillId="12" borderId="134" applyNumberFormat="0" applyProtection="0">
      <alignment horizontal="left" vertical="top" indent="1"/>
    </xf>
    <xf numFmtId="0" fontId="43" fillId="56" borderId="134" applyNumberFormat="0" applyProtection="0">
      <alignment horizontal="left" vertical="center" indent="1"/>
    </xf>
    <xf numFmtId="0" fontId="43" fillId="56" borderId="134" applyNumberFormat="0" applyProtection="0">
      <alignment horizontal="left" vertical="top" indent="1"/>
    </xf>
    <xf numFmtId="0" fontId="43" fillId="11" borderId="2" applyNumberFormat="0">
      <protection locked="0"/>
    </xf>
    <xf numFmtId="4" fontId="37" fillId="10" borderId="134" applyNumberFormat="0" applyProtection="0">
      <alignment vertical="center"/>
    </xf>
    <xf numFmtId="4" fontId="111" fillId="10" borderId="134" applyNumberFormat="0" applyProtection="0">
      <alignment vertical="center"/>
    </xf>
    <xf numFmtId="4" fontId="37" fillId="10" borderId="134" applyNumberFormat="0" applyProtection="0">
      <alignment horizontal="left" vertical="center" indent="1"/>
    </xf>
    <xf numFmtId="0" fontId="37" fillId="10" borderId="134" applyNumberFormat="0" applyProtection="0">
      <alignment horizontal="left" vertical="top" indent="1"/>
    </xf>
    <xf numFmtId="4" fontId="37" fillId="56" borderId="134" applyNumberFormat="0" applyProtection="0">
      <alignment horizontal="right" vertical="center"/>
    </xf>
    <xf numFmtId="4" fontId="111" fillId="56" borderId="134" applyNumberFormat="0" applyProtection="0">
      <alignment horizontal="right" vertical="center"/>
    </xf>
    <xf numFmtId="4" fontId="37" fillId="8" borderId="134" applyNumberFormat="0" applyProtection="0">
      <alignment horizontal="left" vertical="center" indent="1"/>
    </xf>
    <xf numFmtId="0" fontId="37" fillId="8" borderId="134" applyNumberFormat="0" applyProtection="0">
      <alignment horizontal="left" vertical="top" indent="1"/>
    </xf>
    <xf numFmtId="4" fontId="112" fillId="57" borderId="0" applyNumberFormat="0" applyProtection="0">
      <alignment horizontal="left" vertical="center" indent="1"/>
    </xf>
    <xf numFmtId="4" fontId="113" fillId="56" borderId="134" applyNumberFormat="0" applyProtection="0">
      <alignment horizontal="right" vertical="center"/>
    </xf>
    <xf numFmtId="0" fontId="114" fillId="0" borderId="0">
      <alignment horizontal="left"/>
    </xf>
    <xf numFmtId="0" fontId="115" fillId="0" borderId="0" applyNumberFormat="0" applyFill="0" applyBorder="0" applyAlignment="0" applyProtection="0"/>
    <xf numFmtId="0" fontId="43" fillId="44" borderId="0" applyNumberFormat="0" applyBorder="0" applyProtection="0">
      <alignment horizontal="center"/>
    </xf>
    <xf numFmtId="0" fontId="116" fillId="0" borderId="0"/>
    <xf numFmtId="0" fontId="117" fillId="0" borderId="0">
      <alignment horizontal="left"/>
    </xf>
    <xf numFmtId="38" fontId="40" fillId="0" borderId="136"/>
    <xf numFmtId="38" fontId="40" fillId="0" borderId="136"/>
    <xf numFmtId="49" fontId="67" fillId="0" borderId="0"/>
    <xf numFmtId="18" fontId="67" fillId="0" borderId="0" applyFill="0" applyProtection="0">
      <alignment horizontal="center"/>
    </xf>
    <xf numFmtId="40" fontId="118" fillId="0" borderId="0"/>
    <xf numFmtId="0" fontId="119" fillId="0" borderId="0">
      <alignment horizontal="center"/>
    </xf>
    <xf numFmtId="0" fontId="120" fillId="0" borderId="0">
      <alignment horizontal="center"/>
    </xf>
    <xf numFmtId="0" fontId="90" fillId="0" borderId="0">
      <alignment horizontal="center"/>
    </xf>
    <xf numFmtId="213" fontId="82" fillId="0" borderId="112"/>
    <xf numFmtId="0" fontId="86" fillId="0" borderId="137" applyNumberFormat="0" applyFill="0" applyAlignment="0" applyProtection="0"/>
    <xf numFmtId="0" fontId="121" fillId="0" borderId="0" applyNumberFormat="0" applyFill="0" applyBorder="0" applyAlignment="0" applyProtection="0">
      <alignment horizontal="left"/>
    </xf>
    <xf numFmtId="0" fontId="122" fillId="0" borderId="0" applyNumberFormat="0" applyFill="0" applyBorder="0" applyAlignment="0" applyProtection="0">
      <alignment horizontal="left"/>
    </xf>
    <xf numFmtId="0" fontId="123" fillId="0" borderId="0" applyNumberFormat="0" applyFill="0" applyBorder="0" applyAlignment="0" applyProtection="0">
      <alignment horizontal="left"/>
    </xf>
    <xf numFmtId="0" fontId="124" fillId="0" borderId="0" applyNumberFormat="0" applyFill="0" applyBorder="0" applyAlignment="0" applyProtection="0">
      <alignment horizontal="left"/>
    </xf>
    <xf numFmtId="0" fontId="125" fillId="0" borderId="0" applyNumberFormat="0" applyFill="0" applyBorder="0" applyAlignment="0" applyProtection="0">
      <alignment horizontal="left"/>
    </xf>
    <xf numFmtId="0" fontId="124" fillId="0" borderId="7" applyNumberFormat="0" applyFill="0" applyBorder="0" applyAlignment="0" applyProtection="0">
      <alignment horizontal="left"/>
    </xf>
    <xf numFmtId="0" fontId="124" fillId="0" borderId="7" applyNumberFormat="0" applyFill="0" applyBorder="0" applyAlignment="0" applyProtection="0">
      <alignment horizontal="left"/>
    </xf>
    <xf numFmtId="0" fontId="124" fillId="0" borderId="7" applyNumberFormat="0" applyFill="0" applyBorder="0" applyAlignment="0" applyProtection="0">
      <alignment horizontal="left"/>
    </xf>
    <xf numFmtId="0" fontId="125" fillId="0" borderId="7" applyNumberFormat="0" applyFill="0" applyBorder="0" applyAlignment="0" applyProtection="0">
      <alignment horizontal="left"/>
    </xf>
    <xf numFmtId="0" fontId="125" fillId="0" borderId="7" applyNumberFormat="0" applyFill="0" applyBorder="0" applyAlignment="0" applyProtection="0">
      <alignment horizontal="left"/>
    </xf>
    <xf numFmtId="0" fontId="125" fillId="0" borderId="7" applyNumberFormat="0" applyFill="0" applyBorder="0" applyAlignment="0" applyProtection="0">
      <alignment horizontal="left"/>
    </xf>
    <xf numFmtId="0" fontId="126" fillId="0" borderId="0">
      <alignment horizontal="left"/>
    </xf>
    <xf numFmtId="0" fontId="67" fillId="0" borderId="0" applyNumberFormat="0" applyFill="0" applyBorder="0" applyAlignment="0" applyProtection="0">
      <alignment horizontal="left"/>
    </xf>
    <xf numFmtId="213" fontId="127" fillId="0" borderId="112"/>
    <xf numFmtId="37" fontId="82" fillId="0" borderId="112"/>
    <xf numFmtId="0" fontId="43" fillId="44" borderId="0" applyNumberFormat="0" applyFont="0" applyBorder="0" applyAlignment="0" applyProtection="0"/>
    <xf numFmtId="0" fontId="43" fillId="0" borderId="95" applyNumberFormat="0" applyFont="0" applyFill="0" applyAlignment="0" applyProtection="0"/>
    <xf numFmtId="0" fontId="128" fillId="0" borderId="0" applyNumberFormat="0" applyFill="0" applyBorder="0" applyAlignment="0" applyProtection="0"/>
    <xf numFmtId="0" fontId="66" fillId="58" borderId="0" applyNumberFormat="0" applyBorder="0" applyAlignment="0" applyProtection="0">
      <alignment vertical="center"/>
    </xf>
    <xf numFmtId="0" fontId="66" fillId="52" borderId="0" applyNumberFormat="0" applyBorder="0" applyAlignment="0" applyProtection="0">
      <alignment vertical="center"/>
    </xf>
    <xf numFmtId="0" fontId="66" fillId="20" borderId="0" applyNumberFormat="0" applyBorder="0" applyAlignment="0" applyProtection="0">
      <alignment vertical="center"/>
    </xf>
    <xf numFmtId="0" fontId="66" fillId="25" borderId="0" applyNumberFormat="0" applyBorder="0" applyAlignment="0" applyProtection="0">
      <alignment vertical="center"/>
    </xf>
    <xf numFmtId="0" fontId="66" fillId="26" borderId="0" applyNumberFormat="0" applyBorder="0" applyAlignment="0" applyProtection="0">
      <alignment vertical="center"/>
    </xf>
    <xf numFmtId="0" fontId="66" fillId="53" borderId="0" applyNumberFormat="0" applyBorder="0" applyAlignment="0" applyProtection="0">
      <alignment vertical="center"/>
    </xf>
    <xf numFmtId="0" fontId="54" fillId="0" borderId="0" applyFont="0" applyFill="0" applyBorder="0" applyAlignment="0" applyProtection="0"/>
    <xf numFmtId="0" fontId="54" fillId="0" borderId="0" applyFont="0" applyFill="0" applyBorder="0" applyAlignment="0" applyProtection="0"/>
    <xf numFmtId="0" fontId="129" fillId="0" borderId="0" applyNumberFormat="0" applyFill="0" applyBorder="0" applyAlignment="0" applyProtection="0">
      <alignment vertical="center"/>
    </xf>
    <xf numFmtId="0" fontId="130" fillId="59" borderId="118" applyNumberFormat="0" applyAlignment="0" applyProtection="0">
      <alignment vertical="center"/>
    </xf>
    <xf numFmtId="0" fontId="131" fillId="51" borderId="0" applyNumberFormat="0" applyBorder="0" applyAlignment="0" applyProtection="0">
      <alignment vertical="center"/>
    </xf>
    <xf numFmtId="9" fontId="46" fillId="0" borderId="0" applyFont="0" applyFill="0" applyBorder="0" applyAlignment="0" applyProtection="0">
      <alignment vertical="center"/>
    </xf>
    <xf numFmtId="9" fontId="3" fillId="0" borderId="0" applyFont="0" applyFill="0" applyBorder="0" applyAlignment="0" applyProtection="0"/>
    <xf numFmtId="9" fontId="2" fillId="0" borderId="0" applyFont="0" applyFill="0" applyBorder="0" applyAlignment="0" applyProtection="0">
      <alignment vertical="center"/>
    </xf>
    <xf numFmtId="0" fontId="3" fillId="10" borderId="128" applyNumberFormat="0" applyFont="0" applyAlignment="0" applyProtection="0">
      <alignment vertical="center"/>
    </xf>
    <xf numFmtId="0" fontId="3" fillId="10" borderId="128" applyNumberFormat="0" applyFont="0" applyAlignment="0" applyProtection="0">
      <alignment vertical="center"/>
    </xf>
    <xf numFmtId="0" fontId="3" fillId="10" borderId="128" applyNumberFormat="0" applyFont="0" applyAlignment="0" applyProtection="0">
      <alignment vertical="center"/>
    </xf>
    <xf numFmtId="0" fontId="132" fillId="0" borderId="138" applyNumberFormat="0" applyFill="0" applyAlignment="0" applyProtection="0">
      <alignment vertical="center"/>
    </xf>
    <xf numFmtId="0" fontId="47" fillId="13" borderId="0" applyNumberFormat="0" applyBorder="0" applyAlignment="0" applyProtection="0">
      <alignment vertical="center"/>
    </xf>
    <xf numFmtId="0" fontId="63" fillId="0" borderId="0">
      <alignment vertical="center"/>
    </xf>
    <xf numFmtId="0" fontId="133" fillId="21" borderId="117" applyNumberFormat="0" applyAlignment="0" applyProtection="0">
      <alignment vertical="center"/>
    </xf>
    <xf numFmtId="0" fontId="133" fillId="21" borderId="117" applyNumberFormat="0" applyAlignment="0" applyProtection="0">
      <alignment vertical="center"/>
    </xf>
    <xf numFmtId="0" fontId="133" fillId="21" borderId="117" applyNumberFormat="0" applyAlignment="0" applyProtection="0">
      <alignment vertical="center"/>
    </xf>
    <xf numFmtId="0" fontId="134" fillId="0" borderId="0" applyNumberFormat="0" applyFill="0" applyBorder="0" applyAlignment="0" applyProtection="0">
      <alignment vertical="center"/>
    </xf>
    <xf numFmtId="38"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alignment vertical="center"/>
    </xf>
    <xf numFmtId="38" fontId="3"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0" fontId="135" fillId="0" borderId="139" applyNumberFormat="0" applyFill="0" applyAlignment="0" applyProtection="0">
      <alignment vertical="center"/>
    </xf>
    <xf numFmtId="0" fontId="136" fillId="0" borderId="123" applyNumberFormat="0" applyFill="0" applyAlignment="0" applyProtection="0">
      <alignment vertical="center"/>
    </xf>
    <xf numFmtId="0" fontId="137" fillId="0" borderId="140" applyNumberFormat="0" applyFill="0" applyAlignment="0" applyProtection="0">
      <alignment vertical="center"/>
    </xf>
    <xf numFmtId="0" fontId="137" fillId="0" borderId="0" applyNumberFormat="0" applyFill="0" applyBorder="0" applyAlignment="0" applyProtection="0">
      <alignment vertical="center"/>
    </xf>
    <xf numFmtId="0" fontId="29" fillId="11" borderId="0"/>
    <xf numFmtId="0" fontId="138" fillId="0" borderId="141" applyNumberFormat="0" applyFill="0" applyAlignment="0" applyProtection="0">
      <alignment vertical="center"/>
    </xf>
    <xf numFmtId="0" fontId="138" fillId="0" borderId="141" applyNumberFormat="0" applyFill="0" applyAlignment="0" applyProtection="0">
      <alignment vertical="center"/>
    </xf>
    <xf numFmtId="0" fontId="138" fillId="0" borderId="141" applyNumberFormat="0" applyFill="0" applyAlignment="0" applyProtection="0">
      <alignment vertical="center"/>
    </xf>
    <xf numFmtId="0" fontId="139" fillId="21" borderId="131" applyNumberFormat="0" applyAlignment="0" applyProtection="0">
      <alignment vertical="center"/>
    </xf>
    <xf numFmtId="0" fontId="139" fillId="21" borderId="131" applyNumberFormat="0" applyAlignment="0" applyProtection="0">
      <alignment vertical="center"/>
    </xf>
    <xf numFmtId="0" fontId="139" fillId="21" borderId="131" applyNumberFormat="0" applyAlignment="0" applyProtection="0">
      <alignment vertical="center"/>
    </xf>
    <xf numFmtId="0" fontId="140" fillId="0" borderId="0" applyNumberFormat="0" applyFill="0" applyBorder="0" applyAlignment="0" applyProtection="0">
      <alignment vertical="center"/>
    </xf>
    <xf numFmtId="0" fontId="61" fillId="0" borderId="0" applyFont="0" applyFill="0" applyBorder="0" applyAlignment="0" applyProtection="0"/>
    <xf numFmtId="0" fontId="61" fillId="0" borderId="0" applyFont="0" applyFill="0" applyBorder="0" applyAlignment="0" applyProtection="0"/>
    <xf numFmtId="0" fontId="141" fillId="18" borderId="117" applyNumberFormat="0" applyAlignment="0" applyProtection="0">
      <alignment vertical="center"/>
    </xf>
    <xf numFmtId="0" fontId="141" fillId="18" borderId="117" applyNumberFormat="0" applyAlignment="0" applyProtection="0">
      <alignment vertical="center"/>
    </xf>
    <xf numFmtId="0" fontId="141" fillId="18" borderId="117" applyNumberFormat="0" applyAlignment="0" applyProtection="0">
      <alignment vertical="center"/>
    </xf>
    <xf numFmtId="0" fontId="3" fillId="0" borderId="0"/>
    <xf numFmtId="0" fontId="3" fillId="0" borderId="0"/>
    <xf numFmtId="0" fontId="3" fillId="0" borderId="0"/>
    <xf numFmtId="0" fontId="3" fillId="0" borderId="0"/>
    <xf numFmtId="0" fontId="142" fillId="0" borderId="0">
      <alignment vertical="center"/>
    </xf>
    <xf numFmtId="0" fontId="3" fillId="0" borderId="0">
      <alignment vertical="center"/>
    </xf>
    <xf numFmtId="0" fontId="3" fillId="0" borderId="0"/>
    <xf numFmtId="0" fontId="3" fillId="0" borderId="0" applyBorder="0"/>
    <xf numFmtId="0" fontId="3" fillId="0" borderId="0"/>
    <xf numFmtId="0" fontId="2" fillId="0" borderId="0">
      <alignment vertical="center"/>
    </xf>
    <xf numFmtId="0" fontId="2" fillId="0" borderId="0">
      <alignment vertical="center"/>
    </xf>
    <xf numFmtId="0" fontId="2" fillId="0" borderId="0">
      <alignment vertical="center"/>
    </xf>
    <xf numFmtId="0" fontId="3" fillId="0" borderId="0" applyBorder="0"/>
    <xf numFmtId="0" fontId="3" fillId="0" borderId="0" applyBorder="0"/>
    <xf numFmtId="0" fontId="3" fillId="0" borderId="0" applyBorder="0"/>
    <xf numFmtId="0" fontId="3" fillId="0" borderId="0" applyBorder="0"/>
    <xf numFmtId="0" fontId="3" fillId="0" borderId="0"/>
    <xf numFmtId="0" fontId="3" fillId="0" borderId="0"/>
    <xf numFmtId="0" fontId="3" fillId="0" borderId="0" applyBorder="0"/>
    <xf numFmtId="0" fontId="3" fillId="0" borderId="0" applyBorder="0"/>
    <xf numFmtId="0" fontId="3" fillId="0" borderId="0">
      <alignment vertical="center"/>
    </xf>
    <xf numFmtId="0" fontId="3" fillId="0" borderId="0"/>
    <xf numFmtId="0" fontId="3" fillId="0" borderId="0" applyBorder="0"/>
    <xf numFmtId="0" fontId="3" fillId="0" borderId="0"/>
    <xf numFmtId="0" fontId="3" fillId="0" borderId="0" applyBorder="0"/>
    <xf numFmtId="0" fontId="3" fillId="0" borderId="0" applyBorder="0"/>
    <xf numFmtId="1" fontId="30" fillId="0" borderId="0"/>
    <xf numFmtId="0" fontId="5" fillId="0" borderId="0"/>
    <xf numFmtId="0" fontId="5" fillId="0" borderId="0"/>
    <xf numFmtId="0" fontId="143" fillId="15" borderId="0" applyNumberFormat="0" applyBorder="0" applyAlignment="0" applyProtection="0">
      <alignment vertical="center"/>
    </xf>
    <xf numFmtId="0" fontId="54" fillId="0" borderId="0" applyFont="0" applyFill="0" applyBorder="0" applyAlignment="0" applyProtection="0"/>
    <xf numFmtId="0" fontId="141" fillId="51" borderId="117" applyNumberFormat="0" applyAlignment="0" applyProtection="0">
      <alignment vertical="center"/>
    </xf>
    <xf numFmtId="0" fontId="141" fillId="51" borderId="117" applyNumberFormat="0" applyAlignment="0" applyProtection="0">
      <alignment vertical="center"/>
    </xf>
    <xf numFmtId="0" fontId="140"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145" fillId="0" borderId="0">
      <alignment vertical="center"/>
    </xf>
    <xf numFmtId="0" fontId="3" fillId="0" borderId="0">
      <alignment vertical="center"/>
    </xf>
    <xf numFmtId="0" fontId="66" fillId="26" borderId="0" applyNumberFormat="0" applyBorder="0" applyAlignment="0" applyProtection="0">
      <alignment vertical="center"/>
    </xf>
    <xf numFmtId="0" fontId="3" fillId="0" borderId="0">
      <alignment vertical="center"/>
    </xf>
    <xf numFmtId="0" fontId="146" fillId="0" borderId="0"/>
    <xf numFmtId="0" fontId="3" fillId="0" borderId="0" applyFill="0"/>
    <xf numFmtId="0" fontId="46" fillId="18" borderId="0" applyNumberFormat="0" applyBorder="0" applyAlignment="0" applyProtection="0">
      <alignment vertical="center"/>
    </xf>
    <xf numFmtId="0" fontId="3" fillId="0" borderId="0"/>
    <xf numFmtId="0" fontId="3" fillId="0" borderId="0"/>
    <xf numFmtId="0" fontId="3" fillId="0" borderId="0"/>
    <xf numFmtId="0" fontId="3" fillId="0" borderId="0"/>
    <xf numFmtId="0" fontId="147" fillId="0" borderId="0" applyNumberFormat="0" applyFill="0" applyBorder="0" applyAlignment="0" applyProtection="0">
      <alignment vertical="top"/>
      <protection locked="0"/>
    </xf>
    <xf numFmtId="0" fontId="63" fillId="0" borderId="0">
      <alignment vertical="center"/>
    </xf>
    <xf numFmtId="0" fontId="3" fillId="0" borderId="0">
      <alignment vertical="center"/>
    </xf>
    <xf numFmtId="0" fontId="3" fillId="0" borderId="0"/>
    <xf numFmtId="0" fontId="3" fillId="0" borderId="0"/>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5" fillId="0" borderId="0">
      <alignment vertical="center"/>
    </xf>
    <xf numFmtId="9" fontId="3" fillId="0" borderId="0" applyFont="0" applyFill="0" applyBorder="0" applyAlignment="0" applyProtection="0">
      <alignment vertical="center"/>
    </xf>
  </cellStyleXfs>
  <cellXfs count="1362">
    <xf numFmtId="0" fontId="0" fillId="0" borderId="0" xfId="0"/>
    <xf numFmtId="0" fontId="11" fillId="0" borderId="1" xfId="0" applyFont="1" applyBorder="1" applyAlignment="1">
      <alignment vertical="center"/>
    </xf>
    <xf numFmtId="0" fontId="4" fillId="0" borderId="1" xfId="0" applyFont="1" applyBorder="1" applyAlignment="1">
      <alignment vertical="center"/>
    </xf>
    <xf numFmtId="0" fontId="10" fillId="0" borderId="1" xfId="0" applyFont="1" applyBorder="1"/>
    <xf numFmtId="0" fontId="10" fillId="0" borderId="0" xfId="0" applyFont="1"/>
    <xf numFmtId="0" fontId="9" fillId="0" borderId="0" xfId="0" applyFont="1" applyAlignment="1">
      <alignment vertical="center"/>
    </xf>
    <xf numFmtId="0" fontId="4" fillId="0" borderId="0" xfId="0" applyFont="1" applyAlignment="1">
      <alignment vertical="center"/>
    </xf>
    <xf numFmtId="0" fontId="6" fillId="0" borderId="0" xfId="0" applyFont="1" applyAlignment="1">
      <alignment vertical="center"/>
    </xf>
    <xf numFmtId="0" fontId="5" fillId="2" borderId="2" xfId="0" applyFont="1" applyFill="1" applyBorder="1" applyAlignment="1">
      <alignment horizontal="center" vertical="center"/>
    </xf>
    <xf numFmtId="0" fontId="5" fillId="2" borderId="3" xfId="1" applyNumberFormat="1" applyFont="1" applyFill="1" applyBorder="1" applyAlignment="1">
      <alignment horizontal="center" vertical="center"/>
    </xf>
    <xf numFmtId="0" fontId="5" fillId="2" borderId="4" xfId="0" applyFont="1" applyFill="1" applyBorder="1" applyAlignment="1">
      <alignment horizontal="center" vertical="center"/>
    </xf>
    <xf numFmtId="0" fontId="6" fillId="0" borderId="0" xfId="0" applyFont="1" applyAlignment="1">
      <alignment horizontal="center" vertical="center"/>
    </xf>
    <xf numFmtId="0" fontId="5" fillId="2" borderId="2" xfId="1" applyNumberFormat="1" applyFont="1" applyFill="1" applyBorder="1" applyAlignment="1">
      <alignment horizontal="center" vertical="center"/>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5" fillId="0" borderId="0" xfId="0" applyFont="1" applyAlignment="1">
      <alignment horizontal="distributed" vertical="center"/>
    </xf>
    <xf numFmtId="0" fontId="5" fillId="2" borderId="5" xfId="0" applyFont="1" applyFill="1" applyBorder="1" applyAlignment="1">
      <alignment horizontal="center" vertical="center"/>
    </xf>
    <xf numFmtId="0" fontId="6" fillId="0" borderId="0" xfId="0" applyFont="1" applyBorder="1" applyAlignment="1">
      <alignment vertical="center"/>
    </xf>
    <xf numFmtId="0" fontId="6" fillId="0" borderId="0" xfId="0" applyFont="1" applyBorder="1" applyAlignment="1">
      <alignment horizontal="center" vertical="center" textRotation="255"/>
    </xf>
    <xf numFmtId="0" fontId="7" fillId="0" borderId="1" xfId="0" applyFont="1" applyBorder="1" applyAlignment="1">
      <alignment vertical="center"/>
    </xf>
    <xf numFmtId="0" fontId="7" fillId="0" borderId="0" xfId="0" applyFont="1" applyAlignment="1">
      <alignment vertical="center"/>
    </xf>
    <xf numFmtId="0" fontId="12" fillId="0" borderId="0" xfId="0" applyFont="1" applyAlignment="1">
      <alignment vertical="center"/>
    </xf>
    <xf numFmtId="49" fontId="6" fillId="0" borderId="0" xfId="0" applyNumberFormat="1" applyFont="1" applyBorder="1" applyAlignment="1">
      <alignment horizontal="center" vertical="center" shrinkToFit="1"/>
    </xf>
    <xf numFmtId="0" fontId="3" fillId="0" borderId="0" xfId="0" applyFont="1"/>
    <xf numFmtId="0" fontId="5" fillId="0" borderId="2" xfId="0" applyFont="1" applyBorder="1" applyAlignment="1">
      <alignment horizontal="center" vertical="center" shrinkToFit="1"/>
    </xf>
    <xf numFmtId="0" fontId="3" fillId="0" borderId="0" xfId="0" applyFont="1" applyBorder="1"/>
    <xf numFmtId="0" fontId="6" fillId="0" borderId="10" xfId="0" applyFont="1" applyBorder="1" applyAlignment="1">
      <alignment vertical="center"/>
    </xf>
    <xf numFmtId="0" fontId="6" fillId="0" borderId="0" xfId="0" applyFont="1" applyBorder="1" applyAlignment="1">
      <alignment horizontal="left" vertical="center" shrinkToFit="1"/>
    </xf>
    <xf numFmtId="0" fontId="0" fillId="0" borderId="0" xfId="0" applyBorder="1" applyAlignment="1" applyProtection="1">
      <alignment vertical="center"/>
      <protection locked="0"/>
    </xf>
    <xf numFmtId="49" fontId="6" fillId="0" borderId="0" xfId="0" applyNumberFormat="1" applyFont="1" applyBorder="1" applyAlignment="1">
      <alignment vertical="center"/>
    </xf>
    <xf numFmtId="179" fontId="14" fillId="0" borderId="0" xfId="0" applyNumberFormat="1" applyFont="1" applyBorder="1" applyAlignment="1">
      <alignment horizontal="center" vertical="center"/>
    </xf>
    <xf numFmtId="6" fontId="5" fillId="0" borderId="0" xfId="1" applyFont="1" applyBorder="1" applyAlignment="1">
      <alignment horizontal="center" vertical="center" shrinkToFit="1"/>
    </xf>
    <xf numFmtId="0" fontId="5" fillId="0" borderId="0" xfId="0" applyFont="1" applyBorder="1" applyAlignment="1">
      <alignment horizontal="left" vertical="center" shrinkToFit="1"/>
    </xf>
    <xf numFmtId="0" fontId="17" fillId="0" borderId="8" xfId="0" applyFont="1" applyBorder="1" applyAlignment="1">
      <alignment horizontal="center" vertical="center" shrinkToFit="1"/>
    </xf>
    <xf numFmtId="0" fontId="17" fillId="0" borderId="9" xfId="0" applyFont="1" applyBorder="1" applyAlignment="1">
      <alignment horizontal="center" vertical="center" shrinkToFit="1"/>
    </xf>
    <xf numFmtId="0" fontId="14" fillId="0" borderId="6" xfId="0" quotePrefix="1" applyFont="1" applyBorder="1" applyAlignment="1">
      <alignment horizontal="center" vertical="center" shrinkToFit="1"/>
    </xf>
    <xf numFmtId="0" fontId="17" fillId="0" borderId="0" xfId="0" applyFont="1" applyAlignment="1">
      <alignment vertical="center"/>
    </xf>
    <xf numFmtId="0" fontId="10" fillId="0" borderId="0" xfId="0" applyFont="1" applyBorder="1" applyAlignment="1" applyProtection="1">
      <alignment vertical="center"/>
      <protection locked="0"/>
    </xf>
    <xf numFmtId="0" fontId="10" fillId="0" borderId="0" xfId="0" applyFont="1" applyBorder="1" applyAlignment="1" applyProtection="1">
      <alignment horizontal="center" vertical="center"/>
      <protection locked="0"/>
    </xf>
    <xf numFmtId="0" fontId="10" fillId="0" borderId="0" xfId="0" applyFont="1" applyBorder="1"/>
    <xf numFmtId="0" fontId="15" fillId="0" borderId="8" xfId="0" quotePrefix="1" applyFont="1" applyBorder="1" applyAlignment="1">
      <alignment vertical="center"/>
    </xf>
    <xf numFmtId="0" fontId="15" fillId="0" borderId="0" xfId="0" quotePrefix="1" applyFont="1" applyBorder="1" applyAlignment="1">
      <alignment vertical="center"/>
    </xf>
    <xf numFmtId="0" fontId="6" fillId="0" borderId="0" xfId="0" quotePrefix="1" applyFont="1" applyBorder="1" applyAlignment="1">
      <alignment vertical="center"/>
    </xf>
    <xf numFmtId="0" fontId="0" fillId="0" borderId="22" xfId="0" applyBorder="1" applyAlignment="1">
      <alignment horizontal="center" vertical="center" shrinkToFit="1"/>
    </xf>
    <xf numFmtId="0" fontId="0" fillId="0" borderId="2" xfId="0" applyBorder="1" applyAlignment="1">
      <alignment horizontal="center" vertical="center" shrinkToFit="1"/>
    </xf>
    <xf numFmtId="49" fontId="6" fillId="0" borderId="0" xfId="0" applyNumberFormat="1" applyFont="1" applyBorder="1" applyAlignment="1">
      <alignment horizontal="left" vertical="center"/>
    </xf>
    <xf numFmtId="49" fontId="6" fillId="0" borderId="0" xfId="0" applyNumberFormat="1" applyFont="1" applyBorder="1" applyAlignment="1">
      <alignment vertical="center" shrinkToFit="1"/>
    </xf>
    <xf numFmtId="0" fontId="6" fillId="3" borderId="8" xfId="0" applyFont="1" applyFill="1" applyBorder="1" applyAlignment="1">
      <alignment vertical="center" shrinkToFit="1"/>
    </xf>
    <xf numFmtId="0" fontId="3" fillId="0" borderId="0" xfId="8"/>
    <xf numFmtId="0" fontId="28" fillId="0" borderId="0" xfId="8" applyFont="1"/>
    <xf numFmtId="0" fontId="29" fillId="0" borderId="0" xfId="8" applyFont="1"/>
    <xf numFmtId="0" fontId="5" fillId="0" borderId="23" xfId="0" applyFont="1" applyBorder="1" applyAlignment="1">
      <alignment horizontal="left" vertical="center" shrinkToFit="1"/>
    </xf>
    <xf numFmtId="0" fontId="5" fillId="0" borderId="10" xfId="0" applyFont="1" applyBorder="1" applyAlignment="1">
      <alignment horizontal="left" vertical="center" shrinkToFit="1"/>
    </xf>
    <xf numFmtId="0" fontId="5" fillId="0" borderId="71" xfId="0" applyFont="1" applyBorder="1" applyAlignment="1">
      <alignment horizontal="left" vertical="center" shrinkToFit="1"/>
    </xf>
    <xf numFmtId="0" fontId="3" fillId="0" borderId="0" xfId="10" applyAlignment="1">
      <alignment horizontal="centerContinuous"/>
    </xf>
    <xf numFmtId="0" fontId="26" fillId="0" borderId="0" xfId="10" quotePrefix="1" applyFont="1" applyAlignment="1">
      <alignment horizontal="left"/>
    </xf>
    <xf numFmtId="0" fontId="25" fillId="0" borderId="0" xfId="10" applyFont="1" applyAlignment="1">
      <alignment horizontal="center"/>
    </xf>
    <xf numFmtId="177" fontId="3" fillId="0" borderId="0" xfId="10" applyNumberFormat="1" applyAlignment="1">
      <alignment horizontal="centerContinuous"/>
    </xf>
    <xf numFmtId="177" fontId="27" fillId="0" borderId="0" xfId="10" applyNumberFormat="1" applyFont="1" applyAlignment="1">
      <alignment shrinkToFit="1"/>
    </xf>
    <xf numFmtId="0" fontId="3" fillId="0" borderId="0" xfId="10"/>
    <xf numFmtId="0" fontId="33" fillId="0" borderId="0" xfId="11" applyFont="1" applyAlignment="1">
      <alignment horizontal="center"/>
    </xf>
    <xf numFmtId="49" fontId="31" fillId="0" borderId="0" xfId="11" quotePrefix="1" applyNumberFormat="1" applyFont="1"/>
    <xf numFmtId="0" fontId="3" fillId="0" borderId="0" xfId="6"/>
    <xf numFmtId="0" fontId="25" fillId="0" borderId="0" xfId="11" applyFont="1"/>
    <xf numFmtId="0" fontId="3" fillId="0" borderId="0" xfId="11"/>
    <xf numFmtId="0" fontId="5" fillId="0" borderId="0" xfId="11" applyFont="1"/>
    <xf numFmtId="0" fontId="5" fillId="0" borderId="0" xfId="6" applyFont="1"/>
    <xf numFmtId="0" fontId="5" fillId="2" borderId="24" xfId="11" applyFont="1" applyFill="1" applyBorder="1"/>
    <xf numFmtId="0" fontId="5" fillId="2" borderId="29" xfId="11" applyFont="1" applyFill="1" applyBorder="1"/>
    <xf numFmtId="49" fontId="5" fillId="0" borderId="46" xfId="11" applyNumberFormat="1" applyFont="1" applyBorder="1" applyAlignment="1">
      <alignment horizontal="center" vertical="center" shrinkToFit="1"/>
    </xf>
    <xf numFmtId="49" fontId="5" fillId="0" borderId="32" xfId="11" applyNumberFormat="1" applyFont="1" applyBorder="1" applyAlignment="1">
      <alignment horizontal="center" vertical="center" shrinkToFit="1"/>
    </xf>
    <xf numFmtId="49" fontId="5" fillId="0" borderId="37" xfId="11" applyNumberFormat="1" applyFont="1" applyBorder="1" applyAlignment="1">
      <alignment horizontal="center" vertical="center" shrinkToFit="1"/>
    </xf>
    <xf numFmtId="49" fontId="5" fillId="0" borderId="51" xfId="11" applyNumberFormat="1" applyFont="1" applyBorder="1" applyAlignment="1">
      <alignment horizontal="center" vertical="center" shrinkToFit="1"/>
    </xf>
    <xf numFmtId="49" fontId="5" fillId="0" borderId="58" xfId="11" applyNumberFormat="1" applyFont="1" applyBorder="1" applyAlignment="1">
      <alignment horizontal="center" vertical="center" shrinkToFit="1"/>
    </xf>
    <xf numFmtId="49" fontId="5" fillId="0" borderId="27" xfId="11" applyNumberFormat="1" applyFont="1" applyBorder="1" applyAlignment="1">
      <alignment horizontal="center" vertical="center" shrinkToFit="1"/>
    </xf>
    <xf numFmtId="0" fontId="5" fillId="0" borderId="36" xfId="11" applyFont="1" applyBorder="1" applyAlignment="1">
      <alignment horizontal="center" vertical="center" shrinkToFit="1"/>
    </xf>
    <xf numFmtId="0" fontId="5" fillId="0" borderId="49" xfId="11" quotePrefix="1" applyFont="1" applyBorder="1" applyAlignment="1">
      <alignment horizontal="center" vertical="center" shrinkToFit="1"/>
    </xf>
    <xf numFmtId="0" fontId="30" fillId="0" borderId="34" xfId="8" applyFont="1" applyBorder="1" applyAlignment="1">
      <alignment horizontal="center" vertical="center"/>
    </xf>
    <xf numFmtId="0" fontId="30" fillId="0" borderId="0" xfId="8" applyFont="1" applyAlignment="1">
      <alignment horizontal="center" vertical="center"/>
    </xf>
    <xf numFmtId="0" fontId="3" fillId="0" borderId="1" xfId="0" applyFont="1" applyBorder="1"/>
    <xf numFmtId="0" fontId="10" fillId="0" borderId="1" xfId="0" applyFont="1" applyBorder="1" applyAlignment="1">
      <alignment horizontal="center"/>
    </xf>
    <xf numFmtId="0" fontId="10" fillId="0" borderId="0" xfId="0" applyFont="1" applyAlignment="1">
      <alignment horizontal="center"/>
    </xf>
    <xf numFmtId="49" fontId="32" fillId="0" borderId="6" xfId="0" applyNumberFormat="1" applyFont="1" applyBorder="1" applyAlignment="1">
      <alignment horizontal="left" vertical="top" wrapText="1" shrinkToFit="1"/>
    </xf>
    <xf numFmtId="49" fontId="32" fillId="0" borderId="7" xfId="0" applyNumberFormat="1" applyFont="1" applyBorder="1" applyAlignment="1">
      <alignment horizontal="left" vertical="top" shrinkToFit="1"/>
    </xf>
    <xf numFmtId="49" fontId="32" fillId="0" borderId="70" xfId="0" applyNumberFormat="1" applyFont="1" applyBorder="1" applyAlignment="1">
      <alignment horizontal="left" vertical="top" shrinkToFit="1"/>
    </xf>
    <xf numFmtId="49" fontId="32" fillId="0" borderId="8" xfId="0" applyNumberFormat="1" applyFont="1" applyBorder="1" applyAlignment="1">
      <alignment horizontal="left" vertical="top" shrinkToFit="1"/>
    </xf>
    <xf numFmtId="49" fontId="32" fillId="0" borderId="0" xfId="0" applyNumberFormat="1" applyFont="1" applyBorder="1" applyAlignment="1">
      <alignment horizontal="left" vertical="top" shrinkToFit="1"/>
    </xf>
    <xf numFmtId="49" fontId="32" fillId="0" borderId="23" xfId="0" applyNumberFormat="1" applyFont="1" applyBorder="1" applyAlignment="1">
      <alignment horizontal="left" vertical="top" shrinkToFit="1"/>
    </xf>
    <xf numFmtId="49" fontId="32" fillId="0" borderId="9" xfId="0" applyNumberFormat="1" applyFont="1" applyBorder="1" applyAlignment="1">
      <alignment horizontal="left" vertical="top" shrinkToFit="1"/>
    </xf>
    <xf numFmtId="49" fontId="32" fillId="0" borderId="10" xfId="0" applyNumberFormat="1" applyFont="1" applyBorder="1" applyAlignment="1">
      <alignment horizontal="left" vertical="top" shrinkToFit="1"/>
    </xf>
    <xf numFmtId="49" fontId="32" fillId="0" borderId="71" xfId="0" applyNumberFormat="1" applyFont="1" applyBorder="1" applyAlignment="1">
      <alignment horizontal="left" vertical="top" shrinkToFit="1"/>
    </xf>
    <xf numFmtId="0" fontId="3" fillId="0" borderId="2" xfId="0" applyFont="1" applyBorder="1" applyAlignment="1">
      <alignment vertical="center" shrinkToFit="1"/>
    </xf>
    <xf numFmtId="0" fontId="3" fillId="0" borderId="2" xfId="0" applyFont="1" applyBorder="1" applyAlignment="1">
      <alignment horizontal="center" vertical="center" shrinkToFit="1"/>
    </xf>
    <xf numFmtId="0" fontId="3" fillId="0" borderId="0" xfId="0" applyFont="1" applyBorder="1" applyAlignment="1">
      <alignment vertical="center" shrinkToFit="1"/>
    </xf>
    <xf numFmtId="0" fontId="14" fillId="0" borderId="0" xfId="0" applyFont="1" applyBorder="1" applyAlignment="1">
      <alignment horizontal="center" vertical="center" shrinkToFit="1"/>
    </xf>
    <xf numFmtId="0" fontId="3" fillId="0" borderId="0" xfId="0" applyFont="1" applyBorder="1" applyAlignment="1">
      <alignment horizontal="left" vertical="center" shrinkToFit="1"/>
    </xf>
    <xf numFmtId="0" fontId="0" fillId="0" borderId="0" xfId="0" applyAlignment="1">
      <alignment vertical="center" wrapText="1"/>
    </xf>
    <xf numFmtId="0" fontId="48" fillId="0" borderId="0" xfId="0" applyFont="1"/>
    <xf numFmtId="0" fontId="5" fillId="0" borderId="49" xfId="11" applyFont="1" applyBorder="1" applyAlignment="1">
      <alignment horizontal="center" vertical="center" shrinkToFit="1"/>
    </xf>
    <xf numFmtId="49" fontId="5" fillId="0" borderId="25" xfId="11" applyNumberFormat="1" applyFont="1" applyBorder="1" applyAlignment="1">
      <alignment horizontal="center" vertical="center" shrinkToFit="1"/>
    </xf>
    <xf numFmtId="0" fontId="0" fillId="0" borderId="0" xfId="0" applyAlignment="1">
      <alignment vertical="center"/>
    </xf>
    <xf numFmtId="49" fontId="6" fillId="0" borderId="12" xfId="0" applyNumberFormat="1" applyFont="1" applyBorder="1" applyAlignment="1">
      <alignment horizontal="center" vertical="center" shrinkToFit="1"/>
    </xf>
    <xf numFmtId="0" fontId="6" fillId="0" borderId="11" xfId="0" applyFont="1" applyBorder="1" applyAlignment="1">
      <alignment horizontal="center" vertical="center" shrinkToFit="1"/>
    </xf>
    <xf numFmtId="49" fontId="6" fillId="0" borderId="19" xfId="0" applyNumberFormat="1" applyFont="1" applyBorder="1" applyAlignment="1">
      <alignment horizontal="center" vertical="center" shrinkToFit="1"/>
    </xf>
    <xf numFmtId="49" fontId="6" fillId="0" borderId="0" xfId="0" applyNumberFormat="1" applyFont="1" applyBorder="1" applyAlignment="1">
      <alignment horizontal="left" vertical="center" shrinkToFit="1"/>
    </xf>
    <xf numFmtId="0" fontId="14" fillId="0" borderId="0" xfId="0" applyFont="1" applyBorder="1" applyAlignment="1">
      <alignment vertical="center" shrinkToFit="1"/>
    </xf>
    <xf numFmtId="0" fontId="5" fillId="0" borderId="56" xfId="11" applyFont="1" applyBorder="1" applyAlignment="1">
      <alignment vertical="center" shrinkToFit="1"/>
    </xf>
    <xf numFmtId="0" fontId="5" fillId="0" borderId="44" xfId="11" quotePrefix="1" applyFont="1" applyBorder="1" applyAlignment="1">
      <alignment horizontal="center" vertical="center" shrinkToFit="1"/>
    </xf>
    <xf numFmtId="0" fontId="5" fillId="0" borderId="41" xfId="11" quotePrefix="1" applyFont="1" applyBorder="1" applyAlignment="1">
      <alignment horizontal="center" vertical="center" shrinkToFit="1"/>
    </xf>
    <xf numFmtId="0" fontId="5" fillId="0" borderId="31" xfId="11" quotePrefix="1" applyFont="1" applyBorder="1" applyAlignment="1">
      <alignment horizontal="center" vertical="center" shrinkToFit="1"/>
    </xf>
    <xf numFmtId="0" fontId="3" fillId="0" borderId="8" xfId="0" applyFont="1" applyBorder="1"/>
    <xf numFmtId="0" fontId="14" fillId="0" borderId="8" xfId="0" applyFont="1" applyBorder="1" applyAlignment="1">
      <alignment vertical="center" shrinkToFit="1"/>
    </xf>
    <xf numFmtId="0" fontId="14" fillId="0" borderId="9" xfId="0" applyFont="1" applyBorder="1" applyAlignment="1">
      <alignment vertical="center" shrinkToFit="1"/>
    </xf>
    <xf numFmtId="0" fontId="14" fillId="0" borderId="10" xfId="0" applyFont="1" applyBorder="1" applyAlignment="1">
      <alignment vertical="center" shrinkToFit="1"/>
    </xf>
    <xf numFmtId="0" fontId="6" fillId="0" borderId="2" xfId="0" applyFont="1" applyBorder="1" applyAlignment="1">
      <alignment horizontal="center" vertical="center" wrapText="1" shrinkToFit="1"/>
    </xf>
    <xf numFmtId="0" fontId="0" fillId="0" borderId="2" xfId="0" applyBorder="1"/>
    <xf numFmtId="185" fontId="0" fillId="0" borderId="2" xfId="0" applyNumberFormat="1" applyBorder="1"/>
    <xf numFmtId="49" fontId="16" fillId="0" borderId="8" xfId="0" applyNumberFormat="1" applyFont="1" applyBorder="1" applyAlignment="1">
      <alignment horizontal="center" vertical="center" shrinkToFit="1"/>
    </xf>
    <xf numFmtId="49" fontId="16" fillId="0" borderId="9" xfId="0" applyNumberFormat="1" applyFont="1" applyBorder="1" applyAlignment="1">
      <alignment horizontal="center" vertical="center" shrinkToFit="1"/>
    </xf>
    <xf numFmtId="187" fontId="49" fillId="0" borderId="0" xfId="0" applyNumberFormat="1" applyFont="1" applyBorder="1" applyAlignment="1">
      <alignment vertical="center" shrinkToFit="1"/>
    </xf>
    <xf numFmtId="0" fontId="3" fillId="0" borderId="0" xfId="0" applyFont="1" applyAlignment="1">
      <alignment vertical="center"/>
    </xf>
    <xf numFmtId="0" fontId="3" fillId="0" borderId="0" xfId="0" applyFont="1" applyBorder="1" applyAlignment="1">
      <alignment vertical="center"/>
    </xf>
    <xf numFmtId="0" fontId="3" fillId="0" borderId="1"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7" xfId="0" applyFont="1" applyBorder="1"/>
    <xf numFmtId="0" fontId="5" fillId="0" borderId="70" xfId="0" applyFont="1" applyBorder="1"/>
    <xf numFmtId="0" fontId="5" fillId="0" borderId="0" xfId="0" applyFont="1"/>
    <xf numFmtId="0" fontId="5" fillId="0" borderId="0" xfId="0" applyFont="1" applyAlignment="1">
      <alignment vertical="center"/>
    </xf>
    <xf numFmtId="0" fontId="5" fillId="0" borderId="8" xfId="0" applyFont="1" applyBorder="1"/>
    <xf numFmtId="0" fontId="5" fillId="0" borderId="23" xfId="0" applyFont="1" applyBorder="1"/>
    <xf numFmtId="0" fontId="5" fillId="0" borderId="81" xfId="0" applyFont="1" applyBorder="1"/>
    <xf numFmtId="0" fontId="17" fillId="0" borderId="82" xfId="0" applyFont="1" applyBorder="1" applyAlignment="1" applyProtection="1">
      <alignment vertical="center"/>
      <protection locked="0"/>
    </xf>
    <xf numFmtId="0" fontId="5" fillId="0" borderId="82" xfId="0" applyFont="1" applyBorder="1" applyAlignment="1" applyProtection="1">
      <alignment vertical="center"/>
      <protection locked="0"/>
    </xf>
    <xf numFmtId="0" fontId="5" fillId="0" borderId="82" xfId="0" applyFont="1" applyBorder="1" applyAlignment="1">
      <alignment vertical="center"/>
    </xf>
    <xf numFmtId="0" fontId="5" fillId="0" borderId="82" xfId="0" applyFont="1" applyBorder="1"/>
    <xf numFmtId="0" fontId="5" fillId="0" borderId="83" xfId="0" applyFont="1" applyBorder="1"/>
    <xf numFmtId="0" fontId="5" fillId="0" borderId="0" xfId="0" applyFont="1" applyBorder="1" applyAlignment="1" applyProtection="1">
      <alignment vertical="center"/>
      <protection locked="0"/>
    </xf>
    <xf numFmtId="0" fontId="5" fillId="0" borderId="0" xfId="0" applyFont="1" applyBorder="1" applyAlignment="1">
      <alignment vertical="center"/>
    </xf>
    <xf numFmtId="0" fontId="5" fillId="0" borderId="0" xfId="0" applyFont="1" applyBorder="1"/>
    <xf numFmtId="0" fontId="5" fillId="0" borderId="0" xfId="0" applyFont="1" applyBorder="1" applyAlignment="1" applyProtection="1">
      <alignment horizontal="left" vertical="center"/>
      <protection locked="0"/>
    </xf>
    <xf numFmtId="0" fontId="5" fillId="0" borderId="59" xfId="0" applyFont="1" applyBorder="1"/>
    <xf numFmtId="0" fontId="5" fillId="0" borderId="84" xfId="0" applyFont="1" applyBorder="1" applyAlignment="1" applyProtection="1">
      <alignment vertical="center"/>
      <protection locked="0"/>
    </xf>
    <xf numFmtId="0" fontId="5" fillId="0" borderId="84" xfId="0" applyFont="1" applyBorder="1" applyAlignment="1" applyProtection="1">
      <alignment horizontal="center" vertical="center"/>
      <protection locked="0"/>
    </xf>
    <xf numFmtId="0" fontId="5" fillId="0" borderId="84" xfId="0" applyFont="1" applyBorder="1" applyAlignment="1">
      <alignment vertical="center"/>
    </xf>
    <xf numFmtId="0" fontId="5" fillId="0" borderId="84" xfId="0" applyFont="1" applyBorder="1"/>
    <xf numFmtId="0" fontId="5" fillId="0" borderId="85" xfId="0" applyFont="1" applyBorder="1"/>
    <xf numFmtId="0" fontId="5" fillId="0" borderId="82" xfId="0" applyFont="1" applyBorder="1" applyAlignment="1" applyProtection="1">
      <alignment horizontal="center" vertical="center"/>
      <protection locked="0"/>
    </xf>
    <xf numFmtId="0" fontId="17" fillId="0" borderId="0" xfId="0" applyFont="1" applyBorder="1" applyAlignment="1">
      <alignment vertical="center"/>
    </xf>
    <xf numFmtId="56" fontId="5" fillId="0" borderId="0" xfId="0" applyNumberFormat="1" applyFont="1" applyBorder="1" applyAlignment="1" applyProtection="1">
      <alignment horizontal="left" vertical="center"/>
      <protection locked="0"/>
    </xf>
    <xf numFmtId="0" fontId="5" fillId="0" borderId="9" xfId="0" applyFont="1" applyBorder="1"/>
    <xf numFmtId="0" fontId="5" fillId="0" borderId="10" xfId="0" applyFont="1" applyBorder="1"/>
    <xf numFmtId="0" fontId="5" fillId="0" borderId="71" xfId="0" applyFont="1" applyBorder="1"/>
    <xf numFmtId="0" fontId="5" fillId="0" borderId="0" xfId="0" applyFont="1" applyAlignment="1" applyProtection="1">
      <alignment vertical="center"/>
      <protection locked="0"/>
    </xf>
    <xf numFmtId="6" fontId="5" fillId="0" borderId="0" xfId="1" applyFont="1" applyFill="1" applyBorder="1" applyAlignment="1">
      <alignment vertical="center"/>
    </xf>
    <xf numFmtId="0" fontId="5" fillId="0" borderId="0" xfId="0" applyFont="1" applyBorder="1" applyAlignment="1">
      <alignment horizontal="center" vertical="center"/>
    </xf>
    <xf numFmtId="6" fontId="5" fillId="0" borderId="0" xfId="1" applyFont="1" applyBorder="1" applyAlignment="1">
      <alignment vertical="center"/>
    </xf>
    <xf numFmtId="0" fontId="5" fillId="0" borderId="0" xfId="0" quotePrefix="1" applyFont="1" applyBorder="1" applyAlignment="1">
      <alignment vertical="center"/>
    </xf>
    <xf numFmtId="0" fontId="50" fillId="0" borderId="0" xfId="0" applyFont="1" applyBorder="1" applyAlignment="1">
      <alignment vertical="center"/>
    </xf>
    <xf numFmtId="0" fontId="52" fillId="0" borderId="0" xfId="0" applyFont="1" applyBorder="1" applyAlignment="1" applyProtection="1">
      <alignment vertical="center"/>
      <protection hidden="1"/>
    </xf>
    <xf numFmtId="0" fontId="52" fillId="0" borderId="0" xfId="0" applyFont="1" applyBorder="1" applyAlignment="1" applyProtection="1">
      <alignment horizontal="distributed" vertical="center"/>
      <protection hidden="1"/>
    </xf>
    <xf numFmtId="189" fontId="5" fillId="0" borderId="0" xfId="0" applyNumberFormat="1" applyFont="1" applyBorder="1" applyAlignment="1" applyProtection="1">
      <alignment horizontal="center" vertical="center"/>
      <protection locked="0"/>
    </xf>
    <xf numFmtId="0" fontId="53" fillId="0" borderId="0" xfId="0" applyFont="1" applyBorder="1" applyAlignment="1">
      <alignment vertical="center"/>
    </xf>
    <xf numFmtId="31" fontId="5" fillId="0" borderId="0" xfId="0" applyNumberFormat="1" applyFont="1" applyAlignment="1" applyProtection="1">
      <alignment vertical="center"/>
      <protection locked="0"/>
    </xf>
    <xf numFmtId="0" fontId="5" fillId="0" borderId="0" xfId="0" applyFont="1" applyBorder="1" applyAlignment="1" applyProtection="1">
      <alignment horizontal="center" vertical="center"/>
      <protection locked="0"/>
    </xf>
    <xf numFmtId="49" fontId="5" fillId="0" borderId="0" xfId="0" applyNumberFormat="1" applyFont="1" applyBorder="1" applyAlignment="1">
      <alignment vertical="center"/>
    </xf>
    <xf numFmtId="49" fontId="6" fillId="0" borderId="8" xfId="0" applyNumberFormat="1" applyFont="1" applyBorder="1" applyAlignment="1">
      <alignment horizontal="right" vertical="center"/>
    </xf>
    <xf numFmtId="49" fontId="6" fillId="0" borderId="8" xfId="0" applyNumberFormat="1" applyFont="1" applyBorder="1" applyAlignment="1">
      <alignment horizontal="left" vertical="center" shrinkToFit="1"/>
    </xf>
    <xf numFmtId="0" fontId="3" fillId="0" borderId="6" xfId="0" applyFont="1" applyBorder="1" applyAlignment="1">
      <alignment horizontal="center" vertical="center" shrinkToFit="1"/>
    </xf>
    <xf numFmtId="49" fontId="6" fillId="0" borderId="9" xfId="0" applyNumberFormat="1" applyFont="1" applyBorder="1" applyAlignment="1">
      <alignment horizontal="right" vertical="center" shrinkToFit="1"/>
    </xf>
    <xf numFmtId="49" fontId="6" fillId="0" borderId="0" xfId="0" applyNumberFormat="1" applyFont="1" applyBorder="1" applyAlignment="1">
      <alignment horizontal="right" vertical="center" shrinkToFit="1"/>
    </xf>
    <xf numFmtId="0" fontId="5" fillId="0" borderId="0" xfId="0" applyFont="1" applyBorder="1" applyAlignment="1" applyProtection="1">
      <alignment vertical="center" shrinkToFit="1"/>
      <protection locked="0"/>
    </xf>
    <xf numFmtId="0" fontId="5" fillId="0" borderId="23" xfId="0" applyFont="1" applyBorder="1" applyAlignment="1" applyProtection="1">
      <alignment vertical="center" shrinkToFit="1"/>
      <protection locked="0"/>
    </xf>
    <xf numFmtId="0" fontId="25" fillId="0" borderId="1" xfId="0" applyFont="1" applyBorder="1"/>
    <xf numFmtId="0" fontId="3" fillId="4" borderId="0" xfId="0" applyFont="1" applyFill="1"/>
    <xf numFmtId="49" fontId="34" fillId="0" borderId="8" xfId="0" applyNumberFormat="1" applyFont="1" applyBorder="1" applyAlignment="1">
      <alignment horizontal="right" vertical="center"/>
    </xf>
    <xf numFmtId="49" fontId="34" fillId="0" borderId="0" xfId="0" applyNumberFormat="1" applyFont="1" applyBorder="1" applyAlignment="1">
      <alignment horizontal="left" vertical="center"/>
    </xf>
    <xf numFmtId="0" fontId="5" fillId="0" borderId="0" xfId="0" applyFont="1" applyBorder="1" applyAlignment="1">
      <alignment horizontal="left" vertical="center"/>
    </xf>
    <xf numFmtId="49" fontId="6" fillId="0" borderId="16" xfId="0" applyNumberFormat="1" applyFont="1" applyBorder="1" applyAlignment="1">
      <alignment horizontal="center" vertical="center" shrinkToFit="1"/>
    </xf>
    <xf numFmtId="0" fontId="5" fillId="0" borderId="41" xfId="11" applyFont="1" applyBorder="1" applyAlignment="1">
      <alignment horizontal="center" vertical="center" shrinkToFit="1"/>
    </xf>
    <xf numFmtId="49" fontId="32" fillId="0" borderId="12" xfId="0" applyNumberFormat="1" applyFont="1" applyBorder="1" applyAlignment="1">
      <alignment horizontal="center" vertical="center" shrinkToFit="1"/>
    </xf>
    <xf numFmtId="49" fontId="32" fillId="0" borderId="90" xfId="0" applyNumberFormat="1" applyFont="1" applyBorder="1" applyAlignment="1">
      <alignment horizontal="center" vertical="center" shrinkToFit="1"/>
    </xf>
    <xf numFmtId="49" fontId="32" fillId="0" borderId="11" xfId="0" applyNumberFormat="1" applyFont="1" applyBorder="1" applyAlignment="1">
      <alignment horizontal="center" vertical="center" shrinkToFit="1"/>
    </xf>
    <xf numFmtId="49" fontId="32" fillId="0" borderId="13" xfId="0" applyNumberFormat="1" applyFont="1" applyBorder="1" applyAlignment="1">
      <alignment horizontal="center" vertical="center" shrinkToFit="1"/>
    </xf>
    <xf numFmtId="49" fontId="6" fillId="0" borderId="11" xfId="0" applyNumberFormat="1" applyFont="1" applyBorder="1" applyAlignment="1">
      <alignment horizontal="center" vertical="center" shrinkToFit="1"/>
    </xf>
    <xf numFmtId="49" fontId="6" fillId="0" borderId="12" xfId="2" applyNumberFormat="1" applyFont="1" applyBorder="1" applyAlignment="1">
      <alignment horizontal="center" vertical="center" shrinkToFit="1"/>
    </xf>
    <xf numFmtId="49" fontId="6" fillId="0" borderId="11" xfId="2" applyNumberFormat="1" applyFont="1" applyBorder="1" applyAlignment="1">
      <alignment horizontal="center" vertical="center" shrinkToFit="1"/>
    </xf>
    <xf numFmtId="49" fontId="6" fillId="0" borderId="0" xfId="0" applyNumberFormat="1" applyFont="1" applyBorder="1" applyAlignment="1">
      <alignment horizontal="right" vertical="center"/>
    </xf>
    <xf numFmtId="0" fontId="0" fillId="0" borderId="2" xfId="0" applyBorder="1" applyAlignment="1">
      <alignment vertical="center"/>
    </xf>
    <xf numFmtId="185" fontId="0" fillId="0" borderId="2" xfId="0" applyNumberFormat="1" applyBorder="1" applyAlignment="1">
      <alignment vertical="center"/>
    </xf>
    <xf numFmtId="0" fontId="0" fillId="7" borderId="2" xfId="0" applyFill="1" applyBorder="1" applyAlignment="1">
      <alignment vertical="center"/>
    </xf>
    <xf numFmtId="0" fontId="6" fillId="0" borderId="143" xfId="0" applyFont="1" applyBorder="1" applyAlignment="1">
      <alignment vertical="center"/>
    </xf>
    <xf numFmtId="221" fontId="151" fillId="0" borderId="0" xfId="0" applyNumberFormat="1" applyFont="1"/>
    <xf numFmtId="0" fontId="151" fillId="0" borderId="0" xfId="0" applyFont="1" applyAlignment="1">
      <alignment horizontal="right"/>
    </xf>
    <xf numFmtId="222" fontId="151" fillId="0" borderId="0" xfId="0" applyNumberFormat="1" applyFont="1"/>
    <xf numFmtId="14" fontId="6" fillId="0" borderId="0" xfId="0" applyNumberFormat="1" applyFont="1" applyAlignment="1">
      <alignment horizontal="right" vertical="center"/>
    </xf>
    <xf numFmtId="0" fontId="151" fillId="0" borderId="0" xfId="0" applyFont="1"/>
    <xf numFmtId="14" fontId="32" fillId="0" borderId="0" xfId="0" applyNumberFormat="1" applyFont="1" applyAlignment="1">
      <alignment horizontal="right"/>
    </xf>
    <xf numFmtId="221" fontId="3" fillId="7" borderId="0" xfId="2" applyNumberFormat="1" applyFont="1" applyFill="1" applyAlignment="1"/>
    <xf numFmtId="0" fontId="3" fillId="0" borderId="0" xfId="2" applyFont="1" applyAlignment="1">
      <alignment horizontal="right"/>
    </xf>
    <xf numFmtId="222" fontId="3" fillId="7" borderId="0" xfId="2" applyNumberFormat="1" applyFont="1" applyFill="1" applyAlignment="1"/>
    <xf numFmtId="0" fontId="3" fillId="0" borderId="0" xfId="2" applyFont="1" applyAlignment="1"/>
    <xf numFmtId="0" fontId="6" fillId="0" borderId="0" xfId="2" applyFont="1">
      <alignment vertical="center"/>
    </xf>
    <xf numFmtId="0" fontId="0" fillId="0" borderId="0" xfId="0" applyAlignment="1">
      <alignment horizontal="center"/>
    </xf>
    <xf numFmtId="0" fontId="14" fillId="0" borderId="10" xfId="0" applyFont="1" applyBorder="1" applyAlignment="1">
      <alignment horizontal="center" vertical="center" shrinkToFit="1"/>
    </xf>
    <xf numFmtId="0" fontId="3" fillId="0" borderId="0" xfId="0" applyFont="1" applyBorder="1" applyAlignment="1">
      <alignment horizontal="center" vertical="center" shrinkToFit="1"/>
    </xf>
    <xf numFmtId="0" fontId="0" fillId="0" borderId="0" xfId="0" applyBorder="1" applyAlignment="1" applyProtection="1">
      <alignment horizontal="center" vertical="center"/>
      <protection locked="0"/>
    </xf>
    <xf numFmtId="0" fontId="3" fillId="0" borderId="0" xfId="0" applyFont="1" applyAlignment="1">
      <alignment horizontal="center"/>
    </xf>
    <xf numFmtId="49" fontId="6" fillId="0" borderId="0" xfId="0" applyNumberFormat="1" applyFont="1" applyBorder="1" applyAlignment="1">
      <alignment horizontal="center" vertical="center"/>
    </xf>
    <xf numFmtId="0" fontId="0" fillId="0" borderId="0" xfId="6" applyFont="1"/>
    <xf numFmtId="0" fontId="5" fillId="0" borderId="0" xfId="11" applyFont="1" applyBorder="1"/>
    <xf numFmtId="49" fontId="5" fillId="0" borderId="0" xfId="11" applyNumberFormat="1" applyFont="1" applyAlignment="1">
      <alignment horizontal="center"/>
    </xf>
    <xf numFmtId="49" fontId="5" fillId="0" borderId="0" xfId="11" applyNumberFormat="1" applyFont="1" applyBorder="1" applyAlignment="1">
      <alignment horizontal="center"/>
    </xf>
    <xf numFmtId="0" fontId="5" fillId="0" borderId="0" xfId="11" applyFont="1" applyBorder="1" applyAlignment="1">
      <alignment vertical="center" textRotation="255"/>
    </xf>
    <xf numFmtId="49" fontId="5" fillId="0" borderId="66" xfId="11" applyNumberFormat="1" applyFont="1" applyBorder="1"/>
    <xf numFmtId="0" fontId="5" fillId="0" borderId="66" xfId="11" applyFont="1" applyBorder="1" applyAlignment="1">
      <alignment vertical="center" textRotation="255"/>
    </xf>
    <xf numFmtId="49" fontId="5" fillId="0" borderId="147" xfId="11" applyNumberFormat="1" applyFont="1" applyBorder="1" applyAlignment="1">
      <alignment horizontal="center" vertical="center" shrinkToFit="1"/>
    </xf>
    <xf numFmtId="49" fontId="5" fillId="0" borderId="103" xfId="11" applyNumberFormat="1" applyFont="1" applyBorder="1" applyAlignment="1">
      <alignment horizontal="center" vertical="center" shrinkToFit="1"/>
    </xf>
    <xf numFmtId="49" fontId="5" fillId="0" borderId="102" xfId="11" applyNumberFormat="1" applyFont="1" applyBorder="1" applyAlignment="1">
      <alignment horizontal="center" vertical="center" shrinkToFit="1"/>
    </xf>
    <xf numFmtId="49" fontId="5" fillId="0" borderId="101" xfId="11" applyNumberFormat="1" applyFont="1" applyBorder="1" applyAlignment="1">
      <alignment horizontal="center" vertical="center" shrinkToFit="1"/>
    </xf>
    <xf numFmtId="0" fontId="5" fillId="0" borderId="34" xfId="11" applyFont="1" applyBorder="1" applyAlignment="1">
      <alignment vertical="center"/>
    </xf>
    <xf numFmtId="49" fontId="5" fillId="0" borderId="149" xfId="11" applyNumberFormat="1" applyFont="1" applyBorder="1" applyAlignment="1">
      <alignment horizontal="center" vertical="center" shrinkToFit="1"/>
    </xf>
    <xf numFmtId="49" fontId="5" fillId="0" borderId="45" xfId="11" applyNumberFormat="1" applyFont="1" applyBorder="1" applyAlignment="1">
      <alignment horizontal="center" vertical="center" shrinkToFit="1"/>
    </xf>
    <xf numFmtId="49" fontId="5" fillId="0" borderId="98" xfId="11" applyNumberFormat="1" applyFont="1" applyBorder="1" applyAlignment="1">
      <alignment horizontal="center" vertical="center" shrinkToFit="1"/>
    </xf>
    <xf numFmtId="0" fontId="5" fillId="0" borderId="44" xfId="11" applyFont="1" applyBorder="1" applyAlignment="1">
      <alignment horizontal="center" vertical="center" shrinkToFit="1"/>
    </xf>
    <xf numFmtId="0" fontId="5" fillId="4" borderId="55" xfId="11" applyFont="1" applyFill="1" applyBorder="1" applyAlignment="1">
      <alignment vertical="center"/>
    </xf>
    <xf numFmtId="49" fontId="153" fillId="0" borderId="52" xfId="11" applyNumberFormat="1" applyFont="1" applyBorder="1" applyAlignment="1">
      <alignment horizontal="center" vertical="center" shrinkToFit="1"/>
    </xf>
    <xf numFmtId="49" fontId="5" fillId="0" borderId="42" xfId="11" applyNumberFormat="1" applyFont="1" applyBorder="1" applyAlignment="1">
      <alignment horizontal="center" vertical="center" shrinkToFit="1"/>
    </xf>
    <xf numFmtId="0" fontId="5" fillId="0" borderId="150" xfId="11" quotePrefix="1" applyFont="1" applyBorder="1" applyAlignment="1">
      <alignment horizontal="center" vertical="center" shrinkToFit="1"/>
    </xf>
    <xf numFmtId="0" fontId="5" fillId="0" borderId="100" xfId="11" applyFont="1" applyBorder="1" applyAlignment="1">
      <alignment vertical="center" shrinkToFit="1"/>
    </xf>
    <xf numFmtId="49" fontId="153" fillId="0" borderId="151" xfId="11" applyNumberFormat="1" applyFont="1" applyBorder="1" applyAlignment="1">
      <alignment horizontal="center" vertical="center" shrinkToFit="1"/>
    </xf>
    <xf numFmtId="49" fontId="5" fillId="0" borderId="50" xfId="11" applyNumberFormat="1" applyFont="1" applyBorder="1" applyAlignment="1">
      <alignment horizontal="center" vertical="center" shrinkToFit="1"/>
    </xf>
    <xf numFmtId="49" fontId="5" fillId="0" borderId="97" xfId="11" applyNumberFormat="1" applyFont="1" applyBorder="1" applyAlignment="1">
      <alignment horizontal="center" vertical="center" shrinkToFit="1"/>
    </xf>
    <xf numFmtId="49" fontId="5" fillId="0" borderId="151" xfId="11" applyNumberFormat="1" applyFont="1" applyBorder="1" applyAlignment="1">
      <alignment horizontal="center" vertical="center" shrinkToFit="1"/>
    </xf>
    <xf numFmtId="0" fontId="5" fillId="4" borderId="56" xfId="11" applyFont="1" applyFill="1" applyBorder="1" applyAlignment="1">
      <alignment vertical="center" shrinkToFit="1"/>
    </xf>
    <xf numFmtId="49" fontId="35" fillId="0" borderId="149" xfId="11" applyNumberFormat="1" applyFont="1" applyBorder="1" applyAlignment="1">
      <alignment horizontal="center" vertical="center" shrinkToFit="1"/>
    </xf>
    <xf numFmtId="49" fontId="5" fillId="0" borderId="38" xfId="11" applyNumberFormat="1" applyFont="1" applyBorder="1" applyAlignment="1">
      <alignment horizontal="center" vertical="center" shrinkToFit="1"/>
    </xf>
    <xf numFmtId="0" fontId="5" fillId="4" borderId="48" xfId="11" applyFont="1" applyFill="1" applyBorder="1" applyAlignment="1">
      <alignment vertical="center" shrinkToFit="1"/>
    </xf>
    <xf numFmtId="0" fontId="5" fillId="0" borderId="47" xfId="11" applyFont="1" applyBorder="1" applyAlignment="1">
      <alignment horizontal="left" vertical="center"/>
    </xf>
    <xf numFmtId="0" fontId="5" fillId="0" borderId="55" xfId="11" applyFont="1" applyBorder="1" applyAlignment="1">
      <alignment horizontal="left" vertical="center"/>
    </xf>
    <xf numFmtId="0" fontId="5" fillId="4" borderId="10" xfId="11" applyFont="1" applyFill="1" applyBorder="1" applyAlignment="1">
      <alignment vertical="center" shrinkToFit="1"/>
    </xf>
    <xf numFmtId="49" fontId="5" fillId="0" borderId="152" xfId="11" applyNumberFormat="1" applyFont="1" applyBorder="1" applyAlignment="1">
      <alignment horizontal="center" vertical="center" shrinkToFit="1"/>
    </xf>
    <xf numFmtId="49" fontId="5" fillId="0" borderId="33" xfId="11" applyNumberFormat="1" applyFont="1" applyBorder="1" applyAlignment="1">
      <alignment horizontal="center" vertical="center" shrinkToFit="1"/>
    </xf>
    <xf numFmtId="49" fontId="5" fillId="0" borderId="153" xfId="11" applyNumberFormat="1" applyFont="1" applyBorder="1" applyAlignment="1">
      <alignment horizontal="center" vertical="center" shrinkToFit="1"/>
    </xf>
    <xf numFmtId="0" fontId="5" fillId="0" borderId="64" xfId="11" applyFont="1" applyBorder="1" applyAlignment="1">
      <alignment vertical="center" shrinkToFit="1"/>
    </xf>
    <xf numFmtId="49" fontId="153" fillId="0" borderId="147" xfId="11" applyNumberFormat="1" applyFont="1" applyBorder="1" applyAlignment="1">
      <alignment horizontal="center" vertical="center" shrinkToFit="1"/>
    </xf>
    <xf numFmtId="49" fontId="5" fillId="0" borderId="148" xfId="11" applyNumberFormat="1" applyFont="1" applyBorder="1" applyAlignment="1">
      <alignment horizontal="center" vertical="center" shrinkToFit="1"/>
    </xf>
    <xf numFmtId="0" fontId="5" fillId="0" borderId="29" xfId="11" quotePrefix="1" applyFont="1" applyBorder="1" applyAlignment="1">
      <alignment horizontal="center" vertical="center" shrinkToFit="1"/>
    </xf>
    <xf numFmtId="0" fontId="5" fillId="4" borderId="68" xfId="11" applyFont="1" applyFill="1" applyBorder="1" applyAlignment="1">
      <alignment vertical="center" shrinkToFit="1"/>
    </xf>
    <xf numFmtId="49" fontId="153" fillId="0" borderId="107" xfId="11" applyNumberFormat="1" applyFont="1" applyBorder="1" applyAlignment="1">
      <alignment horizontal="center" vertical="center" shrinkToFit="1"/>
    </xf>
    <xf numFmtId="49" fontId="5" fillId="0" borderId="22" xfId="11" applyNumberFormat="1" applyFont="1" applyBorder="1" applyAlignment="1">
      <alignment horizontal="center" vertical="center" shrinkToFit="1"/>
    </xf>
    <xf numFmtId="0" fontId="5" fillId="0" borderId="36" xfId="11" quotePrefix="1" applyFont="1" applyBorder="1" applyAlignment="1">
      <alignment horizontal="center" vertical="center" shrinkToFit="1"/>
    </xf>
    <xf numFmtId="0" fontId="5" fillId="4" borderId="35" xfId="11" applyFont="1" applyFill="1" applyBorder="1" applyAlignment="1">
      <alignment vertical="center" shrinkToFit="1"/>
    </xf>
    <xf numFmtId="49" fontId="5" fillId="0" borderId="6" xfId="11" applyNumberFormat="1" applyFont="1" applyBorder="1" applyAlignment="1">
      <alignment horizontal="center" vertical="center" shrinkToFit="1"/>
    </xf>
    <xf numFmtId="49" fontId="153" fillId="0" borderId="149" xfId="11" applyNumberFormat="1" applyFont="1" applyBorder="1" applyAlignment="1">
      <alignment horizontal="center" vertical="center" shrinkToFit="1"/>
    </xf>
    <xf numFmtId="49" fontId="5" fillId="0" borderId="9" xfId="11" applyNumberFormat="1" applyFont="1" applyBorder="1" applyAlignment="1">
      <alignment horizontal="center" vertical="center" shrinkToFit="1"/>
    </xf>
    <xf numFmtId="49" fontId="5" fillId="0" borderId="61" xfId="11" applyNumberFormat="1" applyFont="1" applyBorder="1" applyAlignment="1">
      <alignment horizontal="center" vertical="center" shrinkToFit="1"/>
    </xf>
    <xf numFmtId="0" fontId="5" fillId="4" borderId="0" xfId="11" applyFont="1" applyFill="1" applyBorder="1" applyAlignment="1">
      <alignment vertical="center" shrinkToFit="1"/>
    </xf>
    <xf numFmtId="49" fontId="153" fillId="0" borderId="152" xfId="11" applyNumberFormat="1" applyFont="1" applyBorder="1" applyAlignment="1">
      <alignment horizontal="center" vertical="center" shrinkToFit="1"/>
    </xf>
    <xf numFmtId="49" fontId="5" fillId="0" borderId="65" xfId="11" applyNumberFormat="1" applyFont="1" applyBorder="1" applyAlignment="1">
      <alignment horizontal="center" vertical="center" shrinkToFit="1"/>
    </xf>
    <xf numFmtId="0" fontId="5" fillId="4" borderId="64" xfId="11" applyFont="1" applyFill="1" applyBorder="1" applyAlignment="1">
      <alignment vertical="center" shrinkToFit="1"/>
    </xf>
    <xf numFmtId="49" fontId="154" fillId="0" borderId="52" xfId="11" applyNumberFormat="1" applyFont="1" applyBorder="1" applyAlignment="1">
      <alignment horizontal="center" vertical="center" shrinkToFit="1"/>
    </xf>
    <xf numFmtId="0" fontId="5" fillId="4" borderId="29" xfId="11" applyFont="1" applyFill="1" applyBorder="1" applyAlignment="1">
      <alignment horizontal="center" vertical="center" shrinkToFit="1"/>
    </xf>
    <xf numFmtId="0" fontId="5" fillId="4" borderId="0" xfId="11" quotePrefix="1" applyFont="1" applyFill="1" applyBorder="1" applyAlignment="1">
      <alignment horizontal="left" vertical="center" shrinkToFit="1"/>
    </xf>
    <xf numFmtId="0" fontId="5" fillId="0" borderId="53" xfId="11" applyFont="1" applyBorder="1" applyAlignment="1">
      <alignment horizontal="left" vertical="center"/>
    </xf>
    <xf numFmtId="0" fontId="5" fillId="0" borderId="56" xfId="11" applyFont="1" applyBorder="1" applyAlignment="1">
      <alignment horizontal="left" vertical="center"/>
    </xf>
    <xf numFmtId="0" fontId="5" fillId="4" borderId="55" xfId="11" quotePrefix="1" applyFont="1" applyFill="1" applyBorder="1" applyAlignment="1">
      <alignment horizontal="left" vertical="center" shrinkToFit="1"/>
    </xf>
    <xf numFmtId="49" fontId="155" fillId="0" borderId="149" xfId="11" applyNumberFormat="1" applyFont="1" applyBorder="1" applyAlignment="1">
      <alignment horizontal="center" vertical="center" shrinkToFit="1"/>
    </xf>
    <xf numFmtId="0" fontId="5" fillId="4" borderId="48" xfId="11" applyFont="1" applyFill="1" applyBorder="1" applyAlignment="1">
      <alignment vertical="center"/>
    </xf>
    <xf numFmtId="0" fontId="5" fillId="4" borderId="28" xfId="11" applyFont="1" applyFill="1" applyBorder="1" applyAlignment="1">
      <alignment vertical="center"/>
    </xf>
    <xf numFmtId="49" fontId="5" fillId="0" borderId="107" xfId="11" applyNumberFormat="1" applyFont="1" applyBorder="1" applyAlignment="1">
      <alignment horizontal="center" vertical="center" shrinkToFit="1"/>
    </xf>
    <xf numFmtId="0" fontId="5" fillId="4" borderId="136" xfId="11" applyFont="1" applyFill="1" applyBorder="1" applyAlignment="1">
      <alignment horizontal="left" vertical="center" wrapText="1"/>
    </xf>
    <xf numFmtId="0" fontId="5" fillId="4" borderId="48" xfId="11" applyFont="1" applyFill="1" applyBorder="1" applyAlignment="1">
      <alignment horizontal="left" vertical="center" wrapText="1"/>
    </xf>
    <xf numFmtId="0" fontId="5" fillId="4" borderId="48" xfId="11" applyFont="1" applyFill="1" applyBorder="1" applyAlignment="1">
      <alignment horizontal="left" vertical="center" shrinkToFit="1"/>
    </xf>
    <xf numFmtId="49" fontId="5" fillId="0" borderId="52" xfId="11" applyNumberFormat="1" applyFont="1" applyBorder="1" applyAlignment="1">
      <alignment horizontal="center" vertical="center" shrinkToFit="1"/>
    </xf>
    <xf numFmtId="0" fontId="5" fillId="4" borderId="136" xfId="11" applyFont="1" applyFill="1" applyBorder="1" applyAlignment="1">
      <alignment vertical="center"/>
    </xf>
    <xf numFmtId="0" fontId="5" fillId="0" borderId="39" xfId="11" applyFont="1" applyBorder="1" applyAlignment="1">
      <alignment horizontal="left" vertical="center"/>
    </xf>
    <xf numFmtId="0" fontId="5" fillId="0" borderId="35" xfId="11" applyFont="1" applyBorder="1" applyAlignment="1">
      <alignment horizontal="left" vertical="center"/>
    </xf>
    <xf numFmtId="49" fontId="5" fillId="0" borderId="105" xfId="11" applyNumberFormat="1" applyFont="1" applyBorder="1" applyAlignment="1">
      <alignment horizontal="center" vertical="center" shrinkToFit="1"/>
    </xf>
    <xf numFmtId="0" fontId="5" fillId="4" borderId="56" xfId="11" applyFont="1" applyFill="1" applyBorder="1" applyAlignment="1">
      <alignment vertical="center"/>
    </xf>
    <xf numFmtId="0" fontId="25" fillId="0" borderId="0" xfId="6" applyFont="1"/>
    <xf numFmtId="0" fontId="3" fillId="2" borderId="24" xfId="8" applyFill="1" applyBorder="1" applyAlignment="1">
      <alignment horizontal="center" vertical="center"/>
    </xf>
    <xf numFmtId="0" fontId="3" fillId="2" borderId="94" xfId="8" applyFill="1" applyBorder="1" applyAlignment="1">
      <alignment horizontal="center" vertical="center"/>
    </xf>
    <xf numFmtId="0" fontId="3" fillId="2" borderId="26" xfId="8" applyFill="1" applyBorder="1" applyAlignment="1">
      <alignment horizontal="center" vertical="center"/>
    </xf>
    <xf numFmtId="0" fontId="3" fillId="2" borderId="27" xfId="8" applyFill="1" applyBorder="1" applyAlignment="1">
      <alignment horizontal="center" vertical="center"/>
    </xf>
    <xf numFmtId="0" fontId="3" fillId="2" borderId="28" xfId="8" applyFill="1" applyBorder="1" applyAlignment="1">
      <alignment horizontal="center" vertical="center"/>
    </xf>
    <xf numFmtId="0" fontId="3" fillId="2" borderId="29" xfId="8" applyFill="1" applyBorder="1" applyAlignment="1">
      <alignment horizontal="center" vertical="center"/>
    </xf>
    <xf numFmtId="0" fontId="3" fillId="0" borderId="30" xfId="8" applyBorder="1" applyAlignment="1">
      <alignment horizontal="left" vertical="center" shrinkToFit="1"/>
    </xf>
    <xf numFmtId="0" fontId="6" fillId="0" borderId="31" xfId="8" applyFont="1" applyBorder="1" applyAlignment="1">
      <alignment horizontal="center" vertical="center" shrinkToFit="1"/>
    </xf>
    <xf numFmtId="49" fontId="28" fillId="4" borderId="32" xfId="8" applyNumberFormat="1" applyFont="1" applyFill="1" applyBorder="1" applyAlignment="1">
      <alignment horizontal="center" vertical="center" shrinkToFit="1"/>
    </xf>
    <xf numFmtId="49" fontId="28" fillId="4" borderId="89" xfId="8" applyNumberFormat="1" applyFont="1" applyFill="1" applyBorder="1" applyAlignment="1">
      <alignment horizontal="center" vertical="center" shrinkToFit="1"/>
    </xf>
    <xf numFmtId="49" fontId="28" fillId="4" borderId="33" xfId="8" applyNumberFormat="1" applyFont="1" applyFill="1" applyBorder="1" applyAlignment="1">
      <alignment horizontal="center" vertical="center" shrinkToFit="1"/>
    </xf>
    <xf numFmtId="0" fontId="0" fillId="0" borderId="31" xfId="8" applyFont="1" applyBorder="1" applyAlignment="1">
      <alignment horizontal="left" vertical="center" shrinkToFit="1"/>
    </xf>
    <xf numFmtId="0" fontId="3" fillId="0" borderId="31" xfId="8" applyBorder="1" applyAlignment="1">
      <alignment horizontal="right" vertical="center" shrinkToFit="1"/>
    </xf>
    <xf numFmtId="0" fontId="3" fillId="0" borderId="35" xfId="8" applyBorder="1" applyAlignment="1">
      <alignment vertical="center" shrinkToFit="1"/>
    </xf>
    <xf numFmtId="0" fontId="6" fillId="0" borderId="36" xfId="8" applyFont="1" applyBorder="1" applyAlignment="1">
      <alignment horizontal="center" vertical="center" shrinkToFit="1"/>
    </xf>
    <xf numFmtId="49" fontId="28" fillId="4" borderId="37" xfId="8" applyNumberFormat="1" applyFont="1" applyFill="1" applyBorder="1" applyAlignment="1">
      <alignment horizontal="center" vertical="center" shrinkToFit="1"/>
    </xf>
    <xf numFmtId="49" fontId="28" fillId="4" borderId="4" xfId="8" applyNumberFormat="1" applyFont="1" applyFill="1" applyBorder="1" applyAlignment="1">
      <alignment horizontal="center" vertical="center" shrinkToFit="1"/>
    </xf>
    <xf numFmtId="49" fontId="28" fillId="4" borderId="38" xfId="8" applyNumberFormat="1" applyFont="1" applyFill="1" applyBorder="1" applyAlignment="1">
      <alignment horizontal="center" vertical="center" shrinkToFit="1"/>
    </xf>
    <xf numFmtId="0" fontId="0" fillId="0" borderId="36" xfId="8" applyFont="1" applyBorder="1" applyAlignment="1">
      <alignment horizontal="left" vertical="center" shrinkToFit="1"/>
    </xf>
    <xf numFmtId="0" fontId="3" fillId="0" borderId="39" xfId="8" applyBorder="1" applyAlignment="1">
      <alignment vertical="center" shrinkToFit="1"/>
    </xf>
    <xf numFmtId="0" fontId="3" fillId="0" borderId="36" xfId="8" applyBorder="1" applyAlignment="1">
      <alignment vertical="center" shrinkToFit="1"/>
    </xf>
    <xf numFmtId="0" fontId="3" fillId="0" borderId="40" xfId="8" applyBorder="1" applyAlignment="1">
      <alignment vertical="center" shrinkToFit="1"/>
    </xf>
    <xf numFmtId="0" fontId="6" fillId="0" borderId="41" xfId="8" applyFont="1" applyBorder="1" applyAlignment="1">
      <alignment horizontal="center" vertical="center" shrinkToFit="1"/>
    </xf>
    <xf numFmtId="49" fontId="28" fillId="4" borderId="27" xfId="8" applyNumberFormat="1" applyFont="1" applyFill="1" applyBorder="1" applyAlignment="1">
      <alignment horizontal="center" vertical="center" shrinkToFit="1"/>
    </xf>
    <xf numFmtId="49" fontId="28" fillId="4" borderId="26" xfId="8" applyNumberFormat="1" applyFont="1" applyFill="1" applyBorder="1" applyAlignment="1">
      <alignment horizontal="center" vertical="center" shrinkToFit="1"/>
    </xf>
    <xf numFmtId="49" fontId="28" fillId="4" borderId="42" xfId="8" applyNumberFormat="1" applyFont="1" applyFill="1" applyBorder="1" applyAlignment="1">
      <alignment horizontal="center" vertical="center" shrinkToFit="1"/>
    </xf>
    <xf numFmtId="0" fontId="3" fillId="0" borderId="41" xfId="8" applyBorder="1" applyAlignment="1">
      <alignment horizontal="left" vertical="center" shrinkToFit="1"/>
    </xf>
    <xf numFmtId="0" fontId="3" fillId="0" borderId="43" xfId="8" applyBorder="1" applyAlignment="1">
      <alignment horizontal="right" vertical="center" shrinkToFit="1"/>
    </xf>
    <xf numFmtId="0" fontId="0" fillId="0" borderId="10" xfId="8" applyFont="1" applyBorder="1" applyAlignment="1">
      <alignment vertical="center" shrinkToFit="1"/>
    </xf>
    <xf numFmtId="0" fontId="6" fillId="0" borderId="44" xfId="8" quotePrefix="1" applyFont="1" applyBorder="1" applyAlignment="1">
      <alignment horizontal="center" vertical="center" shrinkToFit="1"/>
    </xf>
    <xf numFmtId="49" fontId="157" fillId="4" borderId="32" xfId="7" applyNumberFormat="1" applyFont="1" applyFill="1" applyBorder="1" applyAlignment="1">
      <alignment horizontal="center" vertical="center" shrinkToFit="1"/>
    </xf>
    <xf numFmtId="49" fontId="28" fillId="4" borderId="46" xfId="8" applyNumberFormat="1" applyFont="1" applyFill="1" applyBorder="1" applyAlignment="1">
      <alignment horizontal="center" vertical="center" shrinkToFit="1"/>
    </xf>
    <xf numFmtId="49" fontId="28" fillId="4" borderId="45" xfId="8" applyNumberFormat="1" applyFont="1" applyFill="1" applyBorder="1" applyAlignment="1">
      <alignment horizontal="center" vertical="center" shrinkToFit="1"/>
    </xf>
    <xf numFmtId="0" fontId="0" fillId="0" borderId="44" xfId="8" applyFont="1" applyBorder="1" applyAlignment="1">
      <alignment horizontal="left" vertical="center" shrinkToFit="1"/>
    </xf>
    <xf numFmtId="0" fontId="0" fillId="0" borderId="47" xfId="8" applyFont="1" applyBorder="1" applyAlignment="1">
      <alignment vertical="center" shrinkToFit="1"/>
    </xf>
    <xf numFmtId="0" fontId="0" fillId="0" borderId="48" xfId="8" applyFont="1" applyBorder="1" applyAlignment="1">
      <alignment vertical="center" shrinkToFit="1"/>
    </xf>
    <xf numFmtId="0" fontId="3" fillId="0" borderId="36" xfId="8" applyBorder="1" applyAlignment="1">
      <alignment horizontal="left" vertical="center" shrinkToFit="1"/>
    </xf>
    <xf numFmtId="0" fontId="0" fillId="0" borderId="39" xfId="8" applyFont="1" applyBorder="1" applyAlignment="1">
      <alignment vertical="center" shrinkToFit="1"/>
    </xf>
    <xf numFmtId="0" fontId="0" fillId="0" borderId="55" xfId="8" applyFont="1" applyBorder="1" applyAlignment="1">
      <alignment vertical="center" shrinkToFit="1"/>
    </xf>
    <xf numFmtId="0" fontId="6" fillId="0" borderId="44" xfId="8" applyFont="1" applyBorder="1" applyAlignment="1">
      <alignment horizontal="center" vertical="center" shrinkToFit="1"/>
    </xf>
    <xf numFmtId="49" fontId="157" fillId="4" borderId="37" xfId="7" applyNumberFormat="1" applyFont="1" applyFill="1" applyBorder="1" applyAlignment="1">
      <alignment horizontal="center" vertical="center" shrinkToFit="1"/>
    </xf>
    <xf numFmtId="49" fontId="157" fillId="4" borderId="38" xfId="7" applyNumberFormat="1" applyFont="1" applyFill="1" applyBorder="1" applyAlignment="1">
      <alignment horizontal="center" vertical="center" shrinkToFit="1"/>
    </xf>
    <xf numFmtId="0" fontId="6" fillId="0" borderId="49" xfId="8" applyFont="1" applyBorder="1" applyAlignment="1">
      <alignment horizontal="center" vertical="center" shrinkToFit="1"/>
    </xf>
    <xf numFmtId="49" fontId="28" fillId="4" borderId="50" xfId="8" applyNumberFormat="1" applyFont="1" applyFill="1" applyBorder="1" applyAlignment="1">
      <alignment horizontal="center" vertical="center" shrinkToFit="1"/>
    </xf>
    <xf numFmtId="0" fontId="0" fillId="0" borderId="39" xfId="8" applyFont="1" applyBorder="1" applyAlignment="1">
      <alignment horizontal="left" vertical="center" shrinkToFit="1"/>
    </xf>
    <xf numFmtId="0" fontId="0" fillId="0" borderId="59" xfId="9" applyFont="1" applyBorder="1" applyAlignment="1">
      <alignment horizontal="left" vertical="center" shrinkToFit="1"/>
    </xf>
    <xf numFmtId="49" fontId="28" fillId="0" borderId="159" xfId="8" applyNumberFormat="1" applyFont="1" applyBorder="1" applyAlignment="1">
      <alignment horizontal="center" vertical="center" shrinkToFit="1"/>
    </xf>
    <xf numFmtId="49" fontId="28" fillId="4" borderId="52" xfId="8" applyNumberFormat="1" applyFont="1" applyFill="1" applyBorder="1" applyAlignment="1">
      <alignment horizontal="center" vertical="center" shrinkToFit="1"/>
    </xf>
    <xf numFmtId="0" fontId="0" fillId="0" borderId="49" xfId="8" applyFont="1" applyBorder="1" applyAlignment="1">
      <alignment horizontal="left" vertical="center" shrinkToFit="1"/>
    </xf>
    <xf numFmtId="0" fontId="3" fillId="0" borderId="53" xfId="8" applyBorder="1" applyAlignment="1">
      <alignment horizontal="left" vertical="center" shrinkToFit="1"/>
    </xf>
    <xf numFmtId="0" fontId="0" fillId="0" borderId="30" xfId="8" applyFont="1" applyBorder="1" applyAlignment="1">
      <alignment vertical="center" shrinkToFit="1"/>
    </xf>
    <xf numFmtId="0" fontId="0" fillId="0" borderId="54" xfId="8" applyFont="1" applyBorder="1" applyAlignment="1">
      <alignment horizontal="left" vertical="center" shrinkToFit="1"/>
    </xf>
    <xf numFmtId="0" fontId="0" fillId="0" borderId="34" xfId="8" applyFont="1" applyBorder="1" applyAlignment="1">
      <alignment vertical="center" shrinkToFit="1"/>
    </xf>
    <xf numFmtId="0" fontId="6" fillId="0" borderId="60" xfId="8" applyFont="1" applyBorder="1" applyAlignment="1">
      <alignment horizontal="center" vertical="center" shrinkToFit="1"/>
    </xf>
    <xf numFmtId="49" fontId="28" fillId="4" borderId="62" xfId="8" applyNumberFormat="1" applyFont="1" applyFill="1" applyBorder="1" applyAlignment="1">
      <alignment horizontal="center" vertical="center" shrinkToFit="1"/>
    </xf>
    <xf numFmtId="49" fontId="28" fillId="4" borderId="61" xfId="8" applyNumberFormat="1" applyFont="1" applyFill="1" applyBorder="1" applyAlignment="1">
      <alignment horizontal="center" vertical="center" shrinkToFit="1"/>
    </xf>
    <xf numFmtId="0" fontId="0" fillId="0" borderId="60" xfId="8" applyFont="1" applyBorder="1" applyAlignment="1">
      <alignment horizontal="left" vertical="center" shrinkToFit="1"/>
    </xf>
    <xf numFmtId="0" fontId="0" fillId="0" borderId="63" xfId="8" applyFont="1" applyBorder="1" applyAlignment="1">
      <alignment horizontal="left" vertical="center" shrinkToFit="1"/>
    </xf>
    <xf numFmtId="0" fontId="0" fillId="0" borderId="40" xfId="8" applyFont="1" applyBorder="1" applyAlignment="1">
      <alignment vertical="center" shrinkToFit="1"/>
    </xf>
    <xf numFmtId="0" fontId="0" fillId="0" borderId="41" xfId="8" applyFont="1" applyBorder="1" applyAlignment="1">
      <alignment horizontal="left" vertical="center" shrinkToFit="1"/>
    </xf>
    <xf numFmtId="0" fontId="0" fillId="0" borderId="43" xfId="8" applyFont="1" applyBorder="1" applyAlignment="1">
      <alignment horizontal="left" vertical="center" shrinkToFit="1"/>
    </xf>
    <xf numFmtId="0" fontId="3" fillId="0" borderId="30" xfId="8" applyBorder="1" applyAlignment="1">
      <alignment vertical="center" shrinkToFit="1"/>
    </xf>
    <xf numFmtId="0" fontId="0" fillId="0" borderId="54" xfId="8" applyFont="1" applyBorder="1" applyAlignment="1">
      <alignment vertical="center" shrinkToFit="1"/>
    </xf>
    <xf numFmtId="49" fontId="157" fillId="4" borderId="45" xfId="7" applyNumberFormat="1" applyFont="1" applyFill="1" applyBorder="1" applyAlignment="1">
      <alignment horizontal="center" vertical="center" shrinkToFit="1"/>
    </xf>
    <xf numFmtId="49" fontId="28" fillId="4" borderId="149" xfId="8" applyNumberFormat="1" applyFont="1" applyFill="1" applyBorder="1" applyAlignment="1">
      <alignment horizontal="center" vertical="center" shrinkToFit="1"/>
    </xf>
    <xf numFmtId="0" fontId="151" fillId="0" borderId="63" xfId="8" applyFont="1" applyBorder="1" applyAlignment="1">
      <alignment vertical="center" shrinkToFit="1"/>
    </xf>
    <xf numFmtId="49" fontId="28" fillId="0" borderId="27" xfId="8" applyNumberFormat="1" applyFont="1" applyBorder="1" applyAlignment="1">
      <alignment horizontal="center" vertical="center" shrinkToFit="1"/>
    </xf>
    <xf numFmtId="49" fontId="157" fillId="4" borderId="42" xfId="7" applyNumberFormat="1" applyFont="1" applyFill="1" applyBorder="1" applyAlignment="1">
      <alignment horizontal="center" vertical="center" shrinkToFit="1"/>
    </xf>
    <xf numFmtId="0" fontId="3" fillId="0" borderId="43" xfId="8" applyBorder="1" applyAlignment="1">
      <alignment vertical="center" shrinkToFit="1"/>
    </xf>
    <xf numFmtId="0" fontId="6" fillId="3" borderId="36" xfId="8" applyFont="1" applyFill="1" applyBorder="1" applyAlignment="1">
      <alignment horizontal="center" vertical="center" shrinkToFit="1"/>
    </xf>
    <xf numFmtId="0" fontId="6" fillId="0" borderId="39" xfId="8" applyFont="1" applyBorder="1" applyAlignment="1">
      <alignment horizontal="left" vertical="center" shrinkToFit="1"/>
    </xf>
    <xf numFmtId="0" fontId="6" fillId="3" borderId="41" xfId="8" applyFont="1" applyFill="1" applyBorder="1" applyAlignment="1">
      <alignment horizontal="center" vertical="center" shrinkToFit="1"/>
    </xf>
    <xf numFmtId="49" fontId="157" fillId="4" borderId="48" xfId="7" applyNumberFormat="1" applyFont="1" applyFill="1" applyBorder="1" applyAlignment="1">
      <alignment horizontal="center" vertical="center" shrinkToFit="1"/>
    </xf>
    <xf numFmtId="0" fontId="0" fillId="0" borderId="99" xfId="68" applyFont="1" applyBorder="1">
      <alignment vertical="center"/>
    </xf>
    <xf numFmtId="0" fontId="3" fillId="0" borderId="64" xfId="8" applyBorder="1" applyAlignment="1">
      <alignment vertical="center" shrinkToFit="1"/>
    </xf>
    <xf numFmtId="0" fontId="6" fillId="3" borderId="31" xfId="8" applyFont="1" applyFill="1" applyBorder="1" applyAlignment="1">
      <alignment horizontal="center" vertical="center" shrinkToFit="1"/>
    </xf>
    <xf numFmtId="0" fontId="0" fillId="0" borderId="31" xfId="8" applyFont="1" applyBorder="1" applyAlignment="1">
      <alignment vertical="center" shrinkToFit="1"/>
    </xf>
    <xf numFmtId="0" fontId="3" fillId="0" borderId="48" xfId="8" applyBorder="1" applyAlignment="1">
      <alignment vertical="center" shrinkToFit="1"/>
    </xf>
    <xf numFmtId="49" fontId="28" fillId="4" borderId="107" xfId="8" applyNumberFormat="1" applyFont="1" applyFill="1" applyBorder="1" applyAlignment="1">
      <alignment horizontal="center" vertical="center" shrinkToFit="1"/>
    </xf>
    <xf numFmtId="0" fontId="0" fillId="0" borderId="48" xfId="8" applyFont="1" applyBorder="1" applyAlignment="1">
      <alignment horizontal="left" vertical="center" shrinkToFit="1"/>
    </xf>
    <xf numFmtId="0" fontId="3" fillId="0" borderId="48" xfId="8" applyBorder="1" applyAlignment="1">
      <alignment horizontal="left" vertical="center" shrinkToFit="1"/>
    </xf>
    <xf numFmtId="0" fontId="0" fillId="0" borderId="36" xfId="8" applyFont="1" applyBorder="1" applyAlignment="1">
      <alignment vertical="center" shrinkToFit="1"/>
    </xf>
    <xf numFmtId="0" fontId="0" fillId="0" borderId="136" xfId="8" applyFont="1" applyBorder="1" applyAlignment="1">
      <alignment vertical="center" shrinkToFit="1"/>
    </xf>
    <xf numFmtId="49" fontId="28" fillId="4" borderId="106" xfId="8" applyNumberFormat="1" applyFont="1" applyFill="1" applyBorder="1" applyAlignment="1">
      <alignment horizontal="center" vertical="center" shrinkToFit="1"/>
    </xf>
    <xf numFmtId="0" fontId="0" fillId="0" borderId="49" xfId="8" applyFont="1" applyBorder="1" applyAlignment="1">
      <alignment vertical="center" shrinkToFit="1"/>
    </xf>
    <xf numFmtId="0" fontId="3" fillId="0" borderId="53" xfId="8" applyBorder="1" applyAlignment="1">
      <alignment vertical="center" shrinkToFit="1"/>
    </xf>
    <xf numFmtId="0" fontId="0" fillId="0" borderId="56" xfId="8" applyFont="1" applyBorder="1" applyAlignment="1">
      <alignment vertical="center" shrinkToFit="1"/>
    </xf>
    <xf numFmtId="49" fontId="28" fillId="4" borderId="51" xfId="8" applyNumberFormat="1" applyFont="1" applyFill="1" applyBorder="1" applyAlignment="1">
      <alignment horizontal="center" vertical="center" shrinkToFit="1"/>
    </xf>
    <xf numFmtId="0" fontId="0" fillId="0" borderId="43" xfId="8" applyFont="1" applyBorder="1" applyAlignment="1">
      <alignment vertical="center" shrinkToFit="1"/>
    </xf>
    <xf numFmtId="49" fontId="31" fillId="0" borderId="66" xfId="11" quotePrefix="1" applyNumberFormat="1" applyFont="1" applyBorder="1"/>
    <xf numFmtId="49" fontId="28" fillId="0" borderId="157" xfId="8" applyNumberFormat="1" applyFont="1" applyBorder="1" applyAlignment="1">
      <alignment horizontal="center" vertical="center" shrinkToFit="1"/>
    </xf>
    <xf numFmtId="49" fontId="28" fillId="0" borderId="33" xfId="8" applyNumberFormat="1" applyFont="1" applyBorder="1" applyAlignment="1">
      <alignment horizontal="center" vertical="center" shrinkToFit="1"/>
    </xf>
    <xf numFmtId="49" fontId="28" fillId="0" borderId="32" xfId="8" applyNumberFormat="1" applyFont="1" applyBorder="1" applyAlignment="1">
      <alignment horizontal="center" vertical="center" shrinkToFit="1"/>
    </xf>
    <xf numFmtId="49" fontId="28" fillId="0" borderId="158" xfId="8" applyNumberFormat="1" applyFont="1" applyBorder="1" applyAlignment="1">
      <alignment horizontal="center" vertical="center" shrinkToFit="1"/>
    </xf>
    <xf numFmtId="49" fontId="28" fillId="0" borderId="38" xfId="8" applyNumberFormat="1" applyFont="1" applyBorder="1" applyAlignment="1">
      <alignment horizontal="center" vertical="center" shrinkToFit="1"/>
    </xf>
    <xf numFmtId="49" fontId="28" fillId="0" borderId="37" xfId="8" applyNumberFormat="1" applyFont="1" applyBorder="1" applyAlignment="1">
      <alignment horizontal="center" vertical="center" shrinkToFit="1"/>
    </xf>
    <xf numFmtId="49" fontId="28" fillId="0" borderId="42" xfId="8" applyNumberFormat="1" applyFont="1" applyBorder="1" applyAlignment="1">
      <alignment horizontal="center" vertical="center" shrinkToFit="1"/>
    </xf>
    <xf numFmtId="49" fontId="28" fillId="0" borderId="160" xfId="8" applyNumberFormat="1" applyFont="1" applyBorder="1" applyAlignment="1">
      <alignment horizontal="center" vertical="center" shrinkToFit="1"/>
    </xf>
    <xf numFmtId="49" fontId="28" fillId="0" borderId="45" xfId="8" applyNumberFormat="1" applyFont="1" applyBorder="1" applyAlignment="1">
      <alignment horizontal="center" vertical="center" shrinkToFit="1"/>
    </xf>
    <xf numFmtId="49" fontId="28" fillId="0" borderId="46" xfId="8" applyNumberFormat="1" applyFont="1" applyBorder="1" applyAlignment="1">
      <alignment horizontal="center" vertical="center" shrinkToFit="1"/>
    </xf>
    <xf numFmtId="49" fontId="28" fillId="0" borderId="10" xfId="8" applyNumberFormat="1" applyFont="1" applyBorder="1" applyAlignment="1">
      <alignment horizontal="center" vertical="center" shrinkToFit="1"/>
    </xf>
    <xf numFmtId="49" fontId="28" fillId="0" borderId="61" xfId="8" applyNumberFormat="1" applyFont="1" applyBorder="1" applyAlignment="1">
      <alignment horizontal="center" vertical="center" shrinkToFit="1"/>
    </xf>
    <xf numFmtId="49" fontId="28" fillId="0" borderId="93" xfId="8" applyNumberFormat="1" applyFont="1" applyBorder="1" applyAlignment="1">
      <alignment horizontal="center" vertical="center" shrinkToFit="1"/>
    </xf>
    <xf numFmtId="49" fontId="28" fillId="0" borderId="48" xfId="8" applyNumberFormat="1" applyFont="1" applyBorder="1" applyAlignment="1">
      <alignment horizontal="center" vertical="center" shrinkToFit="1"/>
    </xf>
    <xf numFmtId="49" fontId="157" fillId="0" borderId="37" xfId="7" applyNumberFormat="1" applyFont="1" applyBorder="1" applyAlignment="1">
      <alignment horizontal="center" vertical="center" shrinkToFit="1"/>
    </xf>
    <xf numFmtId="49" fontId="157" fillId="0" borderId="38" xfId="7" applyNumberFormat="1" applyFont="1" applyBorder="1" applyAlignment="1">
      <alignment horizontal="center" vertical="center" shrinkToFit="1"/>
    </xf>
    <xf numFmtId="49" fontId="28" fillId="0" borderId="50" xfId="8" applyNumberFormat="1" applyFont="1" applyBorder="1" applyAlignment="1">
      <alignment horizontal="center" vertical="center" shrinkToFit="1"/>
    </xf>
    <xf numFmtId="49" fontId="28" fillId="0" borderId="161" xfId="8" applyNumberFormat="1" applyFont="1" applyBorder="1" applyAlignment="1">
      <alignment horizontal="center" vertical="center" shrinkToFit="1"/>
    </xf>
    <xf numFmtId="49" fontId="28" fillId="0" borderId="62" xfId="8" applyNumberFormat="1" applyFont="1" applyBorder="1" applyAlignment="1">
      <alignment horizontal="center" vertical="center" shrinkToFit="1"/>
    </xf>
    <xf numFmtId="49" fontId="157" fillId="0" borderId="45" xfId="7" applyNumberFormat="1" applyFont="1" applyBorder="1" applyAlignment="1">
      <alignment horizontal="center" vertical="center" shrinkToFit="1"/>
    </xf>
    <xf numFmtId="49" fontId="157" fillId="0" borderId="42" xfId="7" applyNumberFormat="1" applyFont="1" applyBorder="1" applyAlignment="1">
      <alignment horizontal="center" vertical="center" shrinkToFit="1"/>
    </xf>
    <xf numFmtId="49" fontId="28" fillId="0" borderId="51" xfId="8" applyNumberFormat="1" applyFont="1" applyBorder="1" applyAlignment="1">
      <alignment horizontal="center" vertical="center" shrinkToFit="1"/>
    </xf>
    <xf numFmtId="49" fontId="157" fillId="0" borderId="48" xfId="7" applyNumberFormat="1" applyFont="1" applyBorder="1" applyAlignment="1">
      <alignment horizontal="center" vertical="center" shrinkToFit="1"/>
    </xf>
    <xf numFmtId="49" fontId="28" fillId="0" borderId="57" xfId="8" applyNumberFormat="1" applyFont="1" applyBorder="1" applyAlignment="1">
      <alignment horizontal="center" vertical="center" shrinkToFit="1"/>
    </xf>
    <xf numFmtId="49" fontId="28" fillId="0" borderId="106" xfId="8" applyNumberFormat="1" applyFont="1" applyBorder="1" applyAlignment="1">
      <alignment horizontal="center" vertical="center" shrinkToFit="1"/>
    </xf>
    <xf numFmtId="0" fontId="11" fillId="0" borderId="163" xfId="0" applyFont="1" applyBorder="1" applyAlignment="1">
      <alignment vertical="center"/>
    </xf>
    <xf numFmtId="0" fontId="4" fillId="0" borderId="164" xfId="0" applyFont="1" applyBorder="1" applyAlignment="1">
      <alignment vertical="center"/>
    </xf>
    <xf numFmtId="0" fontId="3" fillId="0" borderId="164" xfId="0" applyFont="1" applyBorder="1"/>
    <xf numFmtId="0" fontId="7" fillId="0" borderId="164" xfId="0" applyFont="1" applyBorder="1"/>
    <xf numFmtId="0" fontId="3" fillId="0" borderId="165" xfId="0" applyFont="1" applyBorder="1"/>
    <xf numFmtId="0" fontId="9" fillId="0" borderId="143" xfId="0" applyFont="1" applyBorder="1" applyAlignment="1">
      <alignment vertical="center"/>
    </xf>
    <xf numFmtId="0" fontId="4" fillId="0" borderId="0" xfId="0" applyFont="1" applyBorder="1" applyAlignment="1">
      <alignment vertical="center"/>
    </xf>
    <xf numFmtId="0" fontId="7" fillId="0" borderId="0" xfId="0" applyFont="1" applyBorder="1"/>
    <xf numFmtId="0" fontId="3" fillId="0" borderId="166" xfId="0" applyFont="1" applyBorder="1"/>
    <xf numFmtId="0" fontId="0" fillId="0" borderId="0" xfId="0" applyBorder="1"/>
    <xf numFmtId="0" fontId="6" fillId="0" borderId="166" xfId="0" applyFont="1" applyBorder="1" applyAlignment="1">
      <alignment vertical="center"/>
    </xf>
    <xf numFmtId="0" fontId="5" fillId="2" borderId="162" xfId="0" applyFont="1" applyFill="1" applyBorder="1" applyAlignment="1">
      <alignment horizontal="center" vertical="center"/>
    </xf>
    <xf numFmtId="0" fontId="5" fillId="2" borderId="169" xfId="0" applyFont="1" applyFill="1" applyBorder="1" applyAlignment="1">
      <alignment horizontal="center" vertical="center"/>
    </xf>
    <xf numFmtId="0" fontId="6" fillId="0" borderId="172" xfId="0" applyFont="1" applyBorder="1" applyAlignment="1">
      <alignment vertical="center"/>
    </xf>
    <xf numFmtId="0" fontId="6" fillId="0" borderId="173" xfId="0" applyFont="1" applyBorder="1" applyAlignment="1">
      <alignment vertical="center"/>
    </xf>
    <xf numFmtId="49" fontId="6" fillId="0" borderId="7" xfId="0" applyNumberFormat="1" applyFont="1" applyBorder="1" applyAlignment="1">
      <alignment horizontal="left" vertical="center" shrinkToFit="1"/>
    </xf>
    <xf numFmtId="49" fontId="6" fillId="0" borderId="70" xfId="0" applyNumberFormat="1" applyFont="1" applyBorder="1" applyAlignment="1">
      <alignment horizontal="left" vertical="center" shrinkToFit="1"/>
    </xf>
    <xf numFmtId="49" fontId="150" fillId="0" borderId="149" xfId="11" applyNumberFormat="1" applyFont="1" applyBorder="1" applyAlignment="1">
      <alignment horizontal="center" vertical="center" shrinkToFit="1"/>
    </xf>
    <xf numFmtId="49" fontId="150" fillId="0" borderId="154" xfId="11" applyNumberFormat="1" applyFont="1" applyBorder="1" applyAlignment="1">
      <alignment horizontal="center" vertical="center" shrinkToFit="1"/>
    </xf>
    <xf numFmtId="49" fontId="150" fillId="0" borderId="52" xfId="11" applyNumberFormat="1" applyFont="1" applyBorder="1" applyAlignment="1">
      <alignment horizontal="center" vertical="center" shrinkToFit="1"/>
    </xf>
    <xf numFmtId="55" fontId="0" fillId="0" borderId="14" xfId="0" applyNumberFormat="1" applyBorder="1" applyAlignment="1">
      <alignment horizontal="center" vertical="center" shrinkToFit="1"/>
    </xf>
    <xf numFmtId="178" fontId="0" fillId="0" borderId="2" xfId="0" applyNumberFormat="1" applyBorder="1" applyAlignment="1">
      <alignment horizontal="center" vertical="center" shrinkToFit="1"/>
    </xf>
    <xf numFmtId="0" fontId="0" fillId="0" borderId="14" xfId="0" applyBorder="1" applyAlignment="1">
      <alignment horizontal="center" vertical="center" shrinkToFit="1"/>
    </xf>
    <xf numFmtId="178" fontId="0" fillId="0" borderId="2" xfId="0" quotePrefix="1" applyNumberFormat="1" applyBorder="1" applyAlignment="1">
      <alignment horizontal="center" vertical="center" shrinkToFit="1"/>
    </xf>
    <xf numFmtId="178" fontId="3" fillId="0" borderId="2" xfId="0" applyNumberFormat="1" applyFont="1" applyBorder="1" applyAlignment="1">
      <alignment horizontal="center" vertical="center" shrinkToFit="1"/>
    </xf>
    <xf numFmtId="55" fontId="3" fillId="0" borderId="14" xfId="0" applyNumberFormat="1" applyFont="1" applyBorder="1" applyAlignment="1">
      <alignment horizontal="center" vertical="center" shrinkToFit="1"/>
    </xf>
    <xf numFmtId="0" fontId="3" fillId="0" borderId="17" xfId="0" quotePrefix="1" applyFont="1" applyBorder="1" applyAlignment="1">
      <alignment horizontal="center" vertical="center" shrinkToFit="1"/>
    </xf>
    <xf numFmtId="181" fontId="3" fillId="0" borderId="17" xfId="0" applyNumberFormat="1" applyFont="1" applyBorder="1" applyAlignment="1">
      <alignment horizontal="right" vertical="center" shrinkToFit="1"/>
    </xf>
    <xf numFmtId="176" fontId="150" fillId="0" borderId="17" xfId="0" applyNumberFormat="1" applyFont="1" applyBorder="1" applyAlignment="1">
      <alignment horizontal="center" vertical="center"/>
    </xf>
    <xf numFmtId="180" fontId="0" fillId="0" borderId="2" xfId="0" applyNumberFormat="1" applyBorder="1" applyAlignment="1">
      <alignment horizontal="right" vertical="center" shrinkToFit="1"/>
    </xf>
    <xf numFmtId="186" fontId="0" fillId="0" borderId="2" xfId="0" applyNumberFormat="1" applyBorder="1" applyProtection="1">
      <protection hidden="1"/>
    </xf>
    <xf numFmtId="180" fontId="3" fillId="0" borderId="2" xfId="0" applyNumberFormat="1" applyFont="1" applyBorder="1" applyAlignment="1">
      <alignment horizontal="right" vertical="center" shrinkToFit="1"/>
    </xf>
    <xf numFmtId="180" fontId="0" fillId="0" borderId="72" xfId="0" applyNumberFormat="1" applyBorder="1" applyAlignment="1">
      <alignment horizontal="right" vertical="center" shrinkToFit="1"/>
    </xf>
    <xf numFmtId="180" fontId="3" fillId="0" borderId="72" xfId="0" applyNumberFormat="1" applyFont="1" applyBorder="1" applyAlignment="1">
      <alignment horizontal="right" vertical="center" shrinkToFit="1"/>
    </xf>
    <xf numFmtId="0" fontId="6" fillId="0" borderId="6" xfId="0" applyFont="1" applyBorder="1" applyAlignment="1">
      <alignment vertical="center"/>
    </xf>
    <xf numFmtId="0" fontId="6" fillId="0" borderId="136" xfId="0" applyFont="1" applyBorder="1" applyAlignment="1">
      <alignment vertical="center"/>
    </xf>
    <xf numFmtId="0" fontId="6" fillId="0" borderId="70" xfId="0" applyFont="1" applyBorder="1" applyAlignment="1">
      <alignment vertical="center"/>
    </xf>
    <xf numFmtId="0" fontId="6" fillId="0" borderId="9" xfId="0" applyFont="1" applyBorder="1" applyAlignment="1">
      <alignment vertical="center"/>
    </xf>
    <xf numFmtId="0" fontId="158" fillId="0" borderId="174" xfId="68" applyFont="1" applyBorder="1" applyProtection="1">
      <alignment vertical="center"/>
      <protection locked="0"/>
    </xf>
    <xf numFmtId="0" fontId="3" fillId="0" borderId="174" xfId="68" applyBorder="1">
      <alignment vertical="center"/>
    </xf>
    <xf numFmtId="0" fontId="15" fillId="0" borderId="174" xfId="68" applyFont="1" applyBorder="1" applyAlignment="1">
      <alignment horizontal="right" vertical="center"/>
    </xf>
    <xf numFmtId="0" fontId="12" fillId="0" borderId="174" xfId="68" applyFont="1" applyBorder="1" applyAlignment="1">
      <alignment horizontal="left" vertical="center"/>
    </xf>
    <xf numFmtId="0" fontId="3" fillId="0" borderId="174" xfId="68" applyBorder="1" applyAlignment="1">
      <alignment horizontal="center" vertical="center"/>
    </xf>
    <xf numFmtId="14" fontId="25" fillId="0" borderId="174" xfId="9" applyNumberFormat="1" applyFont="1" applyBorder="1">
      <alignment vertical="center"/>
    </xf>
    <xf numFmtId="0" fontId="1" fillId="0" borderId="0" xfId="564" applyProtection="1">
      <alignment vertical="center"/>
      <protection locked="0"/>
    </xf>
    <xf numFmtId="0" fontId="26" fillId="0" borderId="0" xfId="68" applyFont="1" applyProtection="1">
      <alignment vertical="center"/>
      <protection locked="0"/>
    </xf>
    <xf numFmtId="0" fontId="3" fillId="0" borderId="0" xfId="68">
      <alignment vertical="center"/>
    </xf>
    <xf numFmtId="0" fontId="3" fillId="0" borderId="0" xfId="68" applyAlignment="1">
      <alignment horizontal="center" vertical="center"/>
    </xf>
    <xf numFmtId="0" fontId="17" fillId="0" borderId="0" xfId="68" applyFont="1" applyAlignment="1" applyProtection="1">
      <alignment horizontal="center" vertical="center"/>
      <protection locked="0"/>
    </xf>
    <xf numFmtId="0" fontId="11" fillId="0" borderId="0" xfId="68" applyFont="1" applyAlignment="1">
      <alignment horizontal="left" vertical="center"/>
    </xf>
    <xf numFmtId="0" fontId="5" fillId="0" borderId="0" xfId="68" applyFont="1" applyAlignment="1">
      <alignment horizontal="center" vertical="center"/>
    </xf>
    <xf numFmtId="0" fontId="5" fillId="0" borderId="0" xfId="68" applyFont="1" applyAlignment="1" applyProtection="1">
      <alignment horizontal="center" vertical="center"/>
      <protection locked="0"/>
    </xf>
    <xf numFmtId="0" fontId="15" fillId="0" borderId="0" xfId="68" applyFont="1" applyAlignment="1">
      <alignment horizontal="center" vertical="center"/>
    </xf>
    <xf numFmtId="0" fontId="5" fillId="0" borderId="0" xfId="68" applyFont="1" applyAlignment="1" applyProtection="1">
      <alignment horizontal="left" vertical="center"/>
      <protection locked="0"/>
    </xf>
    <xf numFmtId="0" fontId="15" fillId="0" borderId="175" xfId="68" applyFont="1" applyBorder="1" applyAlignment="1">
      <alignment horizontal="center" vertical="center"/>
    </xf>
    <xf numFmtId="0" fontId="15" fillId="0" borderId="171" xfId="68" applyFont="1" applyBorder="1" applyAlignment="1">
      <alignment horizontal="center" vertical="center"/>
    </xf>
    <xf numFmtId="0" fontId="15" fillId="0" borderId="171" xfId="68" applyFont="1" applyBorder="1" applyAlignment="1">
      <alignment horizontal="center" vertical="center" shrinkToFit="1"/>
    </xf>
    <xf numFmtId="0" fontId="15" fillId="0" borderId="176" xfId="68" applyFont="1" applyBorder="1" applyAlignment="1">
      <alignment horizontal="center" vertical="center" shrinkToFit="1"/>
    </xf>
    <xf numFmtId="0" fontId="15" fillId="0" borderId="0" xfId="68" applyFont="1" applyAlignment="1">
      <alignment horizontal="left" vertical="center"/>
    </xf>
    <xf numFmtId="0" fontId="15" fillId="0" borderId="177" xfId="68" applyFont="1" applyBorder="1" applyAlignment="1">
      <alignment horizontal="left" vertical="center"/>
    </xf>
    <xf numFmtId="0" fontId="15" fillId="0" borderId="72" xfId="68" applyFont="1" applyBorder="1" applyAlignment="1">
      <alignment horizontal="left" vertical="center"/>
    </xf>
    <xf numFmtId="0" fontId="3" fillId="0" borderId="72" xfId="68" applyBorder="1" applyAlignment="1">
      <alignment horizontal="left" vertical="center"/>
    </xf>
    <xf numFmtId="223" fontId="3" fillId="0" borderId="72" xfId="68" applyNumberFormat="1" applyBorder="1" applyAlignment="1">
      <alignment horizontal="left" vertical="center"/>
    </xf>
    <xf numFmtId="0" fontId="15" fillId="0" borderId="162" xfId="68" applyFont="1" applyBorder="1" applyAlignment="1">
      <alignment horizontal="center" vertical="center"/>
    </xf>
    <xf numFmtId="0" fontId="15" fillId="0" borderId="178" xfId="68" applyFont="1" applyBorder="1" applyAlignment="1">
      <alignment horizontal="center" vertical="center"/>
    </xf>
    <xf numFmtId="0" fontId="15" fillId="0" borderId="179" xfId="68" applyFont="1" applyBorder="1" applyAlignment="1">
      <alignment horizontal="center" vertical="center" shrinkToFit="1"/>
    </xf>
    <xf numFmtId="0" fontId="15" fillId="0" borderId="162" xfId="68" applyFont="1" applyBorder="1" applyAlignment="1">
      <alignment horizontal="center" vertical="center" shrinkToFit="1"/>
    </xf>
    <xf numFmtId="0" fontId="15" fillId="0" borderId="178" xfId="68" applyFont="1" applyBorder="1" applyAlignment="1">
      <alignment horizontal="center" vertical="center" shrinkToFit="1"/>
    </xf>
    <xf numFmtId="0" fontId="15" fillId="0" borderId="177" xfId="68" applyFont="1" applyBorder="1" applyAlignment="1">
      <alignment horizontal="center" vertical="center"/>
    </xf>
    <xf numFmtId="0" fontId="15" fillId="0" borderId="72" xfId="68" applyFont="1" applyBorder="1" applyAlignment="1">
      <alignment horizontal="center" vertical="center"/>
    </xf>
    <xf numFmtId="0" fontId="15" fillId="0" borderId="180" xfId="68" applyFont="1" applyBorder="1" applyAlignment="1">
      <alignment horizontal="center" vertical="center"/>
    </xf>
    <xf numFmtId="0" fontId="15" fillId="61" borderId="181" xfId="68" applyFont="1" applyFill="1" applyBorder="1" applyAlignment="1" applyProtection="1">
      <alignment horizontal="center" vertical="center"/>
      <protection locked="0"/>
    </xf>
    <xf numFmtId="224" fontId="15" fillId="0" borderId="94" xfId="68" applyNumberFormat="1" applyFont="1" applyBorder="1" applyAlignment="1" applyProtection="1">
      <alignment horizontal="center" vertical="center"/>
      <protection locked="0"/>
    </xf>
    <xf numFmtId="225" fontId="160" fillId="0" borderId="96" xfId="564" applyNumberFormat="1" applyFont="1" applyBorder="1" applyAlignment="1" applyProtection="1">
      <alignment horizontal="center" vertical="center"/>
      <protection locked="0"/>
    </xf>
    <xf numFmtId="0" fontId="161" fillId="0" borderId="94" xfId="564" applyFont="1" applyBorder="1" applyAlignment="1" applyProtection="1">
      <alignment horizontal="center" vertical="center"/>
      <protection locked="0"/>
    </xf>
    <xf numFmtId="226" fontId="15" fillId="0" borderId="94" xfId="68" applyNumberFormat="1" applyFont="1" applyBorder="1" applyAlignment="1" applyProtection="1">
      <alignment horizontal="center" vertical="center"/>
      <protection locked="0"/>
    </xf>
    <xf numFmtId="227" fontId="15" fillId="0" borderId="182" xfId="68" applyNumberFormat="1" applyFont="1" applyBorder="1" applyAlignment="1" applyProtection="1">
      <alignment horizontal="center" vertical="center"/>
      <protection locked="0"/>
    </xf>
    <xf numFmtId="0" fontId="15" fillId="0" borderId="94" xfId="566" applyFont="1" applyBorder="1" applyAlignment="1" applyProtection="1">
      <alignment horizontal="center" vertical="center"/>
      <protection locked="0"/>
    </xf>
    <xf numFmtId="0" fontId="15" fillId="0" borderId="94" xfId="68" applyFont="1" applyBorder="1" applyAlignment="1" applyProtection="1">
      <alignment horizontal="center" vertical="center"/>
      <protection locked="0"/>
    </xf>
    <xf numFmtId="57" fontId="15" fillId="0" borderId="94" xfId="68" applyNumberFormat="1" applyFont="1" applyBorder="1" applyAlignment="1" applyProtection="1">
      <alignment horizontal="center" vertical="center" shrinkToFit="1"/>
      <protection locked="0"/>
    </xf>
    <xf numFmtId="0" fontId="15" fillId="0" borderId="96" xfId="566" applyFont="1" applyBorder="1" applyAlignment="1" applyProtection="1">
      <alignment horizontal="center" vertical="center"/>
      <protection locked="0"/>
    </xf>
    <xf numFmtId="0" fontId="15" fillId="0" borderId="181" xfId="566" applyFont="1" applyBorder="1" applyAlignment="1" applyProtection="1">
      <alignment horizontal="center" vertical="center"/>
      <protection locked="0"/>
    </xf>
    <xf numFmtId="0" fontId="15" fillId="0" borderId="182" xfId="566" applyFont="1" applyBorder="1" applyAlignment="1" applyProtection="1">
      <alignment horizontal="center" vertical="center"/>
      <protection locked="0"/>
    </xf>
    <xf numFmtId="0" fontId="15" fillId="2" borderId="30" xfId="68" applyFont="1" applyFill="1" applyBorder="1" applyAlignment="1">
      <alignment horizontal="center" vertical="center"/>
    </xf>
    <xf numFmtId="0" fontId="15" fillId="0" borderId="179" xfId="68" applyFont="1" applyBorder="1" applyAlignment="1">
      <alignment horizontal="center" vertical="center"/>
    </xf>
    <xf numFmtId="0" fontId="15" fillId="4" borderId="171" xfId="566" applyFont="1" applyFill="1" applyBorder="1" applyAlignment="1">
      <alignment horizontal="center" vertical="center" shrinkToFit="1"/>
    </xf>
    <xf numFmtId="0" fontId="15" fillId="4" borderId="162" xfId="566" applyFont="1" applyFill="1" applyBorder="1" applyAlignment="1">
      <alignment horizontal="center" vertical="center" shrinkToFit="1"/>
    </xf>
    <xf numFmtId="0" fontId="15" fillId="4" borderId="70" xfId="566" applyFont="1" applyFill="1" applyBorder="1" applyAlignment="1">
      <alignment horizontal="center" vertical="center" shrinkToFit="1"/>
    </xf>
    <xf numFmtId="0" fontId="15" fillId="0" borderId="56" xfId="68" applyFont="1" applyBorder="1" applyAlignment="1">
      <alignment horizontal="center" vertical="center" shrinkToFit="1"/>
    </xf>
    <xf numFmtId="0" fontId="15" fillId="0" borderId="34" xfId="68" applyFont="1" applyBorder="1" applyAlignment="1">
      <alignment horizontal="center" vertical="center"/>
    </xf>
    <xf numFmtId="0" fontId="15" fillId="0" borderId="41" xfId="566" applyFont="1" applyBorder="1" applyAlignment="1" applyProtection="1">
      <alignment horizontal="center" vertical="center"/>
      <protection locked="0"/>
    </xf>
    <xf numFmtId="228" fontId="15" fillId="0" borderId="34" xfId="68" applyNumberFormat="1" applyFont="1" applyBorder="1" applyAlignment="1">
      <alignment horizontal="center" vertical="center"/>
    </xf>
    <xf numFmtId="228" fontId="15" fillId="0" borderId="0" xfId="68" applyNumberFormat="1" applyFont="1" applyAlignment="1">
      <alignment horizontal="center" vertical="center"/>
    </xf>
    <xf numFmtId="0" fontId="162" fillId="0" borderId="0" xfId="68" applyFont="1" applyAlignment="1">
      <alignment horizontal="left" vertical="center"/>
    </xf>
    <xf numFmtId="0" fontId="163" fillId="0" borderId="0" xfId="68" applyFont="1" applyAlignment="1">
      <alignment horizontal="left" vertical="center"/>
    </xf>
    <xf numFmtId="0" fontId="15" fillId="2" borderId="186" xfId="68" applyFont="1" applyFill="1" applyBorder="1" applyAlignment="1">
      <alignment horizontal="center" vertical="center"/>
    </xf>
    <xf numFmtId="0" fontId="15" fillId="2" borderId="188" xfId="68" applyFont="1" applyFill="1" applyBorder="1" applyAlignment="1">
      <alignment horizontal="center" vertical="center"/>
    </xf>
    <xf numFmtId="0" fontId="15" fillId="2" borderId="188" xfId="68" applyFont="1" applyFill="1" applyBorder="1">
      <alignment vertical="center"/>
    </xf>
    <xf numFmtId="0" fontId="15" fillId="0" borderId="189" xfId="68" applyFont="1" applyBorder="1" applyAlignment="1" applyProtection="1">
      <alignment horizontal="left" vertical="center"/>
      <protection locked="0"/>
    </xf>
    <xf numFmtId="0" fontId="15" fillId="0" borderId="11" xfId="68" applyFont="1" applyBorder="1" applyAlignment="1" applyProtection="1">
      <alignment horizontal="right" vertical="center"/>
      <protection locked="0"/>
    </xf>
    <xf numFmtId="0" fontId="15" fillId="0" borderId="191" xfId="68" applyFont="1" applyBorder="1" applyAlignment="1" applyProtection="1">
      <alignment horizontal="center" vertical="center"/>
      <protection locked="0"/>
    </xf>
    <xf numFmtId="0" fontId="15" fillId="0" borderId="192" xfId="68" applyFont="1" applyBorder="1" applyAlignment="1" applyProtection="1">
      <alignment horizontal="center" vertical="center"/>
      <protection locked="0"/>
    </xf>
    <xf numFmtId="0" fontId="15" fillId="0" borderId="193" xfId="68" applyFont="1" applyBorder="1" applyAlignment="1" applyProtection="1">
      <alignment horizontal="center" vertical="center"/>
      <protection locked="0"/>
    </xf>
    <xf numFmtId="0" fontId="15" fillId="0" borderId="194" xfId="68" applyFont="1" applyBorder="1" applyAlignment="1" applyProtection="1">
      <alignment horizontal="center" vertical="center"/>
      <protection locked="0"/>
    </xf>
    <xf numFmtId="0" fontId="3" fillId="0" borderId="195" xfId="68" applyBorder="1" applyAlignment="1" applyProtection="1">
      <alignment horizontal="center" vertical="center"/>
      <protection locked="0"/>
    </xf>
    <xf numFmtId="0" fontId="15" fillId="0" borderId="20" xfId="68" applyFont="1" applyBorder="1" applyAlignment="1" applyProtection="1">
      <alignment horizontal="right" vertical="center"/>
      <protection locked="0"/>
    </xf>
    <xf numFmtId="0" fontId="15" fillId="4" borderId="84" xfId="566" applyFont="1" applyFill="1" applyBorder="1" applyAlignment="1" applyProtection="1">
      <alignment horizontal="left" vertical="center"/>
      <protection locked="0"/>
    </xf>
    <xf numFmtId="0" fontId="15" fillId="4" borderId="197" xfId="566" applyFont="1" applyFill="1" applyBorder="1" applyAlignment="1" applyProtection="1">
      <alignment horizontal="left" vertical="center"/>
      <protection locked="0"/>
    </xf>
    <xf numFmtId="0" fontId="15" fillId="0" borderId="198" xfId="68" applyFont="1" applyBorder="1" applyAlignment="1" applyProtection="1">
      <alignment horizontal="center" vertical="center"/>
      <protection locked="0"/>
    </xf>
    <xf numFmtId="0" fontId="15" fillId="0" borderId="199" xfId="68" applyFont="1" applyBorder="1" applyAlignment="1" applyProtection="1">
      <alignment horizontal="center" vertical="center"/>
      <protection locked="0"/>
    </xf>
    <xf numFmtId="0" fontId="15" fillId="0" borderId="200" xfId="68" applyFont="1" applyBorder="1" applyAlignment="1" applyProtection="1">
      <alignment horizontal="center" vertical="center"/>
      <protection locked="0"/>
    </xf>
    <xf numFmtId="0" fontId="15" fillId="0" borderId="201" xfId="68" applyFont="1" applyBorder="1" applyAlignment="1" applyProtection="1">
      <alignment horizontal="center" vertical="center"/>
      <protection locked="0"/>
    </xf>
    <xf numFmtId="0" fontId="3" fillId="0" borderId="188" xfId="68" applyBorder="1" applyAlignment="1" applyProtection="1">
      <alignment horizontal="center" vertical="center"/>
      <protection locked="0"/>
    </xf>
    <xf numFmtId="0" fontId="15" fillId="0" borderId="202" xfId="68" applyFont="1" applyBorder="1" applyAlignment="1" applyProtection="1">
      <alignment horizontal="left" vertical="center"/>
      <protection locked="0"/>
    </xf>
    <xf numFmtId="0" fontId="15" fillId="0" borderId="203" xfId="68" applyFont="1" applyBorder="1" applyAlignment="1" applyProtection="1">
      <alignment horizontal="right" vertical="center"/>
      <protection locked="0"/>
    </xf>
    <xf numFmtId="0" fontId="15" fillId="0" borderId="207" xfId="68" applyFont="1" applyBorder="1" applyAlignment="1" applyProtection="1">
      <alignment horizontal="center" vertical="center"/>
      <protection locked="0"/>
    </xf>
    <xf numFmtId="0" fontId="15" fillId="0" borderId="208" xfId="68" applyFont="1" applyBorder="1" applyAlignment="1" applyProtection="1">
      <alignment horizontal="center" vertical="center"/>
      <protection locked="0"/>
    </xf>
    <xf numFmtId="0" fontId="15" fillId="0" borderId="209" xfId="68" applyFont="1" applyBorder="1" applyAlignment="1" applyProtection="1">
      <alignment horizontal="center" vertical="center"/>
      <protection locked="0"/>
    </xf>
    <xf numFmtId="0" fontId="15" fillId="0" borderId="210" xfId="68" applyFont="1" applyBorder="1" applyAlignment="1" applyProtection="1">
      <alignment horizontal="center" vertical="center"/>
      <protection locked="0"/>
    </xf>
    <xf numFmtId="0" fontId="15" fillId="0" borderId="211" xfId="68" applyFont="1" applyBorder="1" applyAlignment="1" applyProtection="1">
      <alignment horizontal="center" vertical="center"/>
      <protection locked="0"/>
    </xf>
    <xf numFmtId="0" fontId="163" fillId="0" borderId="0" xfId="68" applyFont="1" applyAlignment="1">
      <alignment horizontal="right" vertical="center"/>
    </xf>
    <xf numFmtId="0" fontId="15" fillId="62" borderId="0" xfId="68" applyFont="1" applyFill="1" applyAlignment="1">
      <alignment horizontal="center" vertical="center" shrinkToFit="1"/>
    </xf>
    <xf numFmtId="0" fontId="5" fillId="0" borderId="0" xfId="68" applyFont="1" applyProtection="1">
      <alignment vertical="center"/>
      <protection locked="0"/>
    </xf>
    <xf numFmtId="0" fontId="15" fillId="2" borderId="66" xfId="68" applyFont="1" applyFill="1" applyBorder="1">
      <alignment vertical="center"/>
    </xf>
    <xf numFmtId="0" fontId="15" fillId="2" borderId="64" xfId="68" applyFont="1" applyFill="1" applyBorder="1">
      <alignment vertical="center"/>
    </xf>
    <xf numFmtId="0" fontId="15" fillId="2" borderId="212" xfId="68" applyFont="1" applyFill="1" applyBorder="1">
      <alignment vertical="center"/>
    </xf>
    <xf numFmtId="0" fontId="15" fillId="2" borderId="171" xfId="68" applyFont="1" applyFill="1" applyBorder="1" applyAlignment="1">
      <alignment horizontal="center" vertical="center"/>
    </xf>
    <xf numFmtId="0" fontId="15" fillId="2" borderId="162" xfId="68" applyFont="1" applyFill="1" applyBorder="1" applyAlignment="1">
      <alignment horizontal="center" vertical="center"/>
    </xf>
    <xf numFmtId="0" fontId="7" fillId="0" borderId="175" xfId="68" applyFont="1" applyBorder="1" applyAlignment="1">
      <alignment horizontal="left" vertical="center"/>
    </xf>
    <xf numFmtId="0" fontId="15" fillId="0" borderId="86" xfId="68" applyFont="1" applyBorder="1" applyAlignment="1">
      <alignment horizontal="right" vertical="center"/>
    </xf>
    <xf numFmtId="0" fontId="15" fillId="0" borderId="16" xfId="68" applyFont="1" applyBorder="1" applyAlignment="1">
      <alignment horizontal="center" vertical="center"/>
    </xf>
    <xf numFmtId="0" fontId="15" fillId="0" borderId="15" xfId="68" applyFont="1" applyBorder="1" applyAlignment="1">
      <alignment horizontal="center" vertical="center" shrinkToFit="1"/>
    </xf>
    <xf numFmtId="0" fontId="15" fillId="0" borderId="11" xfId="566" applyFont="1" applyBorder="1" applyAlignment="1" applyProtection="1">
      <alignment horizontal="center" vertical="center"/>
      <protection locked="0"/>
    </xf>
    <xf numFmtId="0" fontId="15" fillId="0" borderId="15" xfId="68" applyFont="1" applyBorder="1" applyAlignment="1">
      <alignment horizontal="center" vertical="center"/>
    </xf>
    <xf numFmtId="0" fontId="15" fillId="63" borderId="195" xfId="68" applyFont="1" applyFill="1" applyBorder="1" applyAlignment="1" applyProtection="1">
      <alignment horizontal="center" vertical="center" shrinkToFit="1"/>
      <protection locked="0"/>
    </xf>
    <xf numFmtId="0" fontId="15" fillId="0" borderId="195" xfId="68" applyFont="1" applyBorder="1" applyProtection="1">
      <alignment vertical="center"/>
      <protection locked="0"/>
    </xf>
    <xf numFmtId="0" fontId="7" fillId="0" borderId="187" xfId="68" applyFont="1" applyBorder="1" applyAlignment="1">
      <alignment horizontal="left" vertical="center"/>
    </xf>
    <xf numFmtId="0" fontId="15" fillId="0" borderId="59" xfId="68" applyFont="1" applyBorder="1" applyAlignment="1">
      <alignment horizontal="right" vertical="center"/>
    </xf>
    <xf numFmtId="0" fontId="15" fillId="0" borderId="11" xfId="68" applyFont="1" applyBorder="1" applyAlignment="1">
      <alignment horizontal="center" vertical="center"/>
    </xf>
    <xf numFmtId="0" fontId="15" fillId="0" borderId="16" xfId="68" applyFont="1" applyBorder="1" applyAlignment="1">
      <alignment horizontal="center" vertical="center" shrinkToFit="1"/>
    </xf>
    <xf numFmtId="0" fontId="15" fillId="63" borderId="99" xfId="68" applyFont="1" applyFill="1" applyBorder="1" applyAlignment="1" applyProtection="1">
      <alignment horizontal="center" vertical="center" shrinkToFit="1"/>
      <protection locked="0"/>
    </xf>
    <xf numFmtId="0" fontId="15" fillId="0" borderId="99" xfId="68" applyFont="1" applyBorder="1" applyProtection="1">
      <alignment vertical="center"/>
      <protection locked="0"/>
    </xf>
    <xf numFmtId="0" fontId="5" fillId="0" borderId="0" xfId="566" applyFont="1" applyProtection="1">
      <alignment vertical="center"/>
      <protection locked="0"/>
    </xf>
    <xf numFmtId="0" fontId="7" fillId="0" borderId="187" xfId="566" applyFont="1" applyBorder="1" applyAlignment="1">
      <alignment horizontal="left" vertical="center"/>
    </xf>
    <xf numFmtId="0" fontId="15" fillId="0" borderId="59" xfId="566" applyFont="1" applyBorder="1" applyAlignment="1">
      <alignment horizontal="right" vertical="center"/>
    </xf>
    <xf numFmtId="0" fontId="15" fillId="0" borderId="16" xfId="566" applyFont="1" applyBorder="1" applyAlignment="1">
      <alignment horizontal="center" vertical="center" shrinkToFit="1"/>
    </xf>
    <xf numFmtId="0" fontId="15" fillId="0" borderId="16" xfId="566" applyFont="1" applyBorder="1" applyAlignment="1">
      <alignment horizontal="center" vertical="center"/>
    </xf>
    <xf numFmtId="0" fontId="15" fillId="0" borderId="201" xfId="566" applyFont="1" applyBorder="1" applyAlignment="1" applyProtection="1">
      <alignment horizontal="center" vertical="center"/>
      <protection locked="0"/>
    </xf>
    <xf numFmtId="0" fontId="15" fillId="0" borderId="199" xfId="566" applyFont="1" applyBorder="1" applyAlignment="1" applyProtection="1">
      <alignment horizontal="center" vertical="center"/>
      <protection locked="0"/>
    </xf>
    <xf numFmtId="0" fontId="15" fillId="0" borderId="200" xfId="566" applyFont="1" applyBorder="1" applyAlignment="1" applyProtection="1">
      <alignment horizontal="center" vertical="center"/>
      <protection locked="0"/>
    </xf>
    <xf numFmtId="0" fontId="15" fillId="0" borderId="213" xfId="68" applyFont="1" applyBorder="1" applyAlignment="1" applyProtection="1">
      <alignment horizontal="center" vertical="center"/>
      <protection locked="0"/>
    </xf>
    <xf numFmtId="0" fontId="15" fillId="0" borderId="16" xfId="68" applyFont="1" applyBorder="1" applyAlignment="1" applyProtection="1">
      <alignment horizontal="center" vertical="center"/>
      <protection locked="0"/>
    </xf>
    <xf numFmtId="0" fontId="15" fillId="0" borderId="214" xfId="68" applyFont="1" applyBorder="1" applyAlignment="1" applyProtection="1">
      <alignment horizontal="center" vertical="center"/>
      <protection locked="0"/>
    </xf>
    <xf numFmtId="0" fontId="5" fillId="0" borderId="213" xfId="68" applyFont="1" applyBorder="1" applyAlignment="1" applyProtection="1">
      <alignment horizontal="center" vertical="center"/>
      <protection locked="0"/>
    </xf>
    <xf numFmtId="0" fontId="15" fillId="0" borderId="215" xfId="68" applyFont="1" applyBorder="1" applyAlignment="1" applyProtection="1">
      <alignment horizontal="center" vertical="center"/>
      <protection locked="0"/>
    </xf>
    <xf numFmtId="0" fontId="15" fillId="0" borderId="216" xfId="68" applyFont="1" applyBorder="1" applyAlignment="1" applyProtection="1">
      <alignment horizontal="center" vertical="center"/>
      <protection locked="0"/>
    </xf>
    <xf numFmtId="0" fontId="15" fillId="0" borderId="73" xfId="68" applyFont="1" applyBorder="1" applyAlignment="1">
      <alignment horizontal="right" vertical="center"/>
    </xf>
    <xf numFmtId="0" fontId="15" fillId="0" borderId="11" xfId="68" applyFont="1" applyBorder="1" applyAlignment="1">
      <alignment horizontal="center" vertical="center" shrinkToFit="1"/>
    </xf>
    <xf numFmtId="0" fontId="15" fillId="0" borderId="11" xfId="68" applyFont="1" applyBorder="1" applyAlignment="1" applyProtection="1">
      <alignment horizontal="center" vertical="center"/>
      <protection locked="0"/>
    </xf>
    <xf numFmtId="0" fontId="15" fillId="0" borderId="99" xfId="68" applyFont="1" applyBorder="1" applyAlignment="1" applyProtection="1">
      <alignment horizontal="center" vertical="center"/>
      <protection locked="0"/>
    </xf>
    <xf numFmtId="0" fontId="15" fillId="63" borderId="99" xfId="68" applyFont="1" applyFill="1" applyBorder="1" applyAlignment="1" applyProtection="1">
      <alignment horizontal="center" vertical="center"/>
      <protection locked="0"/>
    </xf>
    <xf numFmtId="0" fontId="7" fillId="0" borderId="217" xfId="68" applyFont="1" applyBorder="1" applyAlignment="1">
      <alignment horizontal="left" vertical="center"/>
    </xf>
    <xf numFmtId="0" fontId="15" fillId="0" borderId="204" xfId="68" applyFont="1" applyBorder="1" applyAlignment="1">
      <alignment horizontal="right" vertical="center"/>
    </xf>
    <xf numFmtId="0" fontId="15" fillId="0" borderId="203" xfId="68" applyFont="1" applyBorder="1" applyAlignment="1">
      <alignment horizontal="center" vertical="center"/>
    </xf>
    <xf numFmtId="0" fontId="15" fillId="0" borderId="203" xfId="68" applyFont="1" applyBorder="1" applyAlignment="1">
      <alignment horizontal="center" vertical="center" shrinkToFit="1"/>
    </xf>
    <xf numFmtId="0" fontId="15" fillId="0" borderId="203" xfId="566" applyFont="1" applyBorder="1" applyAlignment="1" applyProtection="1">
      <alignment horizontal="center" vertical="center"/>
      <protection locked="0"/>
    </xf>
    <xf numFmtId="0" fontId="15" fillId="0" borderId="203" xfId="68" applyFont="1" applyBorder="1" applyAlignment="1" applyProtection="1">
      <alignment horizontal="center" vertical="center"/>
      <protection locked="0"/>
    </xf>
    <xf numFmtId="0" fontId="5" fillId="0" borderId="208" xfId="68" applyFont="1" applyBorder="1" applyAlignment="1" applyProtection="1">
      <alignment horizontal="center" vertical="center"/>
      <protection locked="0"/>
    </xf>
    <xf numFmtId="0" fontId="15" fillId="0" borderId="211" xfId="68" applyFont="1" applyBorder="1" applyProtection="1">
      <alignment vertical="center"/>
      <protection locked="0"/>
    </xf>
    <xf numFmtId="0" fontId="15" fillId="0" borderId="16" xfId="566" applyFont="1" applyBorder="1" applyAlignment="1" applyProtection="1">
      <alignment horizontal="center" vertical="center"/>
      <protection locked="0"/>
    </xf>
    <xf numFmtId="0" fontId="160" fillId="0" borderId="218" xfId="564" applyFont="1" applyBorder="1" applyAlignment="1">
      <alignment horizontal="center" vertical="center"/>
    </xf>
    <xf numFmtId="0" fontId="15" fillId="0" borderId="214" xfId="68" applyFont="1" applyBorder="1" applyProtection="1">
      <alignment vertical="center"/>
      <protection locked="0"/>
    </xf>
    <xf numFmtId="0" fontId="15" fillId="0" borderId="143" xfId="68" applyFont="1" applyBorder="1" applyAlignment="1">
      <alignment horizontal="right" vertical="center"/>
    </xf>
    <xf numFmtId="0" fontId="15" fillId="0" borderId="11" xfId="9" applyFont="1" applyBorder="1" applyAlignment="1">
      <alignment horizontal="center" vertical="center" shrinkToFit="1"/>
    </xf>
    <xf numFmtId="0" fontId="15" fillId="0" borderId="11" xfId="9" applyFont="1" applyBorder="1" applyAlignment="1" applyProtection="1">
      <alignment horizontal="center" vertical="center"/>
      <protection locked="0"/>
    </xf>
    <xf numFmtId="0" fontId="1" fillId="0" borderId="0" xfId="564">
      <alignment vertical="center"/>
    </xf>
    <xf numFmtId="0" fontId="15" fillId="0" borderId="188" xfId="68" applyFont="1" applyBorder="1" applyAlignment="1" applyProtection="1">
      <alignment horizontal="center" vertical="center"/>
      <protection locked="0"/>
    </xf>
    <xf numFmtId="0" fontId="15" fillId="0" borderId="219" xfId="68" applyFont="1" applyBorder="1" applyAlignment="1" applyProtection="1">
      <alignment horizontal="center" vertical="center"/>
      <protection locked="0"/>
    </xf>
    <xf numFmtId="0" fontId="15" fillId="0" borderId="220" xfId="68" applyFont="1" applyBorder="1" applyAlignment="1" applyProtection="1">
      <alignment horizontal="center" vertical="center"/>
      <protection locked="0"/>
    </xf>
    <xf numFmtId="0" fontId="15" fillId="0" borderId="221" xfId="68" applyFont="1" applyBorder="1" applyAlignment="1" applyProtection="1">
      <alignment horizontal="center" vertical="center"/>
      <protection locked="0"/>
    </xf>
    <xf numFmtId="0" fontId="15" fillId="0" borderId="222" xfId="68" applyFont="1" applyBorder="1" applyProtection="1">
      <alignment vertical="center"/>
      <protection locked="0"/>
    </xf>
    <xf numFmtId="0" fontId="5" fillId="0" borderId="0" xfId="9" applyFont="1" applyProtection="1">
      <alignment vertical="center"/>
      <protection locked="0"/>
    </xf>
    <xf numFmtId="0" fontId="7" fillId="0" borderId="217" xfId="9" applyFont="1" applyBorder="1" applyAlignment="1">
      <alignment horizontal="left" vertical="center"/>
    </xf>
    <xf numFmtId="0" fontId="15" fillId="0" borderId="203" xfId="9" applyFont="1" applyBorder="1" applyAlignment="1">
      <alignment horizontal="right" vertical="center" shrinkToFit="1"/>
    </xf>
    <xf numFmtId="0" fontId="15" fillId="0" borderId="203" xfId="9" applyFont="1" applyBorder="1" applyAlignment="1">
      <alignment horizontal="center" vertical="center" shrinkToFit="1"/>
    </xf>
    <xf numFmtId="0" fontId="15" fillId="0" borderId="203" xfId="9" applyFont="1" applyBorder="1" applyAlignment="1">
      <alignment horizontal="center" vertical="center"/>
    </xf>
    <xf numFmtId="0" fontId="15" fillId="0" borderId="203" xfId="9" applyFont="1" applyBorder="1" applyAlignment="1" applyProtection="1">
      <alignment horizontal="center" vertical="center"/>
      <protection locked="0"/>
    </xf>
    <xf numFmtId="0" fontId="15" fillId="0" borderId="209" xfId="9" applyFont="1" applyBorder="1" applyAlignment="1" applyProtection="1">
      <alignment horizontal="center" vertical="center"/>
      <protection locked="0"/>
    </xf>
    <xf numFmtId="0" fontId="15" fillId="0" borderId="208" xfId="9" applyFont="1" applyBorder="1" applyAlignment="1" applyProtection="1">
      <alignment horizontal="center" vertical="center"/>
      <protection locked="0"/>
    </xf>
    <xf numFmtId="0" fontId="15" fillId="0" borderId="210" xfId="9" applyFont="1" applyBorder="1" applyAlignment="1" applyProtection="1">
      <alignment horizontal="center" vertical="center"/>
      <protection locked="0"/>
    </xf>
    <xf numFmtId="0" fontId="15" fillId="0" borderId="211" xfId="9" applyFont="1" applyBorder="1" applyProtection="1">
      <alignment vertical="center"/>
      <protection locked="0"/>
    </xf>
    <xf numFmtId="0" fontId="15" fillId="0" borderId="16" xfId="68" applyFont="1" applyBorder="1" applyAlignment="1" applyProtection="1">
      <alignment horizontal="center" vertical="center" shrinkToFit="1"/>
      <protection locked="0"/>
    </xf>
    <xf numFmtId="0" fontId="7" fillId="0" borderId="187" xfId="9" applyFont="1" applyBorder="1" applyAlignment="1">
      <alignment horizontal="left" vertical="center"/>
    </xf>
    <xf numFmtId="0" fontId="15" fillId="0" borderId="59" xfId="9" applyFont="1" applyBorder="1" applyAlignment="1">
      <alignment horizontal="right" vertical="center"/>
    </xf>
    <xf numFmtId="0" fontId="15" fillId="0" borderId="16" xfId="9" applyFont="1" applyBorder="1" applyAlignment="1">
      <alignment horizontal="center" vertical="center" shrinkToFit="1"/>
    </xf>
    <xf numFmtId="0" fontId="15" fillId="0" borderId="16" xfId="9" applyFont="1" applyBorder="1" applyAlignment="1">
      <alignment horizontal="center" vertical="center"/>
    </xf>
    <xf numFmtId="0" fontId="15" fillId="0" borderId="16" xfId="9" applyFont="1" applyBorder="1" applyAlignment="1" applyProtection="1">
      <alignment horizontal="center" vertical="center"/>
      <protection locked="0"/>
    </xf>
    <xf numFmtId="0" fontId="15" fillId="0" borderId="214" xfId="9" applyFont="1" applyBorder="1" applyAlignment="1" applyProtection="1">
      <alignment vertical="center" shrinkToFit="1"/>
      <protection locked="0"/>
    </xf>
    <xf numFmtId="0" fontId="15" fillId="63" borderId="214" xfId="68" applyFont="1" applyFill="1" applyBorder="1" applyAlignment="1">
      <alignment horizontal="center" vertical="center"/>
    </xf>
    <xf numFmtId="0" fontId="15" fillId="0" borderId="73" xfId="68" applyFont="1" applyBorder="1" applyAlignment="1">
      <alignment horizontal="right" vertical="center" wrapText="1"/>
    </xf>
    <xf numFmtId="0" fontId="15" fillId="0" borderId="223" xfId="68" applyFont="1" applyBorder="1" applyAlignment="1" applyProtection="1">
      <alignment horizontal="center" vertical="center"/>
      <protection locked="0"/>
    </xf>
    <xf numFmtId="0" fontId="15" fillId="0" borderId="203" xfId="68" applyFont="1" applyBorder="1" applyAlignment="1">
      <alignment horizontal="right" vertical="center" wrapText="1"/>
    </xf>
    <xf numFmtId="0" fontId="15" fillId="0" borderId="59" xfId="68" applyFont="1" applyBorder="1" applyProtection="1">
      <alignment vertical="center"/>
      <protection locked="0"/>
    </xf>
    <xf numFmtId="56" fontId="15" fillId="0" borderId="199" xfId="68" quotePrefix="1" applyNumberFormat="1" applyFont="1" applyBorder="1" applyAlignment="1" applyProtection="1">
      <alignment horizontal="center" vertical="center"/>
      <protection locked="0"/>
    </xf>
    <xf numFmtId="0" fontId="35" fillId="0" borderId="0" xfId="9" applyFont="1" applyProtection="1">
      <alignment vertical="center"/>
      <protection locked="0"/>
    </xf>
    <xf numFmtId="0" fontId="164" fillId="0" borderId="187" xfId="9" applyFont="1" applyBorder="1" applyAlignment="1">
      <alignment horizontal="left" vertical="center"/>
    </xf>
    <xf numFmtId="0" fontId="15" fillId="63" borderId="99" xfId="68" applyFont="1" applyFill="1" applyBorder="1" applyAlignment="1">
      <alignment horizontal="center" vertical="center"/>
    </xf>
    <xf numFmtId="0" fontId="15" fillId="0" borderId="198" xfId="9" applyFont="1" applyBorder="1" applyAlignment="1" applyProtection="1">
      <alignment horizontal="center" vertical="center"/>
      <protection locked="0"/>
    </xf>
    <xf numFmtId="0" fontId="15" fillId="0" borderId="213" xfId="9" applyFont="1" applyBorder="1" applyAlignment="1" applyProtection="1">
      <alignment horizontal="center" vertical="center"/>
      <protection locked="0"/>
    </xf>
    <xf numFmtId="0" fontId="15" fillId="0" borderId="216" xfId="9" applyFont="1" applyBorder="1" applyAlignment="1" applyProtection="1">
      <alignment horizontal="center" vertical="center"/>
      <protection locked="0"/>
    </xf>
    <xf numFmtId="0" fontId="15" fillId="0" borderId="99" xfId="9" applyFont="1" applyBorder="1" applyProtection="1">
      <alignment vertical="center"/>
      <protection locked="0"/>
    </xf>
    <xf numFmtId="0" fontId="15" fillId="0" borderId="223" xfId="9" applyFont="1" applyBorder="1" applyAlignment="1" applyProtection="1">
      <alignment horizontal="center" vertical="center"/>
      <protection locked="0"/>
    </xf>
    <xf numFmtId="0" fontId="15" fillId="0" borderId="59" xfId="68" applyFont="1" applyBorder="1" applyAlignment="1">
      <alignment horizontal="right" vertical="center" wrapText="1"/>
    </xf>
    <xf numFmtId="0" fontId="15" fillId="0" borderId="214" xfId="9" applyFont="1" applyBorder="1" applyAlignment="1" applyProtection="1">
      <alignment horizontal="center" vertical="center"/>
      <protection locked="0"/>
    </xf>
    <xf numFmtId="0" fontId="15" fillId="0" borderId="200" xfId="9" applyFont="1" applyBorder="1" applyAlignment="1" applyProtection="1">
      <alignment horizontal="center" vertical="center"/>
      <protection locked="0"/>
    </xf>
    <xf numFmtId="0" fontId="15" fillId="0" borderId="199" xfId="9" applyFont="1" applyBorder="1" applyAlignment="1" applyProtection="1">
      <alignment horizontal="center" vertical="center"/>
      <protection locked="0"/>
    </xf>
    <xf numFmtId="0" fontId="5" fillId="4" borderId="0" xfId="68" applyFont="1" applyFill="1" applyProtection="1">
      <alignment vertical="center"/>
      <protection locked="0"/>
    </xf>
    <xf numFmtId="0" fontId="7" fillId="4" borderId="187" xfId="68" applyFont="1" applyFill="1" applyBorder="1" applyAlignment="1">
      <alignment horizontal="left" vertical="center"/>
    </xf>
    <xf numFmtId="0" fontId="15" fillId="0" borderId="59" xfId="9" applyFont="1" applyBorder="1" applyAlignment="1">
      <alignment horizontal="right" vertical="center" shrinkToFit="1"/>
    </xf>
    <xf numFmtId="0" fontId="15" fillId="0" borderId="215" xfId="9" applyFont="1" applyBorder="1" applyAlignment="1" applyProtection="1">
      <alignment horizontal="center" vertical="center"/>
      <protection locked="0"/>
    </xf>
    <xf numFmtId="0" fontId="15" fillId="0" borderId="214" xfId="9" applyFont="1" applyBorder="1" applyAlignment="1">
      <alignment horizontal="center" vertical="center"/>
    </xf>
    <xf numFmtId="0" fontId="15" fillId="7" borderId="59" xfId="9" applyFont="1" applyFill="1" applyBorder="1" applyAlignment="1">
      <alignment horizontal="right" vertical="center" shrinkToFit="1"/>
    </xf>
    <xf numFmtId="0" fontId="15" fillId="0" borderId="73" xfId="9" applyFont="1" applyBorder="1" applyAlignment="1">
      <alignment horizontal="right" vertical="center" shrinkToFit="1"/>
    </xf>
    <xf numFmtId="0" fontId="15" fillId="0" borderId="99" xfId="9" applyFont="1" applyBorder="1" applyAlignment="1" applyProtection="1">
      <alignment horizontal="center" vertical="center"/>
      <protection locked="0"/>
    </xf>
    <xf numFmtId="0" fontId="15" fillId="0" borderId="224" xfId="68" applyFont="1" applyBorder="1" applyAlignment="1" applyProtection="1">
      <alignment horizontal="center" vertical="center"/>
      <protection locked="0"/>
    </xf>
    <xf numFmtId="0" fontId="15" fillId="0" borderId="214" xfId="68" applyFont="1" applyBorder="1" applyAlignment="1" applyProtection="1">
      <alignment vertical="center" shrinkToFit="1"/>
      <protection locked="0"/>
    </xf>
    <xf numFmtId="0" fontId="15" fillId="0" borderId="11" xfId="9" applyFont="1" applyBorder="1" applyAlignment="1" applyProtection="1">
      <alignment horizontal="center" vertical="center" shrinkToFit="1"/>
      <protection locked="0"/>
    </xf>
    <xf numFmtId="0" fontId="15" fillId="0" borderId="99" xfId="567" applyFont="1" applyBorder="1" applyAlignment="1" applyProtection="1">
      <alignment horizontal="center" vertical="center"/>
      <protection locked="0"/>
    </xf>
    <xf numFmtId="0" fontId="15" fillId="0" borderId="75" xfId="564" applyFont="1" applyBorder="1" applyAlignment="1">
      <alignment horizontal="center" vertical="center"/>
    </xf>
    <xf numFmtId="0" fontId="15" fillId="0" borderId="11" xfId="9" applyFont="1" applyBorder="1" applyAlignment="1">
      <alignment horizontal="center" vertical="center"/>
    </xf>
    <xf numFmtId="0" fontId="15" fillId="0" borderId="74" xfId="9" applyFont="1" applyBorder="1" applyAlignment="1" applyProtection="1">
      <alignment horizontal="center" vertical="center"/>
      <protection locked="0"/>
    </xf>
    <xf numFmtId="0" fontId="15" fillId="0" borderId="201" xfId="9" applyFont="1" applyBorder="1" applyAlignment="1" applyProtection="1">
      <alignment horizontal="center" vertical="center"/>
      <protection locked="0"/>
    </xf>
    <xf numFmtId="0" fontId="15" fillId="0" borderId="11" xfId="68" applyFont="1" applyBorder="1" applyAlignment="1">
      <alignment horizontal="right" vertical="center"/>
    </xf>
    <xf numFmtId="0" fontId="15" fillId="0" borderId="73" xfId="68" applyFont="1" applyBorder="1" applyAlignment="1" applyProtection="1">
      <alignment horizontal="center" vertical="center"/>
      <protection locked="0"/>
    </xf>
    <xf numFmtId="0" fontId="165" fillId="0" borderId="0" xfId="68" applyFont="1" applyProtection="1">
      <alignment vertical="center"/>
      <protection locked="0"/>
    </xf>
    <xf numFmtId="0" fontId="15" fillId="0" borderId="99" xfId="68" applyFont="1" applyBorder="1" applyAlignment="1" applyProtection="1">
      <alignment vertical="center" shrinkToFit="1"/>
      <protection locked="0"/>
    </xf>
    <xf numFmtId="0" fontId="15" fillId="0" borderId="214" xfId="9" applyFont="1" applyBorder="1" applyProtection="1">
      <alignment vertical="center"/>
      <protection locked="0"/>
    </xf>
    <xf numFmtId="0" fontId="15" fillId="0" borderId="99" xfId="68" applyFont="1" applyBorder="1" applyAlignment="1">
      <alignment horizontal="center" vertical="center"/>
    </xf>
    <xf numFmtId="0" fontId="15" fillId="0" borderId="11" xfId="68" applyFont="1" applyBorder="1" applyAlignment="1" applyProtection="1">
      <alignment horizontal="center" vertical="center" shrinkToFit="1"/>
      <protection locked="0"/>
    </xf>
    <xf numFmtId="0" fontId="15" fillId="0" borderId="11" xfId="564" applyFont="1" applyBorder="1" applyAlignment="1">
      <alignment horizontal="center" vertical="center"/>
    </xf>
    <xf numFmtId="0" fontId="15" fillId="0" borderId="222" xfId="68" applyFont="1" applyBorder="1" applyAlignment="1" applyProtection="1">
      <alignment horizontal="center" vertical="center"/>
      <protection locked="0"/>
    </xf>
    <xf numFmtId="0" fontId="15" fillId="0" borderId="11" xfId="567" applyFont="1" applyBorder="1" applyAlignment="1" applyProtection="1">
      <alignment horizontal="center" vertical="center"/>
      <protection locked="0"/>
    </xf>
    <xf numFmtId="0" fontId="15" fillId="0" borderId="16" xfId="567" applyFont="1" applyBorder="1" applyAlignment="1">
      <alignment horizontal="right" vertical="center"/>
    </xf>
    <xf numFmtId="0" fontId="15" fillId="0" borderId="16" xfId="567" applyFont="1" applyBorder="1" applyAlignment="1">
      <alignment horizontal="center" vertical="center" shrinkToFit="1"/>
    </xf>
    <xf numFmtId="0" fontId="15" fillId="0" borderId="16" xfId="567" applyFont="1" applyBorder="1" applyAlignment="1">
      <alignment horizontal="center" vertical="center"/>
    </xf>
    <xf numFmtId="0" fontId="15" fillId="0" borderId="11" xfId="567" applyFont="1" applyBorder="1" applyAlignment="1">
      <alignment horizontal="center" vertical="center"/>
    </xf>
    <xf numFmtId="0" fontId="15" fillId="63" borderId="222" xfId="567" applyFont="1" applyFill="1" applyBorder="1" applyAlignment="1">
      <alignment horizontal="center" vertical="center"/>
    </xf>
    <xf numFmtId="0" fontId="15" fillId="0" borderId="198" xfId="566" applyFont="1" applyBorder="1" applyAlignment="1" applyProtection="1">
      <alignment horizontal="center" vertical="center"/>
      <protection locked="0"/>
    </xf>
    <xf numFmtId="0" fontId="15" fillId="0" borderId="214" xfId="566" applyFont="1" applyBorder="1" applyProtection="1">
      <alignment vertical="center"/>
      <protection locked="0"/>
    </xf>
    <xf numFmtId="0" fontId="15" fillId="0" borderId="73" xfId="567" applyFont="1" applyBorder="1" applyAlignment="1">
      <alignment horizontal="right" vertical="center"/>
    </xf>
    <xf numFmtId="0" fontId="15" fillId="0" borderId="11" xfId="567" applyFont="1" applyBorder="1" applyAlignment="1">
      <alignment horizontal="center" vertical="center" shrinkToFit="1"/>
    </xf>
    <xf numFmtId="0" fontId="15" fillId="63" borderId="99" xfId="567" applyFont="1" applyFill="1" applyBorder="1" applyAlignment="1">
      <alignment horizontal="center" vertical="center"/>
    </xf>
    <xf numFmtId="0" fontId="15" fillId="0" borderId="216" xfId="566" applyFont="1" applyBorder="1" applyAlignment="1" applyProtection="1">
      <alignment horizontal="center" vertical="center"/>
      <protection locked="0"/>
    </xf>
    <xf numFmtId="0" fontId="15" fillId="0" borderId="213" xfId="566" applyFont="1" applyBorder="1" applyAlignment="1" applyProtection="1">
      <alignment horizontal="center" vertical="center"/>
      <protection locked="0"/>
    </xf>
    <xf numFmtId="0" fontId="15" fillId="0" borderId="215" xfId="566" applyFont="1" applyBorder="1" applyAlignment="1" applyProtection="1">
      <alignment horizontal="center" vertical="center"/>
      <protection locked="0"/>
    </xf>
    <xf numFmtId="0" fontId="15" fillId="0" borderId="81" xfId="567" applyFont="1" applyBorder="1" applyAlignment="1">
      <alignment horizontal="right" vertical="center"/>
    </xf>
    <xf numFmtId="0" fontId="15" fillId="0" borderId="20" xfId="68" applyFont="1" applyBorder="1" applyAlignment="1">
      <alignment horizontal="center" vertical="center"/>
    </xf>
    <xf numFmtId="0" fontId="15" fillId="0" borderId="222" xfId="567" applyFont="1" applyBorder="1" applyAlignment="1" applyProtection="1">
      <alignment horizontal="center" vertical="center"/>
      <protection locked="0"/>
    </xf>
    <xf numFmtId="0" fontId="15" fillId="0" borderId="219" xfId="566" applyFont="1" applyBorder="1" applyAlignment="1" applyProtection="1">
      <alignment horizontal="center" vertical="center"/>
      <protection locked="0"/>
    </xf>
    <xf numFmtId="0" fontId="15" fillId="0" borderId="220" xfId="566" applyFont="1" applyBorder="1" applyAlignment="1" applyProtection="1">
      <alignment horizontal="center" vertical="center"/>
      <protection locked="0"/>
    </xf>
    <xf numFmtId="0" fontId="15" fillId="0" borderId="221" xfId="566" applyFont="1" applyBorder="1" applyAlignment="1" applyProtection="1">
      <alignment horizontal="center" vertical="center"/>
      <protection locked="0"/>
    </xf>
    <xf numFmtId="0" fontId="15" fillId="0" borderId="219" xfId="9" applyFont="1" applyBorder="1" applyAlignment="1" applyProtection="1">
      <alignment horizontal="center" vertical="center"/>
      <protection locked="0"/>
    </xf>
    <xf numFmtId="0" fontId="15" fillId="0" borderId="20" xfId="567" applyFont="1" applyBorder="1" applyAlignment="1">
      <alignment horizontal="center" vertical="center" shrinkToFit="1"/>
    </xf>
    <xf numFmtId="0" fontId="15" fillId="0" borderId="82" xfId="564" applyFont="1" applyBorder="1" applyAlignment="1">
      <alignment horizontal="center" vertical="center"/>
    </xf>
    <xf numFmtId="0" fontId="15" fillId="0" borderId="20" xfId="567" applyFont="1" applyBorder="1" applyAlignment="1" applyProtection="1">
      <alignment horizontal="center" vertical="center"/>
      <protection locked="0"/>
    </xf>
    <xf numFmtId="0" fontId="15" fillId="0" borderId="99" xfId="566" applyFont="1" applyBorder="1" applyProtection="1">
      <alignment vertical="center"/>
      <protection locked="0"/>
    </xf>
    <xf numFmtId="0" fontId="15" fillId="0" borderId="223" xfId="566" applyFont="1" applyBorder="1" applyAlignment="1" applyProtection="1">
      <alignment horizontal="center" vertical="center"/>
      <protection locked="0"/>
    </xf>
    <xf numFmtId="0" fontId="35" fillId="0" borderId="0" xfId="566" applyFont="1" applyProtection="1">
      <alignment vertical="center"/>
      <protection locked="0"/>
    </xf>
    <xf numFmtId="0" fontId="164" fillId="0" borderId="187" xfId="566" applyFont="1" applyBorder="1" applyAlignment="1">
      <alignment horizontal="left" vertical="center"/>
    </xf>
    <xf numFmtId="0" fontId="167" fillId="0" borderId="0" xfId="68" applyFont="1" applyProtection="1">
      <alignment vertical="center"/>
      <protection locked="0"/>
    </xf>
    <xf numFmtId="0" fontId="168" fillId="0" borderId="187" xfId="68" applyFont="1" applyBorder="1" applyAlignment="1">
      <alignment horizontal="left" vertical="center"/>
    </xf>
    <xf numFmtId="0" fontId="7" fillId="0" borderId="34" xfId="566" applyFont="1" applyBorder="1" applyAlignment="1">
      <alignment horizontal="left" vertical="center"/>
    </xf>
    <xf numFmtId="0" fontId="15" fillId="0" borderId="11" xfId="567" applyFont="1" applyBorder="1" applyAlignment="1" applyProtection="1">
      <alignment horizontal="center" vertical="center" shrinkToFit="1"/>
      <protection locked="0"/>
    </xf>
    <xf numFmtId="0" fontId="15" fillId="0" borderId="99" xfId="68" applyFont="1" applyBorder="1" applyAlignment="1" applyProtection="1">
      <alignment vertical="center" wrapText="1"/>
      <protection locked="0"/>
    </xf>
    <xf numFmtId="0" fontId="15" fillId="0" borderId="11" xfId="566" applyFont="1" applyBorder="1" applyAlignment="1" applyProtection="1">
      <alignment horizontal="right" vertical="center"/>
      <protection locked="0"/>
    </xf>
    <xf numFmtId="0" fontId="7" fillId="0" borderId="68" xfId="566" applyFont="1" applyBorder="1" applyAlignment="1">
      <alignment horizontal="left" vertical="center"/>
    </xf>
    <xf numFmtId="0" fontId="15" fillId="0" borderId="203" xfId="567" applyFont="1" applyBorder="1" applyAlignment="1" applyProtection="1">
      <alignment horizontal="center" vertical="center" shrinkToFit="1"/>
      <protection locked="0"/>
    </xf>
    <xf numFmtId="0" fontId="15" fillId="0" borderId="211" xfId="567" applyFont="1" applyBorder="1" applyAlignment="1" applyProtection="1">
      <alignment horizontal="center" vertical="center"/>
      <protection locked="0"/>
    </xf>
    <xf numFmtId="0" fontId="15" fillId="0" borderId="207" xfId="566" applyFont="1" applyBorder="1" applyAlignment="1" applyProtection="1">
      <alignment horizontal="center" vertical="center"/>
      <protection locked="0"/>
    </xf>
    <xf numFmtId="0" fontId="15" fillId="0" borderId="208" xfId="566" applyFont="1" applyBorder="1" applyAlignment="1" applyProtection="1">
      <alignment horizontal="center" vertical="center"/>
      <protection locked="0"/>
    </xf>
    <xf numFmtId="0" fontId="15" fillId="0" borderId="209" xfId="566" applyFont="1" applyBorder="1" applyAlignment="1" applyProtection="1">
      <alignment horizontal="center" vertical="center"/>
      <protection locked="0"/>
    </xf>
    <xf numFmtId="0" fontId="15" fillId="0" borderId="210" xfId="566" applyFont="1" applyBorder="1" applyAlignment="1" applyProtection="1">
      <alignment horizontal="center" vertical="center"/>
      <protection locked="0"/>
    </xf>
    <xf numFmtId="0" fontId="15" fillId="0" borderId="211" xfId="566" applyFont="1" applyBorder="1" applyProtection="1">
      <alignment vertical="center"/>
      <protection locked="0"/>
    </xf>
    <xf numFmtId="0" fontId="7" fillId="0" borderId="34" xfId="68" applyFont="1" applyBorder="1" applyAlignment="1">
      <alignment horizontal="left" vertical="center"/>
    </xf>
    <xf numFmtId="0" fontId="15" fillId="0" borderId="59" xfId="568" applyFont="1" applyBorder="1" applyAlignment="1">
      <alignment horizontal="right" vertical="center" shrinkToFit="1"/>
    </xf>
    <xf numFmtId="0" fontId="15" fillId="0" borderId="16" xfId="568" applyFont="1" applyBorder="1" applyAlignment="1">
      <alignment horizontal="center" vertical="center"/>
    </xf>
    <xf numFmtId="0" fontId="15" fillId="0" borderId="16" xfId="568" applyFont="1" applyBorder="1" applyAlignment="1">
      <alignment horizontal="center" vertical="center" shrinkToFit="1"/>
    </xf>
    <xf numFmtId="0" fontId="15" fillId="0" borderId="16" xfId="568" applyFont="1" applyBorder="1" applyAlignment="1" applyProtection="1">
      <alignment horizontal="center" vertical="center"/>
      <protection locked="0"/>
    </xf>
    <xf numFmtId="0" fontId="15" fillId="0" borderId="214" xfId="568" applyFont="1" applyBorder="1" applyAlignment="1" applyProtection="1">
      <alignment horizontal="center" vertical="center"/>
      <protection locked="0"/>
    </xf>
    <xf numFmtId="0" fontId="15" fillId="0" borderId="198" xfId="569" applyFont="1" applyBorder="1" applyAlignment="1" applyProtection="1">
      <alignment horizontal="center" vertical="center"/>
      <protection locked="0"/>
    </xf>
    <xf numFmtId="0" fontId="15" fillId="0" borderId="199" xfId="569" applyFont="1" applyBorder="1" applyAlignment="1" applyProtection="1">
      <alignment horizontal="center" vertical="center"/>
      <protection locked="0"/>
    </xf>
    <xf numFmtId="0" fontId="15" fillId="0" borderId="200" xfId="568" applyFont="1" applyBorder="1" applyAlignment="1" applyProtection="1">
      <alignment horizontal="center" vertical="center"/>
      <protection locked="0"/>
    </xf>
    <xf numFmtId="0" fontId="15" fillId="0" borderId="199" xfId="568" applyFont="1" applyBorder="1" applyAlignment="1" applyProtection="1">
      <alignment horizontal="center" vertical="center"/>
      <protection locked="0"/>
    </xf>
    <xf numFmtId="0" fontId="15" fillId="0" borderId="200" xfId="569" applyFont="1" applyBorder="1" applyAlignment="1" applyProtection="1">
      <alignment horizontal="center" vertical="center"/>
      <protection locked="0"/>
    </xf>
    <xf numFmtId="0" fontId="15" fillId="0" borderId="201" xfId="569" applyFont="1" applyBorder="1" applyAlignment="1" applyProtection="1">
      <alignment horizontal="center" vertical="center"/>
      <protection locked="0"/>
    </xf>
    <xf numFmtId="0" fontId="15" fillId="0" borderId="214" xfId="569" applyFont="1" applyBorder="1" applyProtection="1">
      <alignment vertical="center"/>
      <protection locked="0"/>
    </xf>
    <xf numFmtId="0" fontId="15" fillId="0" borderId="73" xfId="9" applyFont="1" applyBorder="1" applyAlignment="1">
      <alignment horizontal="right" vertical="center"/>
    </xf>
    <xf numFmtId="0" fontId="15" fillId="0" borderId="225" xfId="9" applyFont="1" applyBorder="1" applyAlignment="1" applyProtection="1">
      <alignment horizontal="center" vertical="center"/>
      <protection locked="0"/>
    </xf>
    <xf numFmtId="0" fontId="15" fillId="0" borderId="99" xfId="9" applyFont="1" applyBorder="1" applyAlignment="1" applyProtection="1">
      <alignment vertical="center" wrapText="1"/>
      <protection locked="0"/>
    </xf>
    <xf numFmtId="0" fontId="15" fillId="0" borderId="59" xfId="9" applyFont="1" applyBorder="1" applyAlignment="1">
      <alignment horizontal="right" vertical="center" wrapText="1" shrinkToFit="1"/>
    </xf>
    <xf numFmtId="0" fontId="15" fillId="0" borderId="143" xfId="9" applyFont="1" applyBorder="1" applyAlignment="1">
      <alignment horizontal="right" vertical="center" shrinkToFit="1"/>
    </xf>
    <xf numFmtId="0" fontId="15" fillId="0" borderId="21" xfId="68" applyFont="1" applyBorder="1" applyAlignment="1">
      <alignment horizontal="center" vertical="center"/>
    </xf>
    <xf numFmtId="0" fontId="15" fillId="0" borderId="21" xfId="9" applyFont="1" applyBorder="1" applyAlignment="1">
      <alignment horizontal="center" vertical="center" shrinkToFit="1"/>
    </xf>
    <xf numFmtId="0" fontId="15" fillId="0" borderId="20" xfId="9" applyFont="1" applyBorder="1" applyAlignment="1">
      <alignment horizontal="center" vertical="center"/>
    </xf>
    <xf numFmtId="0" fontId="15" fillId="0" borderId="20" xfId="9" applyFont="1" applyBorder="1" applyAlignment="1" applyProtection="1">
      <alignment horizontal="center" vertical="center"/>
      <protection locked="0"/>
    </xf>
    <xf numFmtId="0" fontId="15" fillId="0" borderId="226" xfId="9" applyFont="1" applyBorder="1" applyAlignment="1" applyProtection="1">
      <alignment horizontal="center" vertical="center"/>
      <protection locked="0"/>
    </xf>
    <xf numFmtId="0" fontId="15" fillId="0" borderId="61" xfId="9" applyFont="1" applyBorder="1" applyAlignment="1" applyProtection="1">
      <alignment horizontal="center" vertical="center"/>
      <protection locked="0"/>
    </xf>
    <xf numFmtId="0" fontId="15" fillId="0" borderId="62" xfId="9" applyFont="1" applyBorder="1" applyAlignment="1" applyProtection="1">
      <alignment horizontal="center" vertical="center"/>
      <protection locked="0"/>
    </xf>
    <xf numFmtId="0" fontId="15" fillId="0" borderId="161" xfId="9" applyFont="1" applyBorder="1" applyAlignment="1" applyProtection="1">
      <alignment horizontal="center" vertical="center"/>
      <protection locked="0"/>
    </xf>
    <xf numFmtId="0" fontId="15" fillId="0" borderId="188" xfId="68" applyFont="1" applyBorder="1" applyProtection="1">
      <alignment vertical="center"/>
      <protection locked="0"/>
    </xf>
    <xf numFmtId="0" fontId="7" fillId="0" borderId="34" xfId="9" applyFont="1" applyBorder="1" applyAlignment="1">
      <alignment horizontal="left" vertical="center"/>
    </xf>
    <xf numFmtId="0" fontId="7" fillId="0" borderId="227" xfId="9" applyFont="1" applyBorder="1" applyAlignment="1">
      <alignment horizontal="left" vertical="center"/>
    </xf>
    <xf numFmtId="0" fontId="15" fillId="0" borderId="228" xfId="9" applyFont="1" applyBorder="1" applyAlignment="1">
      <alignment horizontal="right" vertical="center" shrinkToFit="1"/>
    </xf>
    <xf numFmtId="0" fontId="15" fillId="0" borderId="229" xfId="68" applyFont="1" applyBorder="1" applyAlignment="1">
      <alignment horizontal="center" vertical="center"/>
    </xf>
    <xf numFmtId="0" fontId="15" fillId="0" borderId="229" xfId="9" applyFont="1" applyBorder="1" applyAlignment="1">
      <alignment horizontal="center" vertical="center" shrinkToFit="1"/>
    </xf>
    <xf numFmtId="0" fontId="15" fillId="0" borderId="229" xfId="9" applyFont="1" applyBorder="1" applyAlignment="1" applyProtection="1">
      <alignment horizontal="center" vertical="center"/>
      <protection locked="0"/>
    </xf>
    <xf numFmtId="0" fontId="15" fillId="0" borderId="229" xfId="9" applyFont="1" applyBorder="1" applyAlignment="1">
      <alignment horizontal="center" vertical="center"/>
    </xf>
    <xf numFmtId="0" fontId="15" fillId="0" borderId="230" xfId="68" applyFont="1" applyBorder="1" applyAlignment="1" applyProtection="1">
      <alignment horizontal="center" vertical="center"/>
      <protection locked="0"/>
    </xf>
    <xf numFmtId="0" fontId="15" fillId="0" borderId="231" xfId="9" applyFont="1" applyBorder="1" applyAlignment="1" applyProtection="1">
      <alignment horizontal="center" vertical="center"/>
      <protection locked="0"/>
    </xf>
    <xf numFmtId="0" fontId="15" fillId="0" borderId="232" xfId="9" applyFont="1" applyBorder="1" applyAlignment="1" applyProtection="1">
      <alignment horizontal="center" vertical="center"/>
      <protection locked="0"/>
    </xf>
    <xf numFmtId="0" fontId="15" fillId="0" borderId="233" xfId="9" applyFont="1" applyBorder="1" applyAlignment="1" applyProtection="1">
      <alignment horizontal="center" vertical="center"/>
      <protection locked="0"/>
    </xf>
    <xf numFmtId="0" fontId="15" fillId="0" borderId="234" xfId="9" applyFont="1" applyBorder="1" applyAlignment="1" applyProtection="1">
      <alignment horizontal="center" vertical="center"/>
      <protection locked="0"/>
    </xf>
    <xf numFmtId="0" fontId="15" fillId="0" borderId="230" xfId="68" applyFont="1" applyBorder="1" applyProtection="1">
      <alignment vertical="center"/>
      <protection locked="0"/>
    </xf>
    <xf numFmtId="0" fontId="7" fillId="0" borderId="34" xfId="68" applyFont="1" applyBorder="1" applyAlignment="1">
      <alignment horizontal="left" vertical="center" shrinkToFit="1"/>
    </xf>
    <xf numFmtId="0" fontId="15" fillId="0" borderId="16" xfId="68" applyFont="1" applyBorder="1" applyAlignment="1">
      <alignment horizontal="center" vertical="center" wrapText="1"/>
    </xf>
    <xf numFmtId="0" fontId="7" fillId="0" borderId="187" xfId="68" applyFont="1" applyBorder="1" applyAlignment="1">
      <alignment horizontal="left" vertical="center" shrinkToFit="1"/>
    </xf>
    <xf numFmtId="0" fontId="15" fillId="0" borderId="11" xfId="68" applyFont="1" applyBorder="1" applyAlignment="1">
      <alignment horizontal="center" vertical="center" wrapText="1"/>
    </xf>
    <xf numFmtId="0" fontId="15" fillId="0" borderId="220" xfId="9" applyFont="1" applyBorder="1" applyAlignment="1" applyProtection="1">
      <alignment horizontal="center" vertical="center"/>
      <protection locked="0"/>
    </xf>
    <xf numFmtId="0" fontId="15" fillId="0" borderId="11" xfId="9" applyFont="1" applyBorder="1" applyAlignment="1">
      <alignment horizontal="right" vertical="center" shrinkToFit="1"/>
    </xf>
    <xf numFmtId="0" fontId="169" fillId="0" borderId="213" xfId="9" applyFont="1" applyBorder="1" applyAlignment="1" applyProtection="1">
      <alignment horizontal="center" vertical="center"/>
      <protection locked="0"/>
    </xf>
    <xf numFmtId="0" fontId="15" fillId="0" borderId="99" xfId="9" applyFont="1" applyBorder="1" applyAlignment="1" applyProtection="1">
      <alignment vertical="center" shrinkToFit="1"/>
      <protection locked="0"/>
    </xf>
    <xf numFmtId="0" fontId="15" fillId="0" borderId="11" xfId="9" applyFont="1" applyBorder="1" applyAlignment="1">
      <alignment horizontal="center" vertical="center" wrapText="1" shrinkToFit="1"/>
    </xf>
    <xf numFmtId="0" fontId="15" fillId="0" borderId="235" xfId="9" applyFont="1" applyBorder="1" applyAlignment="1">
      <alignment horizontal="center" vertical="center"/>
    </xf>
    <xf numFmtId="0" fontId="15" fillId="0" borderId="196" xfId="9" applyFont="1" applyBorder="1" applyAlignment="1">
      <alignment horizontal="center" vertical="center"/>
    </xf>
    <xf numFmtId="0" fontId="163" fillId="0" borderId="16" xfId="68" applyFont="1" applyBorder="1" applyAlignment="1" applyProtection="1">
      <alignment horizontal="center" vertical="center" shrinkToFit="1"/>
      <protection locked="0"/>
    </xf>
    <xf numFmtId="0" fontId="163" fillId="0" borderId="16" xfId="68" applyFont="1" applyBorder="1" applyAlignment="1" applyProtection="1">
      <alignment horizontal="center" vertical="center"/>
      <protection locked="0"/>
    </xf>
    <xf numFmtId="0" fontId="15" fillId="0" borderId="196" xfId="68" applyFont="1" applyBorder="1" applyAlignment="1" applyProtection="1">
      <alignment horizontal="center" vertical="center"/>
      <protection locked="0"/>
    </xf>
    <xf numFmtId="0" fontId="15" fillId="0" borderId="214" xfId="9" applyFont="1" applyBorder="1" applyAlignment="1" applyProtection="1">
      <alignment vertical="center" wrapText="1"/>
      <protection locked="0"/>
    </xf>
    <xf numFmtId="0" fontId="7" fillId="0" borderId="236" xfId="9" applyFont="1" applyBorder="1" applyAlignment="1">
      <alignment horizontal="left" vertical="center"/>
    </xf>
    <xf numFmtId="0" fontId="15" fillId="0" borderId="237" xfId="9" applyFont="1" applyBorder="1" applyAlignment="1">
      <alignment horizontal="right" vertical="center"/>
    </xf>
    <xf numFmtId="0" fontId="15" fillId="0" borderId="237" xfId="68" applyFont="1" applyBorder="1" applyAlignment="1">
      <alignment horizontal="center" vertical="center" wrapText="1"/>
    </xf>
    <xf numFmtId="0" fontId="15" fillId="0" borderId="237" xfId="9" applyFont="1" applyBorder="1" applyAlignment="1">
      <alignment horizontal="center" vertical="center" shrinkToFit="1"/>
    </xf>
    <xf numFmtId="0" fontId="15" fillId="0" borderId="237" xfId="566" applyFont="1" applyBorder="1" applyAlignment="1" applyProtection="1">
      <alignment horizontal="center" vertical="center"/>
      <protection locked="0"/>
    </xf>
    <xf numFmtId="0" fontId="15" fillId="63" borderId="238" xfId="567" applyFont="1" applyFill="1" applyBorder="1" applyAlignment="1">
      <alignment horizontal="center" vertical="center"/>
    </xf>
    <xf numFmtId="0" fontId="15" fillId="0" borderId="239" xfId="9" applyFont="1" applyBorder="1" applyAlignment="1" applyProtection="1">
      <alignment horizontal="center" vertical="center"/>
      <protection locked="0"/>
    </xf>
    <xf numFmtId="0" fontId="15" fillId="0" borderId="240" xfId="9" applyFont="1" applyBorder="1" applyAlignment="1" applyProtection="1">
      <alignment horizontal="center" vertical="center"/>
      <protection locked="0"/>
    </xf>
    <xf numFmtId="0" fontId="15" fillId="0" borderId="241" xfId="9" applyFont="1" applyBorder="1" applyAlignment="1" applyProtection="1">
      <alignment horizontal="center" vertical="center"/>
      <protection locked="0"/>
    </xf>
    <xf numFmtId="0" fontId="15" fillId="0" borderId="242" xfId="9" applyFont="1" applyBorder="1" applyAlignment="1" applyProtection="1">
      <alignment horizontal="center" vertical="center"/>
      <protection locked="0"/>
    </xf>
    <xf numFmtId="0" fontId="15" fillId="0" borderId="238" xfId="9" applyFont="1" applyBorder="1" applyAlignment="1" applyProtection="1">
      <alignment vertical="center" shrinkToFit="1"/>
      <protection locked="0"/>
    </xf>
    <xf numFmtId="0" fontId="170" fillId="0" borderId="187" xfId="68" applyFont="1" applyBorder="1" applyAlignment="1">
      <alignment horizontal="left" vertical="center"/>
    </xf>
    <xf numFmtId="0" fontId="15" fillId="0" borderId="59" xfId="68" applyFont="1" applyBorder="1" applyAlignment="1" applyProtection="1">
      <alignment horizontal="right" vertical="center"/>
      <protection locked="0"/>
    </xf>
    <xf numFmtId="0" fontId="7" fillId="0" borderId="187" xfId="68" applyFont="1" applyBorder="1" applyAlignment="1" applyProtection="1">
      <alignment horizontal="left" vertical="center"/>
      <protection locked="0"/>
    </xf>
    <xf numFmtId="0" fontId="7" fillId="0" borderId="187" xfId="566" applyFont="1" applyBorder="1" applyAlignment="1" applyProtection="1">
      <alignment horizontal="left" vertical="center"/>
      <protection locked="0"/>
    </xf>
    <xf numFmtId="0" fontId="15" fillId="0" borderId="59" xfId="566" applyFont="1" applyBorder="1" applyAlignment="1" applyProtection="1">
      <alignment horizontal="right" vertical="center"/>
      <protection locked="0"/>
    </xf>
    <xf numFmtId="0" fontId="15" fillId="0" borderId="16" xfId="566" applyFont="1" applyBorder="1" applyAlignment="1" applyProtection="1">
      <alignment horizontal="center" vertical="center" shrinkToFit="1"/>
      <protection locked="0"/>
    </xf>
    <xf numFmtId="0" fontId="15" fillId="0" borderId="214" xfId="566" applyFont="1" applyBorder="1" applyAlignment="1" applyProtection="1">
      <alignment horizontal="center" vertical="center" shrinkToFit="1"/>
      <protection locked="0"/>
    </xf>
    <xf numFmtId="0" fontId="163" fillId="0" borderId="73" xfId="68" applyFont="1" applyBorder="1" applyAlignment="1" applyProtection="1">
      <alignment horizontal="right" vertical="center"/>
      <protection locked="0"/>
    </xf>
    <xf numFmtId="0" fontId="163" fillId="0" borderId="11" xfId="68" applyFont="1" applyBorder="1" applyAlignment="1" applyProtection="1">
      <alignment horizontal="center" vertical="center"/>
      <protection locked="0"/>
    </xf>
    <xf numFmtId="0" fontId="7" fillId="0" borderId="217" xfId="68" applyFont="1" applyBorder="1" applyAlignment="1" applyProtection="1">
      <alignment horizontal="left" vertical="center"/>
      <protection locked="0"/>
    </xf>
    <xf numFmtId="0" fontId="163" fillId="0" borderId="204" xfId="68" applyFont="1" applyBorder="1" applyAlignment="1" applyProtection="1">
      <alignment horizontal="right" vertical="center"/>
      <protection locked="0"/>
    </xf>
    <xf numFmtId="0" fontId="15" fillId="0" borderId="203" xfId="68" applyFont="1" applyBorder="1" applyAlignment="1" applyProtection="1">
      <alignment horizontal="center" vertical="center" shrinkToFit="1"/>
      <protection locked="0"/>
    </xf>
    <xf numFmtId="0" fontId="163" fillId="0" borderId="203" xfId="68" applyFont="1" applyBorder="1" applyAlignment="1" applyProtection="1">
      <alignment horizontal="center" vertical="center"/>
      <protection locked="0"/>
    </xf>
    <xf numFmtId="0" fontId="15" fillId="0" borderId="0" xfId="68" applyFont="1" applyAlignment="1">
      <alignment horizontal="right" vertical="center"/>
    </xf>
    <xf numFmtId="0" fontId="7" fillId="0" borderId="243" xfId="68" applyFont="1" applyBorder="1" applyAlignment="1" applyProtection="1">
      <alignment horizontal="left" vertical="center"/>
      <protection locked="0"/>
    </xf>
    <xf numFmtId="0" fontId="15" fillId="0" borderId="244" xfId="68" applyFont="1" applyBorder="1" applyAlignment="1" applyProtection="1">
      <alignment horizontal="right" vertical="center"/>
      <protection locked="0"/>
    </xf>
    <xf numFmtId="0" fontId="15" fillId="0" borderId="245" xfId="68" applyFont="1" applyBorder="1" applyAlignment="1" applyProtection="1">
      <alignment horizontal="center" vertical="center"/>
      <protection locked="0"/>
    </xf>
    <xf numFmtId="0" fontId="15" fillId="0" borderId="245" xfId="68" applyFont="1" applyBorder="1" applyAlignment="1" applyProtection="1">
      <alignment horizontal="center" vertical="center" shrinkToFit="1"/>
      <protection locked="0"/>
    </xf>
    <xf numFmtId="0" fontId="15" fillId="0" borderId="245" xfId="566" applyFont="1" applyBorder="1" applyAlignment="1" applyProtection="1">
      <alignment horizontal="center" vertical="center"/>
      <protection locked="0"/>
    </xf>
    <xf numFmtId="0" fontId="15" fillId="0" borderId="246" xfId="68" applyFont="1" applyBorder="1" applyAlignment="1" applyProtection="1">
      <alignment horizontal="center" vertical="center"/>
      <protection locked="0"/>
    </xf>
    <xf numFmtId="0" fontId="15" fillId="0" borderId="247" xfId="68" applyFont="1" applyBorder="1" applyAlignment="1" applyProtection="1">
      <alignment horizontal="center" vertical="center"/>
      <protection locked="0"/>
    </xf>
    <xf numFmtId="0" fontId="15" fillId="0" borderId="248" xfId="68" applyFont="1" applyBorder="1" applyAlignment="1" applyProtection="1">
      <alignment horizontal="center" vertical="center"/>
      <protection locked="0"/>
    </xf>
    <xf numFmtId="0" fontId="15" fillId="0" borderId="249" xfId="68" applyFont="1" applyBorder="1" applyAlignment="1" applyProtection="1">
      <alignment horizontal="center" vertical="center"/>
      <protection locked="0"/>
    </xf>
    <xf numFmtId="0" fontId="15" fillId="0" borderId="246" xfId="68" applyFont="1" applyBorder="1" applyProtection="1">
      <alignment vertical="center"/>
      <protection locked="0"/>
    </xf>
    <xf numFmtId="0" fontId="7" fillId="0" borderId="34" xfId="68" applyFont="1" applyBorder="1" applyAlignment="1" applyProtection="1">
      <alignment horizontal="left" vertical="center"/>
      <protection locked="0"/>
    </xf>
    <xf numFmtId="0" fontId="7" fillId="0" borderId="177" xfId="68" applyFont="1" applyBorder="1" applyAlignment="1" applyProtection="1">
      <alignment horizontal="left" vertical="center"/>
      <protection locked="0"/>
    </xf>
    <xf numFmtId="0" fontId="15" fillId="0" borderId="77" xfId="68" applyFont="1" applyBorder="1" applyAlignment="1" applyProtection="1">
      <alignment horizontal="right" vertical="center"/>
      <protection locked="0"/>
    </xf>
    <xf numFmtId="0" fontId="15" fillId="0" borderId="13" xfId="68" applyFont="1" applyBorder="1" applyAlignment="1" applyProtection="1">
      <alignment horizontal="center" vertical="center"/>
      <protection locked="0"/>
    </xf>
    <xf numFmtId="0" fontId="15" fillId="0" borderId="13" xfId="68" applyFont="1" applyBorder="1" applyAlignment="1" applyProtection="1">
      <alignment horizontal="center" vertical="center" shrinkToFit="1"/>
      <protection locked="0"/>
    </xf>
    <xf numFmtId="0" fontId="15" fillId="0" borderId="13" xfId="566" applyFont="1" applyBorder="1" applyAlignment="1" applyProtection="1">
      <alignment horizontal="center" vertical="center"/>
      <protection locked="0"/>
    </xf>
    <xf numFmtId="0" fontId="15" fillId="0" borderId="250" xfId="68" applyFont="1" applyBorder="1" applyAlignment="1" applyProtection="1">
      <alignment horizontal="center" vertical="center"/>
      <protection locked="0"/>
    </xf>
    <xf numFmtId="0" fontId="15" fillId="0" borderId="251" xfId="68" applyFont="1" applyBorder="1" applyAlignment="1" applyProtection="1">
      <alignment horizontal="center" vertical="center"/>
      <protection locked="0"/>
    </xf>
    <xf numFmtId="0" fontId="15" fillId="0" borderId="252" xfId="68" applyFont="1" applyBorder="1" applyAlignment="1" applyProtection="1">
      <alignment horizontal="center" vertical="center"/>
      <protection locked="0"/>
    </xf>
    <xf numFmtId="0" fontId="15" fillId="0" borderId="253" xfId="68" applyFont="1" applyBorder="1" applyAlignment="1" applyProtection="1">
      <alignment horizontal="center" vertical="center"/>
      <protection locked="0"/>
    </xf>
    <xf numFmtId="0" fontId="15" fillId="0" borderId="250" xfId="68" applyFont="1" applyBorder="1" applyProtection="1">
      <alignment vertical="center"/>
      <protection locked="0"/>
    </xf>
    <xf numFmtId="0" fontId="7" fillId="0" borderId="175" xfId="68" applyFont="1" applyBorder="1" applyAlignment="1" applyProtection="1">
      <alignment horizontal="left" vertical="center"/>
      <protection locked="0"/>
    </xf>
    <xf numFmtId="0" fontId="15" fillId="0" borderId="86" xfId="68" applyFont="1" applyBorder="1" applyAlignment="1" applyProtection="1">
      <alignment horizontal="right" vertical="center"/>
      <protection locked="0"/>
    </xf>
    <xf numFmtId="0" fontId="15" fillId="0" borderId="15" xfId="68" applyFont="1" applyBorder="1" applyAlignment="1" applyProtection="1">
      <alignment horizontal="center" vertical="center"/>
      <protection locked="0"/>
    </xf>
    <xf numFmtId="0" fontId="15" fillId="0" borderId="15" xfId="68" applyFont="1" applyBorder="1" applyAlignment="1" applyProtection="1">
      <alignment horizontal="center" vertical="center" shrinkToFit="1"/>
      <protection locked="0"/>
    </xf>
    <xf numFmtId="0" fontId="15" fillId="0" borderId="15" xfId="566" applyFont="1" applyBorder="1" applyAlignment="1" applyProtection="1">
      <alignment horizontal="center" vertical="center"/>
      <protection locked="0"/>
    </xf>
    <xf numFmtId="0" fontId="15" fillId="0" borderId="195" xfId="68" applyFont="1" applyBorder="1" applyAlignment="1" applyProtection="1">
      <alignment horizontal="center" vertical="center"/>
      <protection locked="0"/>
    </xf>
    <xf numFmtId="0" fontId="15" fillId="0" borderId="73" xfId="68" applyFont="1" applyBorder="1" applyAlignment="1" applyProtection="1">
      <alignment horizontal="right" vertical="center"/>
      <protection locked="0"/>
    </xf>
    <xf numFmtId="0" fontId="15" fillId="4" borderId="13" xfId="68" applyFont="1" applyFill="1" applyBorder="1" applyAlignment="1" applyProtection="1">
      <alignment horizontal="center" vertical="center"/>
      <protection locked="0"/>
    </xf>
    <xf numFmtId="0" fontId="15" fillId="4" borderId="254" xfId="68" applyFont="1" applyFill="1" applyBorder="1" applyProtection="1">
      <alignment vertical="center"/>
      <protection locked="0"/>
    </xf>
    <xf numFmtId="0" fontId="15" fillId="4" borderId="252" xfId="68" applyFont="1" applyFill="1" applyBorder="1" applyAlignment="1" applyProtection="1">
      <alignment horizontal="center" vertical="center"/>
      <protection locked="0"/>
    </xf>
    <xf numFmtId="0" fontId="15" fillId="4" borderId="251" xfId="68" applyFont="1" applyFill="1" applyBorder="1" applyProtection="1">
      <alignment vertical="center"/>
      <protection locked="0"/>
    </xf>
    <xf numFmtId="0" fontId="15" fillId="4" borderId="251" xfId="68" applyFont="1" applyFill="1" applyBorder="1" applyAlignment="1" applyProtection="1">
      <alignment horizontal="center" vertical="center"/>
      <protection locked="0"/>
    </xf>
    <xf numFmtId="0" fontId="15" fillId="4" borderId="253" xfId="68" applyFont="1" applyFill="1" applyBorder="1" applyAlignment="1" applyProtection="1">
      <alignment horizontal="center" vertical="center"/>
      <protection locked="0"/>
    </xf>
    <xf numFmtId="0" fontId="15" fillId="4" borderId="250" xfId="68" applyFont="1" applyFill="1" applyBorder="1" applyProtection="1">
      <alignment vertical="center"/>
      <protection locked="0"/>
    </xf>
    <xf numFmtId="0" fontId="15" fillId="0" borderId="86" xfId="9" applyFont="1" applyBorder="1" applyAlignment="1" applyProtection="1">
      <alignment horizontal="right" vertical="center"/>
      <protection locked="0"/>
    </xf>
    <xf numFmtId="0" fontId="15" fillId="0" borderId="15" xfId="9" applyFont="1" applyBorder="1" applyAlignment="1" applyProtection="1">
      <alignment horizontal="center" vertical="center" shrinkToFit="1"/>
      <protection locked="0"/>
    </xf>
    <xf numFmtId="0" fontId="15" fillId="0" borderId="15" xfId="9" applyFont="1" applyBorder="1" applyAlignment="1" applyProtection="1">
      <alignment horizontal="center" vertical="center"/>
      <protection locked="0"/>
    </xf>
    <xf numFmtId="0" fontId="15" fillId="4" borderId="15" xfId="9" applyFont="1" applyFill="1" applyBorder="1" applyAlignment="1" applyProtection="1">
      <alignment horizontal="center" vertical="center"/>
      <protection locked="0"/>
    </xf>
    <xf numFmtId="0" fontId="15" fillId="4" borderId="195" xfId="9" applyFont="1" applyFill="1" applyBorder="1" applyAlignment="1" applyProtection="1">
      <alignment horizontal="center" vertical="center"/>
      <protection locked="0"/>
    </xf>
    <xf numFmtId="0" fontId="15" fillId="4" borderId="191" xfId="9" applyFont="1" applyFill="1" applyBorder="1" applyAlignment="1" applyProtection="1">
      <alignment horizontal="center" vertical="center"/>
      <protection locked="0"/>
    </xf>
    <xf numFmtId="0" fontId="15" fillId="4" borderId="192" xfId="9" applyFont="1" applyFill="1" applyBorder="1" applyAlignment="1" applyProtection="1">
      <alignment horizontal="center" vertical="center"/>
      <protection locked="0"/>
    </xf>
    <xf numFmtId="0" fontId="15" fillId="4" borderId="193" xfId="9" applyFont="1" applyFill="1" applyBorder="1" applyAlignment="1" applyProtection="1">
      <alignment horizontal="center" vertical="center"/>
      <protection locked="0"/>
    </xf>
    <xf numFmtId="0" fontId="15" fillId="4" borderId="194" xfId="9" applyFont="1" applyFill="1" applyBorder="1" applyAlignment="1" applyProtection="1">
      <alignment horizontal="center" vertical="center"/>
      <protection locked="0"/>
    </xf>
    <xf numFmtId="0" fontId="15" fillId="4" borderId="195" xfId="9" applyFont="1" applyFill="1" applyBorder="1" applyProtection="1">
      <alignment vertical="center"/>
      <protection locked="0"/>
    </xf>
    <xf numFmtId="0" fontId="15" fillId="0" borderId="73" xfId="9" applyFont="1" applyBorder="1" applyAlignment="1" applyProtection="1">
      <alignment horizontal="right" vertical="center"/>
      <protection locked="0"/>
    </xf>
    <xf numFmtId="0" fontId="15" fillId="4" borderId="11" xfId="9" applyFont="1" applyFill="1" applyBorder="1" applyAlignment="1" applyProtection="1">
      <alignment horizontal="center" vertical="center"/>
      <protection locked="0"/>
    </xf>
    <xf numFmtId="0" fontId="15" fillId="4" borderId="99" xfId="9" applyFont="1" applyFill="1" applyBorder="1" applyAlignment="1" applyProtection="1">
      <alignment horizontal="center" vertical="center"/>
      <protection locked="0"/>
    </xf>
    <xf numFmtId="0" fontId="15" fillId="4" borderId="223" xfId="9" applyFont="1" applyFill="1" applyBorder="1" applyAlignment="1" applyProtection="1">
      <alignment horizontal="center" vertical="center"/>
      <protection locked="0"/>
    </xf>
    <xf numFmtId="0" fontId="15" fillId="4" borderId="213" xfId="9" applyFont="1" applyFill="1" applyBorder="1" applyAlignment="1" applyProtection="1">
      <alignment horizontal="center" vertical="center"/>
      <protection locked="0"/>
    </xf>
    <xf numFmtId="0" fontId="15" fillId="4" borderId="216" xfId="9" applyFont="1" applyFill="1" applyBorder="1" applyAlignment="1" applyProtection="1">
      <alignment horizontal="center" vertical="center"/>
      <protection locked="0"/>
    </xf>
    <xf numFmtId="0" fontId="15" fillId="4" borderId="215" xfId="9" applyFont="1" applyFill="1" applyBorder="1" applyAlignment="1" applyProtection="1">
      <alignment horizontal="center" vertical="center"/>
      <protection locked="0"/>
    </xf>
    <xf numFmtId="0" fontId="15" fillId="4" borderId="99" xfId="9" applyFont="1" applyFill="1" applyBorder="1" applyProtection="1">
      <alignment vertical="center"/>
      <protection locked="0"/>
    </xf>
    <xf numFmtId="0" fontId="7" fillId="0" borderId="177" xfId="9" applyFont="1" applyBorder="1" applyAlignment="1" applyProtection="1">
      <alignment horizontal="left" vertical="center"/>
      <protection locked="0"/>
    </xf>
    <xf numFmtId="0" fontId="15" fillId="0" borderId="77" xfId="9" applyFont="1" applyBorder="1" applyAlignment="1" applyProtection="1">
      <alignment horizontal="right" vertical="center"/>
      <protection locked="0"/>
    </xf>
    <xf numFmtId="0" fontId="15" fillId="0" borderId="13" xfId="9" applyFont="1" applyBorder="1" applyAlignment="1" applyProtection="1">
      <alignment horizontal="center" vertical="center" shrinkToFit="1"/>
      <protection locked="0"/>
    </xf>
    <xf numFmtId="0" fontId="15" fillId="0" borderId="13" xfId="9" applyFont="1" applyBorder="1" applyAlignment="1" applyProtection="1">
      <alignment horizontal="center" vertical="center"/>
      <protection locked="0"/>
    </xf>
    <xf numFmtId="0" fontId="15" fillId="4" borderId="13" xfId="9" applyFont="1" applyFill="1" applyBorder="1" applyAlignment="1" applyProtection="1">
      <alignment horizontal="center" vertical="center"/>
      <protection locked="0"/>
    </xf>
    <xf numFmtId="0" fontId="15" fillId="4" borderId="250" xfId="9" applyFont="1" applyFill="1" applyBorder="1" applyAlignment="1" applyProtection="1">
      <alignment horizontal="center" vertical="center"/>
      <protection locked="0"/>
    </xf>
    <xf numFmtId="0" fontId="15" fillId="4" borderId="254" xfId="9" applyFont="1" applyFill="1" applyBorder="1" applyAlignment="1" applyProtection="1">
      <alignment horizontal="center" vertical="center"/>
      <protection locked="0"/>
    </xf>
    <xf numFmtId="0" fontId="15" fillId="4" borderId="252" xfId="9" applyFont="1" applyFill="1" applyBorder="1" applyAlignment="1" applyProtection="1">
      <alignment horizontal="center" vertical="center"/>
      <protection locked="0"/>
    </xf>
    <xf numFmtId="0" fontId="15" fillId="4" borderId="251" xfId="9" applyFont="1" applyFill="1" applyBorder="1" applyAlignment="1" applyProtection="1">
      <alignment horizontal="center" vertical="center"/>
      <protection locked="0"/>
    </xf>
    <xf numFmtId="0" fontId="15" fillId="4" borderId="253" xfId="9" applyFont="1" applyFill="1" applyBorder="1" applyAlignment="1" applyProtection="1">
      <alignment horizontal="center" vertical="center"/>
      <protection locked="0"/>
    </xf>
    <xf numFmtId="0" fontId="15" fillId="4" borderId="250" xfId="9" applyFont="1" applyFill="1" applyBorder="1" applyProtection="1">
      <alignment vertical="center"/>
      <protection locked="0"/>
    </xf>
    <xf numFmtId="0" fontId="15" fillId="0" borderId="198" xfId="68" applyFont="1" applyBorder="1" applyProtection="1">
      <alignment vertical="center"/>
      <protection locked="0"/>
    </xf>
    <xf numFmtId="0" fontId="15" fillId="0" borderId="200" xfId="68" applyFont="1" applyBorder="1" applyProtection="1">
      <alignment vertical="center"/>
      <protection locked="0"/>
    </xf>
    <xf numFmtId="0" fontId="15" fillId="0" borderId="201" xfId="68" applyFont="1" applyBorder="1" applyProtection="1">
      <alignment vertical="center"/>
      <protection locked="0"/>
    </xf>
    <xf numFmtId="0" fontId="15" fillId="0" borderId="72" xfId="68" applyFont="1" applyBorder="1" applyAlignment="1" applyProtection="1">
      <alignment horizontal="center" vertical="center" shrinkToFit="1"/>
      <protection locked="0"/>
    </xf>
    <xf numFmtId="0" fontId="15" fillId="0" borderId="72" xfId="68" applyFont="1" applyBorder="1" applyAlignment="1" applyProtection="1">
      <alignment horizontal="center" vertical="center"/>
      <protection locked="0"/>
    </xf>
    <xf numFmtId="0" fontId="15" fillId="0" borderId="46" xfId="68" applyFont="1" applyBorder="1" applyAlignment="1" applyProtection="1">
      <alignment horizontal="center" vertical="center"/>
      <protection locked="0"/>
    </xf>
    <xf numFmtId="0" fontId="15" fillId="0" borderId="45" xfId="68" applyFont="1" applyBorder="1" applyAlignment="1" applyProtection="1">
      <alignment horizontal="center" vertical="center"/>
      <protection locked="0"/>
    </xf>
    <xf numFmtId="0" fontId="15" fillId="0" borderId="160" xfId="68" applyFont="1" applyBorder="1" applyAlignment="1" applyProtection="1">
      <alignment horizontal="center" vertical="center"/>
      <protection locked="0"/>
    </xf>
    <xf numFmtId="0" fontId="15" fillId="0" borderId="223" xfId="68" applyFont="1" applyBorder="1" applyProtection="1">
      <alignment vertical="center"/>
      <protection locked="0"/>
    </xf>
    <xf numFmtId="0" fontId="15" fillId="0" borderId="216" xfId="68" applyFont="1" applyBorder="1" applyProtection="1">
      <alignment vertical="center"/>
      <protection locked="0"/>
    </xf>
    <xf numFmtId="0" fontId="15" fillId="0" borderId="215" xfId="68" applyFont="1" applyBorder="1" applyProtection="1">
      <alignment vertical="center"/>
      <protection locked="0"/>
    </xf>
    <xf numFmtId="0" fontId="15" fillId="0" borderId="9" xfId="68" applyFont="1" applyBorder="1" applyAlignment="1" applyProtection="1">
      <alignment horizontal="right" vertical="center"/>
      <protection locked="0"/>
    </xf>
    <xf numFmtId="0" fontId="15" fillId="0" borderId="180" xfId="68" applyFont="1" applyBorder="1" applyAlignment="1" applyProtection="1">
      <alignment horizontal="center" vertical="center"/>
      <protection locked="0"/>
    </xf>
    <xf numFmtId="0" fontId="15" fillId="0" borderId="254" xfId="68" applyFont="1" applyBorder="1" applyProtection="1">
      <alignment vertical="center"/>
      <protection locked="0"/>
    </xf>
    <xf numFmtId="0" fontId="15" fillId="0" borderId="251" xfId="68" applyFont="1" applyBorder="1" applyProtection="1">
      <alignment vertical="center"/>
      <protection locked="0"/>
    </xf>
    <xf numFmtId="0" fontId="15" fillId="0" borderId="253" xfId="68" applyFont="1" applyBorder="1" applyProtection="1">
      <alignment vertical="center"/>
      <protection locked="0"/>
    </xf>
    <xf numFmtId="0" fontId="15" fillId="0" borderId="46" xfId="68" applyFont="1" applyBorder="1" applyProtection="1">
      <alignment vertical="center"/>
      <protection locked="0"/>
    </xf>
    <xf numFmtId="0" fontId="15" fillId="0" borderId="180" xfId="68" applyFont="1" applyBorder="1" applyProtection="1">
      <alignment vertical="center"/>
      <protection locked="0"/>
    </xf>
    <xf numFmtId="0" fontId="15" fillId="0" borderId="59" xfId="9" applyFont="1" applyBorder="1" applyAlignment="1" applyProtection="1">
      <alignment horizontal="right" vertical="center" shrinkToFit="1"/>
      <protection locked="0"/>
    </xf>
    <xf numFmtId="0" fontId="15" fillId="3" borderId="198" xfId="9" applyFont="1" applyFill="1" applyBorder="1" applyAlignment="1" applyProtection="1">
      <alignment horizontal="center" vertical="center"/>
      <protection locked="0"/>
    </xf>
    <xf numFmtId="0" fontId="15" fillId="3" borderId="213" xfId="9" applyFont="1" applyFill="1" applyBorder="1" applyAlignment="1" applyProtection="1">
      <alignment horizontal="center" vertical="center"/>
      <protection locked="0"/>
    </xf>
    <xf numFmtId="0" fontId="15" fillId="3" borderId="216" xfId="9" applyFont="1" applyFill="1" applyBorder="1" applyAlignment="1" applyProtection="1">
      <alignment horizontal="center" vertical="center"/>
      <protection locked="0"/>
    </xf>
    <xf numFmtId="0" fontId="15" fillId="3" borderId="192" xfId="9" applyFont="1" applyFill="1" applyBorder="1" applyAlignment="1" applyProtection="1">
      <alignment horizontal="center" vertical="center"/>
      <protection locked="0"/>
    </xf>
    <xf numFmtId="0" fontId="15" fillId="4" borderId="213" xfId="68" applyFont="1" applyFill="1" applyBorder="1" applyAlignment="1" applyProtection="1">
      <alignment horizontal="center" vertical="center"/>
      <protection locked="0"/>
    </xf>
    <xf numFmtId="0" fontId="15" fillId="0" borderId="148" xfId="68" applyFont="1" applyBorder="1" applyAlignment="1" applyProtection="1">
      <alignment horizontal="right" vertical="center"/>
      <protection locked="0"/>
    </xf>
    <xf numFmtId="0" fontId="15" fillId="0" borderId="255" xfId="566" applyFont="1" applyBorder="1" applyAlignment="1" applyProtection="1">
      <alignment horizontal="center" vertical="center"/>
      <protection locked="0"/>
    </xf>
    <xf numFmtId="0" fontId="15" fillId="0" borderId="255" xfId="68" applyFont="1" applyBorder="1" applyAlignment="1" applyProtection="1">
      <alignment horizontal="center" vertical="center"/>
      <protection locked="0"/>
    </xf>
    <xf numFmtId="0" fontId="15" fillId="0" borderId="256" xfId="68" applyFont="1" applyBorder="1" applyAlignment="1" applyProtection="1">
      <alignment horizontal="center" vertical="center"/>
      <protection locked="0"/>
    </xf>
    <xf numFmtId="0" fontId="15" fillId="0" borderId="103" xfId="68" applyFont="1" applyBorder="1" applyAlignment="1" applyProtection="1">
      <alignment horizontal="center" vertical="center"/>
      <protection locked="0"/>
    </xf>
    <xf numFmtId="0" fontId="15" fillId="0" borderId="102" xfId="68" applyFont="1" applyBorder="1" applyAlignment="1" applyProtection="1">
      <alignment horizontal="center" vertical="center"/>
      <protection locked="0"/>
    </xf>
    <xf numFmtId="0" fontId="15" fillId="0" borderId="257" xfId="68" applyFont="1" applyBorder="1" applyAlignment="1" applyProtection="1">
      <alignment horizontal="center" vertical="center"/>
      <protection locked="0"/>
    </xf>
    <xf numFmtId="0" fontId="15" fillId="0" borderId="256" xfId="68" applyFont="1" applyBorder="1" applyProtection="1">
      <alignment vertical="center"/>
      <protection locked="0"/>
    </xf>
    <xf numFmtId="0" fontId="159" fillId="0" borderId="0" xfId="570" applyFont="1" applyProtection="1">
      <alignment vertical="center"/>
      <protection locked="0"/>
    </xf>
    <xf numFmtId="0" fontId="171" fillId="0" borderId="0" xfId="570" applyFont="1">
      <alignment vertical="center"/>
    </xf>
    <xf numFmtId="0" fontId="159" fillId="0" borderId="0" xfId="570" applyFont="1">
      <alignment vertical="center"/>
    </xf>
    <xf numFmtId="49" fontId="5" fillId="0" borderId="154" xfId="11" applyNumberFormat="1" applyFont="1" applyBorder="1" applyAlignment="1">
      <alignment horizontal="center" vertical="center" shrinkToFit="1"/>
    </xf>
    <xf numFmtId="49" fontId="5" fillId="0" borderId="96" xfId="11" applyNumberFormat="1" applyFont="1" applyBorder="1" applyAlignment="1">
      <alignment horizontal="center" vertical="center" shrinkToFit="1"/>
    </xf>
    <xf numFmtId="49" fontId="5" fillId="0" borderId="62" xfId="11" applyNumberFormat="1" applyFont="1" applyBorder="1" applyAlignment="1">
      <alignment horizontal="center" vertical="center" shrinkToFit="1"/>
    </xf>
    <xf numFmtId="49" fontId="5" fillId="0" borderId="168" xfId="11" applyNumberFormat="1" applyFont="1" applyBorder="1" applyAlignment="1">
      <alignment horizontal="center" vertical="center" shrinkToFit="1"/>
    </xf>
    <xf numFmtId="0" fontId="3" fillId="60" borderId="94" xfId="8" applyFill="1" applyBorder="1" applyAlignment="1">
      <alignment horizontal="center" vertical="center"/>
    </xf>
    <xf numFmtId="0" fontId="3" fillId="60" borderId="26" xfId="8" applyFill="1" applyBorder="1" applyAlignment="1">
      <alignment horizontal="center" vertical="center"/>
    </xf>
    <xf numFmtId="0" fontId="5" fillId="60" borderId="27" xfId="11" applyFont="1" applyFill="1" applyBorder="1" applyAlignment="1">
      <alignment horizontal="center" vertical="center"/>
    </xf>
    <xf numFmtId="0" fontId="5" fillId="60" borderId="26" xfId="11" applyFont="1" applyFill="1" applyBorder="1" applyAlignment="1">
      <alignment horizontal="center" vertical="center"/>
    </xf>
    <xf numFmtId="0" fontId="5" fillId="60" borderId="96" xfId="11" applyFont="1" applyFill="1" applyBorder="1" applyAlignment="1">
      <alignment horizontal="center" vertical="center"/>
    </xf>
    <xf numFmtId="0" fontId="5" fillId="60" borderId="42" xfId="11" applyFont="1" applyFill="1" applyBorder="1" applyAlignment="1">
      <alignment horizontal="center" vertical="center"/>
    </xf>
    <xf numFmtId="0" fontId="5" fillId="60" borderId="52" xfId="11" applyFont="1" applyFill="1" applyBorder="1" applyAlignment="1">
      <alignment horizontal="center" vertical="center"/>
    </xf>
    <xf numFmtId="0" fontId="5" fillId="60" borderId="25" xfId="11" applyFont="1" applyFill="1" applyBorder="1" applyAlignment="1">
      <alignment horizontal="center" vertical="center"/>
    </xf>
    <xf numFmtId="0" fontId="5" fillId="60" borderId="28" xfId="11" applyFont="1" applyFill="1" applyBorder="1" applyAlignment="1">
      <alignment horizontal="center" vertical="center"/>
    </xf>
    <xf numFmtId="0" fontId="5" fillId="60" borderId="43" xfId="11" applyFont="1" applyFill="1" applyBorder="1" applyAlignment="1">
      <alignment horizontal="center" vertical="center"/>
    </xf>
    <xf numFmtId="49" fontId="6" fillId="0" borderId="166" xfId="0" applyNumberFormat="1" applyFont="1" applyBorder="1" applyAlignment="1">
      <alignment horizontal="left" vertical="center" shrinkToFit="1"/>
    </xf>
    <xf numFmtId="49" fontId="6" fillId="0" borderId="172" xfId="0" applyNumberFormat="1" applyFont="1" applyBorder="1" applyAlignment="1">
      <alignment horizontal="left" vertical="center" shrinkToFit="1"/>
    </xf>
    <xf numFmtId="0" fontId="5" fillId="4" borderId="28" xfId="11" applyFont="1" applyFill="1" applyBorder="1" applyAlignment="1">
      <alignment vertical="center" shrinkToFit="1"/>
    </xf>
    <xf numFmtId="0" fontId="5" fillId="4" borderId="48" xfId="11" applyFont="1" applyFill="1" applyBorder="1" applyAlignment="1">
      <alignment horizontal="left" vertical="center"/>
    </xf>
    <xf numFmtId="0" fontId="5" fillId="4" borderId="48" xfId="11" applyFont="1" applyFill="1" applyBorder="1" applyAlignment="1">
      <alignment vertical="center" wrapText="1"/>
    </xf>
    <xf numFmtId="0" fontId="3" fillId="0" borderId="7" xfId="0" applyFont="1" applyBorder="1" applyAlignment="1">
      <alignment vertical="center"/>
    </xf>
    <xf numFmtId="49" fontId="6" fillId="0" borderId="166" xfId="0" applyNumberFormat="1" applyFont="1" applyBorder="1" applyAlignment="1">
      <alignment vertical="center" shrinkToFit="1"/>
    </xf>
    <xf numFmtId="49" fontId="6" fillId="0" borderId="172" xfId="0" applyNumberFormat="1" applyFont="1" applyBorder="1" applyAlignment="1">
      <alignment horizontal="center" vertical="center" shrinkToFit="1"/>
    </xf>
    <xf numFmtId="49" fontId="6" fillId="0" borderId="172" xfId="0" applyNumberFormat="1" applyFont="1" applyBorder="1" applyAlignment="1">
      <alignment vertical="center" shrinkToFit="1"/>
    </xf>
    <xf numFmtId="49" fontId="6" fillId="0" borderId="173" xfId="0" applyNumberFormat="1" applyFont="1" applyBorder="1" applyAlignment="1">
      <alignment vertical="center" shrinkToFit="1"/>
    </xf>
    <xf numFmtId="49" fontId="6" fillId="0" borderId="166" xfId="0" applyNumberFormat="1" applyFont="1" applyBorder="1" applyAlignment="1">
      <alignment horizontal="left" vertical="center"/>
    </xf>
    <xf numFmtId="49" fontId="6" fillId="0" borderId="172" xfId="0" applyNumberFormat="1" applyFont="1" applyBorder="1" applyAlignment="1">
      <alignment horizontal="left" vertical="center"/>
    </xf>
    <xf numFmtId="49" fontId="6" fillId="0" borderId="173" xfId="0" applyNumberFormat="1" applyFont="1" applyBorder="1" applyAlignment="1">
      <alignment horizontal="left" vertical="center" shrinkToFit="1"/>
    </xf>
    <xf numFmtId="49" fontId="28" fillId="4" borderId="169" xfId="8" applyNumberFormat="1" applyFont="1" applyFill="1" applyBorder="1" applyAlignment="1">
      <alignment horizontal="center" vertical="center" shrinkToFit="1"/>
    </xf>
    <xf numFmtId="187" fontId="5" fillId="0" borderId="21" xfId="0" applyNumberFormat="1" applyFont="1" applyBorder="1" applyAlignment="1">
      <alignment horizontal="center" vertical="center" shrinkToFit="1"/>
    </xf>
    <xf numFmtId="49" fontId="6" fillId="0" borderId="8" xfId="0" applyNumberFormat="1" applyFont="1" applyBorder="1" applyAlignment="1">
      <alignment horizontal="center" vertical="center" shrinkToFit="1"/>
    </xf>
    <xf numFmtId="49" fontId="6" fillId="0" borderId="166" xfId="0" applyNumberFormat="1" applyFont="1" applyBorder="1" applyAlignment="1">
      <alignment horizontal="center" vertical="center" shrinkToFit="1"/>
    </xf>
    <xf numFmtId="49" fontId="6" fillId="0" borderId="258" xfId="0" applyNumberFormat="1" applyFont="1" applyBorder="1" applyAlignment="1">
      <alignment horizontal="center" vertical="center" shrinkToFit="1"/>
    </xf>
    <xf numFmtId="49" fontId="6" fillId="0" borderId="13" xfId="0" applyNumberFormat="1" applyFont="1" applyBorder="1" applyAlignment="1">
      <alignment horizontal="center" vertical="center" shrinkToFit="1"/>
    </xf>
    <xf numFmtId="49" fontId="6" fillId="4" borderId="0" xfId="9" applyNumberFormat="1" applyFont="1" applyFill="1" applyAlignment="1">
      <alignment horizontal="left" vertical="center" shrinkToFit="1"/>
    </xf>
    <xf numFmtId="49" fontId="6" fillId="4" borderId="0" xfId="9" applyNumberFormat="1" applyFont="1" applyFill="1" applyAlignment="1">
      <alignment horizontal="left" vertical="center" wrapText="1" shrinkToFit="1"/>
    </xf>
    <xf numFmtId="49" fontId="32" fillId="0" borderId="15" xfId="0" applyNumberFormat="1" applyFont="1" applyBorder="1" applyAlignment="1">
      <alignment horizontal="center" vertical="center" shrinkToFit="1"/>
    </xf>
    <xf numFmtId="49" fontId="6" fillId="0" borderId="90" xfId="0" applyNumberFormat="1" applyFont="1" applyBorder="1" applyAlignment="1">
      <alignment horizontal="center" vertical="center" shrinkToFit="1"/>
    </xf>
    <xf numFmtId="0" fontId="0" fillId="0" borderId="145" xfId="0" applyBorder="1" applyAlignment="1">
      <alignment horizontal="center" vertical="center"/>
    </xf>
    <xf numFmtId="178" fontId="3" fillId="0" borderId="17" xfId="0" applyNumberFormat="1" applyFont="1" applyBorder="1" applyAlignment="1">
      <alignment horizontal="center" vertical="center" shrinkToFit="1"/>
    </xf>
    <xf numFmtId="188" fontId="5" fillId="0" borderId="21" xfId="0" applyNumberFormat="1" applyFont="1" applyBorder="1" applyAlignment="1">
      <alignment horizontal="center" vertical="center" shrinkToFit="1"/>
    </xf>
    <xf numFmtId="176" fontId="5" fillId="0" borderId="17" xfId="0" applyNumberFormat="1" applyFont="1" applyBorder="1" applyAlignment="1">
      <alignment horizontal="center" vertical="center" shrinkToFit="1"/>
    </xf>
    <xf numFmtId="0" fontId="0" fillId="0" borderId="166" xfId="0" applyBorder="1" applyAlignment="1">
      <alignment horizontal="center" vertical="center" shrinkToFit="1"/>
    </xf>
    <xf numFmtId="49" fontId="6" fillId="0" borderId="81" xfId="0" applyNumberFormat="1" applyFont="1" applyBorder="1" applyAlignment="1">
      <alignment horizontal="left" vertical="center" shrinkToFit="1"/>
    </xf>
    <xf numFmtId="49" fontId="6" fillId="0" borderId="82" xfId="0" applyNumberFormat="1" applyFont="1" applyBorder="1" applyAlignment="1">
      <alignment horizontal="left" vertical="center" shrinkToFit="1"/>
    </xf>
    <xf numFmtId="49" fontId="6" fillId="0" borderId="83" xfId="0" applyNumberFormat="1" applyFont="1" applyBorder="1" applyAlignment="1">
      <alignment horizontal="left" vertical="center" shrinkToFit="1"/>
    </xf>
    <xf numFmtId="49" fontId="6" fillId="0" borderId="83" xfId="0" applyNumberFormat="1" applyFont="1" applyBorder="1" applyAlignment="1">
      <alignment horizontal="center" vertical="center" shrinkToFit="1"/>
    </xf>
    <xf numFmtId="49" fontId="6" fillId="0" borderId="81" xfId="0" applyNumberFormat="1" applyFont="1" applyBorder="1" applyAlignment="1">
      <alignment horizontal="center" vertical="center" shrinkToFit="1"/>
    </xf>
    <xf numFmtId="49" fontId="6" fillId="0" borderId="72" xfId="0" applyNumberFormat="1" applyFont="1" applyBorder="1" applyAlignment="1">
      <alignment horizontal="center" vertical="center" shrinkToFit="1"/>
    </xf>
    <xf numFmtId="49" fontId="6" fillId="0" borderId="15" xfId="0" applyNumberFormat="1" applyFont="1" applyBorder="1" applyAlignment="1">
      <alignment horizontal="center" vertical="center" shrinkToFit="1"/>
    </xf>
    <xf numFmtId="9" fontId="35" fillId="0" borderId="2" xfId="571" applyFont="1" applyFill="1" applyBorder="1" applyAlignment="1">
      <alignment horizontal="center" vertical="center" shrinkToFit="1"/>
    </xf>
    <xf numFmtId="178" fontId="3" fillId="0" borderId="72" xfId="0" applyNumberFormat="1" applyFont="1" applyBorder="1" applyAlignment="1">
      <alignment horizontal="center" vertical="center" shrinkToFit="1"/>
    </xf>
    <xf numFmtId="186" fontId="0" fillId="0" borderId="142" xfId="0" applyNumberFormat="1" applyBorder="1" applyProtection="1">
      <protection hidden="1"/>
    </xf>
    <xf numFmtId="49" fontId="6" fillId="0" borderId="11" xfId="0" applyNumberFormat="1" applyFont="1" applyBorder="1" applyAlignment="1" applyProtection="1">
      <alignment horizontal="center" vertical="center" shrinkToFit="1"/>
      <protection locked="0"/>
    </xf>
    <xf numFmtId="49" fontId="34" fillId="0" borderId="11" xfId="0" applyNumberFormat="1" applyFont="1" applyBorder="1" applyAlignment="1" applyProtection="1">
      <alignment horizontal="center" vertical="center" shrinkToFit="1"/>
      <protection locked="0"/>
    </xf>
    <xf numFmtId="186" fontId="0" fillId="0" borderId="72" xfId="0" applyNumberFormat="1" applyBorder="1" applyProtection="1">
      <protection hidden="1"/>
    </xf>
    <xf numFmtId="14" fontId="32" fillId="0" borderId="171" xfId="0" applyNumberFormat="1" applyFont="1" applyBorder="1" applyAlignment="1">
      <alignment horizontal="right"/>
    </xf>
    <xf numFmtId="49" fontId="0" fillId="0" borderId="171" xfId="0" applyNumberFormat="1" applyBorder="1"/>
    <xf numFmtId="14" fontId="32" fillId="0" borderId="21" xfId="0" applyNumberFormat="1" applyFont="1" applyBorder="1" applyAlignment="1">
      <alignment horizontal="right"/>
    </xf>
    <xf numFmtId="49" fontId="0" fillId="0" borderId="21" xfId="0" applyNumberFormat="1" applyBorder="1"/>
    <xf numFmtId="14" fontId="6" fillId="0" borderId="21" xfId="0" applyNumberFormat="1" applyFont="1" applyBorder="1" applyAlignment="1">
      <alignment horizontal="right"/>
    </xf>
    <xf numFmtId="49" fontId="0" fillId="0" borderId="72" xfId="0" applyNumberFormat="1" applyBorder="1"/>
    <xf numFmtId="49" fontId="0" fillId="0" borderId="136" xfId="0" applyNumberFormat="1" applyBorder="1"/>
    <xf numFmtId="49" fontId="0" fillId="0" borderId="0" xfId="0" applyNumberFormat="1" applyBorder="1"/>
    <xf numFmtId="14" fontId="6" fillId="0" borderId="21" xfId="0" applyNumberFormat="1" applyFont="1" applyBorder="1" applyAlignment="1">
      <alignment vertical="center"/>
    </xf>
    <xf numFmtId="14" fontId="6" fillId="0" borderId="72" xfId="0" applyNumberFormat="1" applyFont="1" applyBorder="1" applyAlignment="1">
      <alignment vertical="center"/>
    </xf>
    <xf numFmtId="187" fontId="6" fillId="0" borderId="72" xfId="0" applyNumberFormat="1" applyFont="1" applyBorder="1" applyAlignment="1">
      <alignment horizontal="center" vertical="center" shrinkToFit="1"/>
    </xf>
    <xf numFmtId="0" fontId="5" fillId="0" borderId="162" xfId="0" applyFont="1" applyBorder="1" applyAlignment="1" applyProtection="1">
      <alignment horizontal="center" vertical="center"/>
      <protection locked="0"/>
    </xf>
    <xf numFmtId="0" fontId="0" fillId="0" borderId="162" xfId="0" applyBorder="1" applyAlignment="1">
      <alignment horizontal="center" vertical="center"/>
    </xf>
    <xf numFmtId="0" fontId="51" fillId="0" borderId="22" xfId="0" applyFont="1" applyBorder="1" applyAlignment="1" applyProtection="1">
      <alignment horizontal="center" vertical="center"/>
      <protection hidden="1"/>
    </xf>
    <xf numFmtId="0" fontId="51" fillId="0" borderId="48" xfId="0" applyFont="1" applyBorder="1" applyAlignment="1" applyProtection="1">
      <alignment horizontal="center" vertical="center"/>
      <protection hidden="1"/>
    </xf>
    <xf numFmtId="0" fontId="51" fillId="0" borderId="48" xfId="0" quotePrefix="1" applyFont="1" applyBorder="1" applyAlignment="1" applyProtection="1">
      <alignment horizontal="center" vertical="center"/>
      <protection hidden="1"/>
    </xf>
    <xf numFmtId="0" fontId="51" fillId="0" borderId="4" xfId="0" quotePrefix="1" applyFont="1" applyBorder="1" applyAlignment="1" applyProtection="1">
      <alignment horizontal="center" vertical="center"/>
      <protection hidden="1"/>
    </xf>
    <xf numFmtId="230" fontId="5" fillId="0" borderId="0" xfId="0" applyNumberFormat="1" applyFont="1" applyAlignment="1" applyProtection="1">
      <alignment horizontal="center" vertical="center"/>
      <protection locked="0"/>
    </xf>
    <xf numFmtId="31"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0" xfId="0" applyFont="1" applyBorder="1" applyAlignment="1">
      <alignment horizontal="center" vertical="center"/>
    </xf>
    <xf numFmtId="0" fontId="5" fillId="0" borderId="162" xfId="0" applyFont="1" applyBorder="1" applyAlignment="1">
      <alignment horizontal="center" vertical="center"/>
    </xf>
    <xf numFmtId="0" fontId="5" fillId="0" borderId="0" xfId="0" applyFont="1" applyAlignment="1">
      <alignment horizontal="left" vertical="center"/>
    </xf>
    <xf numFmtId="0" fontId="25" fillId="0" borderId="0" xfId="0" applyFont="1" applyAlignment="1">
      <alignment horizontal="center" vertical="center"/>
    </xf>
    <xf numFmtId="56" fontId="5" fillId="0" borderId="0" xfId="0" applyNumberFormat="1" applyFont="1" applyBorder="1" applyAlignment="1" applyProtection="1">
      <alignment vertical="center" shrinkToFit="1"/>
      <protection locked="0"/>
    </xf>
    <xf numFmtId="0" fontId="5" fillId="0" borderId="0" xfId="0" applyFont="1" applyBorder="1" applyAlignment="1" applyProtection="1">
      <alignment vertical="center" shrinkToFit="1"/>
      <protection locked="0"/>
    </xf>
    <xf numFmtId="0" fontId="5" fillId="0" borderId="23" xfId="0" applyFont="1" applyBorder="1" applyAlignment="1" applyProtection="1">
      <alignment vertical="center" shrinkToFit="1"/>
      <protection locked="0"/>
    </xf>
    <xf numFmtId="56" fontId="5" fillId="0" borderId="0" xfId="0" applyNumberFormat="1" applyFont="1" applyBorder="1" applyAlignment="1" applyProtection="1">
      <alignment horizontal="left" vertical="center" shrinkToFit="1"/>
      <protection locked="0"/>
    </xf>
    <xf numFmtId="56" fontId="5" fillId="0" borderId="23" xfId="0" applyNumberFormat="1" applyFont="1" applyBorder="1" applyAlignment="1" applyProtection="1">
      <alignment horizontal="left" vertical="center" shrinkToFit="1"/>
      <protection locked="0"/>
    </xf>
    <xf numFmtId="229" fontId="25" fillId="0" borderId="0" xfId="0" applyNumberFormat="1" applyFont="1" applyBorder="1" applyAlignment="1">
      <alignment horizontal="center" vertical="center"/>
    </xf>
    <xf numFmtId="0" fontId="5" fillId="0" borderId="0" xfId="0" applyFont="1" applyBorder="1" applyAlignment="1">
      <alignment shrinkToFit="1"/>
    </xf>
    <xf numFmtId="0" fontId="5" fillId="0" borderId="23" xfId="0" applyFont="1" applyBorder="1" applyAlignment="1">
      <alignment shrinkToFit="1"/>
    </xf>
    <xf numFmtId="49" fontId="32" fillId="0" borderId="8" xfId="0" applyNumberFormat="1" applyFont="1" applyBorder="1" applyAlignment="1">
      <alignment horizontal="left" vertical="top"/>
    </xf>
    <xf numFmtId="0" fontId="0" fillId="0" borderId="0" xfId="0" applyAlignment="1">
      <alignment horizontal="left" vertical="top"/>
    </xf>
    <xf numFmtId="49" fontId="6" fillId="0" borderId="73" xfId="0" applyNumberFormat="1" applyFont="1" applyBorder="1" applyAlignment="1">
      <alignment horizontal="center" vertical="center" shrinkToFit="1"/>
    </xf>
    <xf numFmtId="49" fontId="6" fillId="0" borderId="74" xfId="0" applyNumberFormat="1" applyFont="1" applyBorder="1" applyAlignment="1">
      <alignment horizontal="center" vertical="center" shrinkToFit="1"/>
    </xf>
    <xf numFmtId="49" fontId="6" fillId="0" borderId="81" xfId="0" applyNumberFormat="1" applyFont="1" applyBorder="1" applyAlignment="1">
      <alignment horizontal="left" vertical="center" shrinkToFit="1"/>
    </xf>
    <xf numFmtId="49" fontId="6" fillId="0" borderId="82" xfId="0" applyNumberFormat="1" applyFont="1" applyBorder="1" applyAlignment="1">
      <alignment horizontal="left" vertical="center" shrinkToFit="1"/>
    </xf>
    <xf numFmtId="49" fontId="6" fillId="0" borderId="83" xfId="0" applyNumberFormat="1" applyFont="1" applyBorder="1" applyAlignment="1">
      <alignment horizontal="left" vertical="center" shrinkToFit="1"/>
    </xf>
    <xf numFmtId="49" fontId="6" fillId="0" borderId="75" xfId="0" applyNumberFormat="1" applyFont="1" applyBorder="1" applyAlignment="1">
      <alignment horizontal="center" vertical="center" shrinkToFit="1"/>
    </xf>
    <xf numFmtId="49" fontId="6" fillId="0" borderId="73" xfId="0" applyNumberFormat="1" applyFont="1" applyBorder="1" applyAlignment="1">
      <alignment horizontal="left" vertical="center" shrinkToFit="1"/>
    </xf>
    <xf numFmtId="49" fontId="6" fillId="0" borderId="75" xfId="0" applyNumberFormat="1" applyFont="1" applyBorder="1" applyAlignment="1">
      <alignment horizontal="left" vertical="center" shrinkToFit="1"/>
    </xf>
    <xf numFmtId="49" fontId="6" fillId="0" borderId="74" xfId="0" applyNumberFormat="1" applyFont="1" applyBorder="1" applyAlignment="1">
      <alignment horizontal="left" vertical="center" shrinkToFit="1"/>
    </xf>
    <xf numFmtId="49" fontId="6" fillId="4" borderId="73" xfId="0" applyNumberFormat="1" applyFont="1" applyFill="1" applyBorder="1" applyAlignment="1">
      <alignment horizontal="left" vertical="center" shrinkToFit="1"/>
    </xf>
    <xf numFmtId="49" fontId="6" fillId="4" borderId="75" xfId="0" applyNumberFormat="1" applyFont="1" applyFill="1" applyBorder="1" applyAlignment="1">
      <alignment horizontal="left" vertical="center" shrinkToFit="1"/>
    </xf>
    <xf numFmtId="49" fontId="6" fillId="4" borderId="74" xfId="0" applyNumberFormat="1" applyFont="1" applyFill="1" applyBorder="1" applyAlignment="1">
      <alignment horizontal="left" vertical="center" shrinkToFit="1"/>
    </xf>
    <xf numFmtId="49" fontId="6" fillId="4" borderId="73" xfId="0" quotePrefix="1" applyNumberFormat="1" applyFont="1" applyFill="1" applyBorder="1" applyAlignment="1">
      <alignment horizontal="center" vertical="center" shrinkToFit="1"/>
    </xf>
    <xf numFmtId="49" fontId="6" fillId="4" borderId="74" xfId="0" applyNumberFormat="1" applyFont="1" applyFill="1" applyBorder="1" applyAlignment="1">
      <alignment horizontal="center" vertical="center" shrinkToFit="1"/>
    </xf>
    <xf numFmtId="49" fontId="6" fillId="0" borderId="77" xfId="0" applyNumberFormat="1" applyFont="1" applyBorder="1" applyAlignment="1">
      <alignment horizontal="center" vertical="center" shrinkToFit="1"/>
    </xf>
    <xf numFmtId="49" fontId="6" fillId="0" borderId="79" xfId="0" applyNumberFormat="1" applyFont="1" applyBorder="1" applyAlignment="1">
      <alignment horizontal="center" vertical="center" shrinkToFit="1"/>
    </xf>
    <xf numFmtId="49" fontId="6" fillId="0" borderId="77" xfId="0" applyNumberFormat="1" applyFont="1" applyBorder="1" applyAlignment="1">
      <alignment horizontal="left" vertical="center" shrinkToFit="1"/>
    </xf>
    <xf numFmtId="49" fontId="6" fillId="0" borderId="78" xfId="0" applyNumberFormat="1" applyFont="1" applyBorder="1" applyAlignment="1">
      <alignment horizontal="left" vertical="center" shrinkToFit="1"/>
    </xf>
    <xf numFmtId="49" fontId="6" fillId="0" borderId="79" xfId="0" applyNumberFormat="1" applyFont="1" applyBorder="1" applyAlignment="1">
      <alignment horizontal="left" vertical="center" shrinkToFit="1"/>
    </xf>
    <xf numFmtId="49" fontId="6" fillId="4" borderId="77" xfId="0" quotePrefix="1" applyNumberFormat="1" applyFont="1" applyFill="1" applyBorder="1" applyAlignment="1">
      <alignment horizontal="center" vertical="center" shrinkToFit="1"/>
    </xf>
    <xf numFmtId="49" fontId="6" fillId="4" borderId="79" xfId="0" applyNumberFormat="1" applyFont="1" applyFill="1" applyBorder="1" applyAlignment="1">
      <alignment horizontal="center" vertical="center" shrinkToFit="1"/>
    </xf>
    <xf numFmtId="49" fontId="6" fillId="0" borderId="82" xfId="0" quotePrefix="1" applyNumberFormat="1" applyFont="1" applyBorder="1" applyAlignment="1" applyProtection="1">
      <alignment horizontal="center" vertical="center" shrinkToFit="1"/>
      <protection locked="0"/>
    </xf>
    <xf numFmtId="49" fontId="6" fillId="0" borderId="83" xfId="0" applyNumberFormat="1" applyFont="1" applyBorder="1" applyAlignment="1" applyProtection="1">
      <alignment horizontal="center" vertical="center" shrinkToFit="1"/>
      <protection locked="0"/>
    </xf>
    <xf numFmtId="49" fontId="6" fillId="0" borderId="73" xfId="0" quotePrefix="1" applyNumberFormat="1" applyFont="1" applyBorder="1" applyAlignment="1" applyProtection="1">
      <alignment horizontal="center" vertical="center" shrinkToFit="1"/>
      <protection locked="0"/>
    </xf>
    <xf numFmtId="49" fontId="6" fillId="0" borderId="74" xfId="0" applyNumberFormat="1" applyFont="1" applyBorder="1" applyAlignment="1" applyProtection="1">
      <alignment horizontal="center" vertical="center" shrinkToFit="1"/>
      <protection locked="0"/>
    </xf>
    <xf numFmtId="49" fontId="6" fillId="0" borderId="75" xfId="0" applyNumberFormat="1" applyFont="1" applyBorder="1" applyAlignment="1" applyProtection="1">
      <alignment horizontal="center" vertical="center" shrinkToFit="1"/>
      <protection locked="0"/>
    </xf>
    <xf numFmtId="49" fontId="6" fillId="0" borderId="73" xfId="0" applyNumberFormat="1" applyFont="1" applyBorder="1" applyAlignment="1" applyProtection="1">
      <alignment horizontal="left" vertical="center" shrinkToFit="1"/>
      <protection locked="0"/>
    </xf>
    <xf numFmtId="49" fontId="6" fillId="0" borderId="75" xfId="0" applyNumberFormat="1" applyFont="1" applyBorder="1" applyAlignment="1" applyProtection="1">
      <alignment horizontal="left" vertical="center" shrinkToFit="1"/>
      <protection locked="0"/>
    </xf>
    <xf numFmtId="49" fontId="6" fillId="0" borderId="74" xfId="0" applyNumberFormat="1" applyFont="1" applyBorder="1" applyAlignment="1" applyProtection="1">
      <alignment horizontal="left" vertical="center" shrinkToFit="1"/>
      <protection locked="0"/>
    </xf>
    <xf numFmtId="49" fontId="32" fillId="0" borderId="7" xfId="0" applyNumberFormat="1" applyFont="1" applyBorder="1" applyAlignment="1">
      <alignment horizontal="left" vertical="top" indent="1" shrinkToFit="1"/>
    </xf>
    <xf numFmtId="188" fontId="5" fillId="0" borderId="20" xfId="0" applyNumberFormat="1" applyFont="1" applyBorder="1" applyAlignment="1">
      <alignment horizontal="center" vertical="center" shrinkToFit="1"/>
    </xf>
    <xf numFmtId="188" fontId="5" fillId="0" borderId="21" xfId="0" applyNumberFormat="1" applyFont="1" applyBorder="1" applyAlignment="1">
      <alignment horizontal="center" vertical="center" shrinkToFit="1"/>
    </xf>
    <xf numFmtId="49" fontId="6" fillId="0" borderId="73" xfId="0" applyNumberFormat="1" applyFont="1" applyBorder="1" applyAlignment="1" applyProtection="1">
      <alignment horizontal="center" vertical="center" shrinkToFit="1"/>
      <protection locked="0"/>
    </xf>
    <xf numFmtId="187" fontId="5" fillId="0" borderId="144" xfId="0" applyNumberFormat="1" applyFont="1" applyBorder="1" applyAlignment="1" applyProtection="1">
      <alignment horizontal="center" vertical="center" shrinkToFit="1"/>
      <protection locked="0"/>
    </xf>
    <xf numFmtId="187" fontId="5" fillId="0" borderId="146" xfId="0" applyNumberFormat="1" applyFont="1" applyBorder="1" applyAlignment="1" applyProtection="1">
      <alignment horizontal="center" vertical="center" shrinkToFit="1"/>
      <protection locked="0"/>
    </xf>
    <xf numFmtId="188" fontId="5" fillId="0" borderId="20" xfId="0" applyNumberFormat="1" applyFont="1" applyBorder="1" applyAlignment="1" applyProtection="1">
      <alignment horizontal="center" vertical="center" shrinkToFit="1"/>
      <protection locked="0"/>
    </xf>
    <xf numFmtId="188" fontId="5" fillId="0" borderId="16" xfId="0" applyNumberFormat="1" applyFont="1" applyBorder="1" applyAlignment="1" applyProtection="1">
      <alignment horizontal="center" vertical="center" shrinkToFit="1"/>
      <protection locked="0"/>
    </xf>
    <xf numFmtId="49" fontId="6" fillId="0" borderId="81" xfId="0" applyNumberFormat="1" applyFont="1" applyBorder="1" applyAlignment="1" applyProtection="1">
      <alignment horizontal="left" vertical="center" shrinkToFit="1"/>
      <protection locked="0"/>
    </xf>
    <xf numFmtId="49" fontId="6" fillId="0" borderId="82" xfId="0" applyNumberFormat="1" applyFont="1" applyBorder="1" applyAlignment="1" applyProtection="1">
      <alignment horizontal="left" vertical="center" shrinkToFit="1"/>
      <protection locked="0"/>
    </xf>
    <xf numFmtId="49" fontId="6" fillId="0" borderId="83" xfId="0" applyNumberFormat="1" applyFont="1" applyBorder="1" applyAlignment="1" applyProtection="1">
      <alignment horizontal="left" vertical="center" shrinkToFit="1"/>
      <protection locked="0"/>
    </xf>
    <xf numFmtId="188" fontId="5" fillId="0" borderId="21" xfId="0" applyNumberFormat="1" applyFont="1" applyBorder="1" applyAlignment="1" applyProtection="1">
      <alignment horizontal="center" vertical="center" shrinkToFit="1"/>
      <protection locked="0"/>
    </xf>
    <xf numFmtId="187" fontId="5" fillId="0" borderId="108" xfId="0" applyNumberFormat="1" applyFont="1" applyBorder="1" applyAlignment="1" applyProtection="1">
      <alignment horizontal="center" vertical="center" shrinkToFit="1"/>
      <protection locked="0"/>
    </xf>
    <xf numFmtId="187" fontId="5" fillId="0" borderId="76" xfId="0" applyNumberFormat="1" applyFont="1" applyBorder="1" applyAlignment="1" applyProtection="1">
      <alignment horizontal="center" vertical="center" shrinkToFit="1"/>
      <protection locked="0"/>
    </xf>
    <xf numFmtId="187" fontId="5" fillId="0" borderId="109" xfId="0" applyNumberFormat="1" applyFont="1" applyBorder="1" applyAlignment="1" applyProtection="1">
      <alignment horizontal="center" vertical="center" shrinkToFit="1"/>
      <protection locked="0"/>
    </xf>
    <xf numFmtId="187" fontId="5" fillId="0" borderId="20" xfId="0" applyNumberFormat="1" applyFont="1" applyBorder="1" applyAlignment="1">
      <alignment horizontal="center" vertical="center" shrinkToFit="1"/>
    </xf>
    <xf numFmtId="187" fontId="5" fillId="0" borderId="21" xfId="0" applyNumberFormat="1" applyFont="1" applyBorder="1" applyAlignment="1">
      <alignment horizontal="center" vertical="center" shrinkToFit="1"/>
    </xf>
    <xf numFmtId="49" fontId="6" fillId="0" borderId="80" xfId="0" applyNumberFormat="1" applyFont="1" applyBorder="1" applyAlignment="1" applyProtection="1">
      <alignment horizontal="center" vertical="center" shrinkToFit="1"/>
      <protection locked="0"/>
    </xf>
    <xf numFmtId="188" fontId="5" fillId="0" borderId="16" xfId="0" applyNumberFormat="1" applyFont="1" applyBorder="1" applyAlignment="1">
      <alignment horizontal="center" vertical="center" shrinkToFit="1"/>
    </xf>
    <xf numFmtId="187" fontId="5" fillId="0" borderId="16" xfId="0" applyNumberFormat="1" applyFont="1" applyBorder="1" applyAlignment="1">
      <alignment horizontal="center" vertical="center" shrinkToFit="1"/>
    </xf>
    <xf numFmtId="49" fontId="6" fillId="0" borderId="73" xfId="0" quotePrefix="1" applyNumberFormat="1" applyFont="1" applyBorder="1" applyAlignment="1" applyProtection="1">
      <alignment horizontal="left" vertical="center" shrinkToFit="1"/>
      <protection locked="0"/>
    </xf>
    <xf numFmtId="49" fontId="6" fillId="0" borderId="73" xfId="0" quotePrefix="1" applyNumberFormat="1" applyFont="1" applyBorder="1" applyAlignment="1">
      <alignment horizontal="center" vertical="center" shrinkToFit="1"/>
    </xf>
    <xf numFmtId="0" fontId="5" fillId="2" borderId="22" xfId="1" applyNumberFormat="1" applyFont="1" applyFill="1" applyBorder="1" applyAlignment="1">
      <alignment horizontal="center" vertical="center"/>
    </xf>
    <xf numFmtId="0" fontId="5" fillId="2" borderId="48"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49" fontId="34" fillId="0" borderId="73" xfId="0" quotePrefix="1" applyNumberFormat="1" applyFont="1" applyBorder="1" applyAlignment="1" applyProtection="1">
      <alignment horizontal="center" vertical="center" shrinkToFit="1"/>
      <protection locked="0"/>
    </xf>
    <xf numFmtId="49" fontId="34" fillId="0" borderId="74" xfId="0" applyNumberFormat="1" applyFont="1" applyBorder="1" applyAlignment="1" applyProtection="1">
      <alignment horizontal="center" vertical="center" shrinkToFit="1"/>
      <protection locked="0"/>
    </xf>
    <xf numFmtId="49" fontId="34" fillId="0" borderId="73" xfId="0" applyNumberFormat="1" applyFont="1" applyBorder="1" applyAlignment="1" applyProtection="1">
      <alignment horizontal="center" vertical="center" shrinkToFit="1"/>
      <protection locked="0"/>
    </xf>
    <xf numFmtId="49" fontId="6" fillId="0" borderId="82" xfId="0" applyNumberFormat="1" applyFont="1" applyBorder="1" applyAlignment="1" applyProtection="1">
      <alignment horizontal="center" vertical="center" shrinkToFit="1"/>
      <protection locked="0"/>
    </xf>
    <xf numFmtId="0" fontId="5" fillId="2" borderId="3" xfId="1" applyNumberFormat="1" applyFont="1" applyFill="1" applyBorder="1" applyAlignment="1">
      <alignment horizontal="center" vertical="center"/>
    </xf>
    <xf numFmtId="49" fontId="6" fillId="0" borderId="80" xfId="0" applyNumberFormat="1" applyFont="1" applyBorder="1" applyAlignment="1">
      <alignment horizontal="center" vertical="center" shrinkToFit="1"/>
    </xf>
    <xf numFmtId="49" fontId="6" fillId="0" borderId="75" xfId="0" quotePrefix="1" applyNumberFormat="1" applyFont="1" applyBorder="1" applyAlignment="1" applyProtection="1">
      <alignment horizontal="center" vertical="center" shrinkToFit="1"/>
      <protection locked="0"/>
    </xf>
    <xf numFmtId="0" fontId="12" fillId="2" borderId="22" xfId="0" applyFont="1" applyFill="1" applyBorder="1" applyAlignment="1">
      <alignment horizontal="distributed" vertical="center"/>
    </xf>
    <xf numFmtId="0" fontId="12" fillId="2" borderId="48" xfId="0" applyFont="1" applyFill="1" applyBorder="1" applyAlignment="1">
      <alignment horizontal="distributed" vertical="center"/>
    </xf>
    <xf numFmtId="0" fontId="10" fillId="0" borderId="4" xfId="0" applyFont="1" applyBorder="1" applyAlignment="1">
      <alignment horizontal="distributed" vertical="center"/>
    </xf>
    <xf numFmtId="177" fontId="5" fillId="0" borderId="14" xfId="0" applyNumberFormat="1" applyFont="1" applyBorder="1" applyAlignment="1">
      <alignment horizontal="center" vertical="center" shrinkToFit="1"/>
    </xf>
    <xf numFmtId="177" fontId="5" fillId="0" borderId="21" xfId="0" applyNumberFormat="1" applyFont="1" applyBorder="1" applyAlignment="1">
      <alignment horizontal="center" vertical="center" shrinkToFit="1"/>
    </xf>
    <xf numFmtId="188" fontId="5" fillId="0" borderId="14" xfId="0" applyNumberFormat="1" applyFont="1" applyBorder="1" applyAlignment="1">
      <alignment horizontal="center" vertical="center" shrinkToFit="1"/>
    </xf>
    <xf numFmtId="49" fontId="34" fillId="0" borderId="81" xfId="0" applyNumberFormat="1" applyFont="1" applyBorder="1" applyAlignment="1" applyProtection="1">
      <alignment horizontal="left" vertical="center" shrinkToFit="1"/>
      <protection locked="0"/>
    </xf>
    <xf numFmtId="49" fontId="34" fillId="0" borderId="82" xfId="0" applyNumberFormat="1" applyFont="1" applyBorder="1" applyAlignment="1" applyProtection="1">
      <alignment horizontal="left" vertical="center" shrinkToFit="1"/>
      <protection locked="0"/>
    </xf>
    <xf numFmtId="49" fontId="34" fillId="0" borderId="83" xfId="0" applyNumberFormat="1" applyFont="1" applyBorder="1" applyAlignment="1" applyProtection="1">
      <alignment horizontal="left" vertical="center" shrinkToFit="1"/>
      <protection locked="0"/>
    </xf>
    <xf numFmtId="187" fontId="5" fillId="0" borderId="18" xfId="0" applyNumberFormat="1" applyFont="1" applyBorder="1" applyAlignment="1">
      <alignment horizontal="center" vertical="center" shrinkToFit="1"/>
    </xf>
    <xf numFmtId="187" fontId="5" fillId="0" borderId="109" xfId="0" applyNumberFormat="1" applyFont="1" applyBorder="1" applyAlignment="1">
      <alignment horizontal="center" vertical="center" shrinkToFit="1"/>
    </xf>
    <xf numFmtId="187" fontId="6" fillId="0" borderId="75" xfId="0" applyNumberFormat="1" applyFont="1" applyBorder="1" applyAlignment="1" applyProtection="1">
      <alignment horizontal="center" vertical="center" shrinkToFit="1"/>
      <protection locked="0"/>
    </xf>
    <xf numFmtId="187" fontId="6" fillId="0" borderId="80" xfId="0" applyNumberFormat="1" applyFont="1" applyBorder="1" applyAlignment="1" applyProtection="1">
      <alignment horizontal="center" vertical="center" shrinkToFit="1"/>
      <protection locked="0"/>
    </xf>
    <xf numFmtId="49" fontId="6" fillId="0" borderId="81" xfId="0" applyNumberFormat="1" applyFont="1" applyBorder="1" applyAlignment="1">
      <alignment horizontal="center" vertical="center" shrinkToFit="1"/>
    </xf>
    <xf numFmtId="49" fontId="6" fillId="0" borderId="83" xfId="0" applyNumberFormat="1" applyFont="1" applyBorder="1" applyAlignment="1">
      <alignment horizontal="center" vertical="center" shrinkToFit="1"/>
    </xf>
    <xf numFmtId="187" fontId="5" fillId="0" borderId="108" xfId="0" applyNumberFormat="1" applyFont="1" applyBorder="1" applyAlignment="1">
      <alignment horizontal="center" vertical="center" shrinkToFit="1"/>
    </xf>
    <xf numFmtId="187" fontId="5" fillId="0" borderId="110" xfId="0" applyNumberFormat="1" applyFont="1" applyBorder="1" applyAlignment="1">
      <alignment horizontal="center" vertical="center" shrinkToFit="1"/>
    </xf>
    <xf numFmtId="188" fontId="5" fillId="0" borderId="72" xfId="0" applyNumberFormat="1" applyFont="1" applyBorder="1" applyAlignment="1">
      <alignment horizontal="center" vertical="center" shrinkToFit="1"/>
    </xf>
    <xf numFmtId="0" fontId="0" fillId="0" borderId="83" xfId="0" applyBorder="1" applyAlignment="1">
      <alignment horizontal="center" vertical="center" shrinkToFit="1"/>
    </xf>
    <xf numFmtId="49" fontId="6" fillId="0" borderId="9" xfId="0" applyNumberFormat="1" applyFont="1" applyBorder="1" applyAlignment="1">
      <alignment horizontal="center" vertical="center" shrinkToFit="1"/>
    </xf>
    <xf numFmtId="0" fontId="0" fillId="0" borderId="173" xfId="0" applyBorder="1" applyAlignment="1">
      <alignment horizontal="center" vertical="center" shrinkToFit="1"/>
    </xf>
    <xf numFmtId="0" fontId="0" fillId="0" borderId="82" xfId="0" applyBorder="1" applyAlignment="1">
      <alignment horizontal="left" vertical="center" shrinkToFit="1"/>
    </xf>
    <xf numFmtId="0" fontId="0" fillId="0" borderId="83" xfId="0" applyBorder="1" applyAlignment="1">
      <alignment horizontal="left" vertical="center" shrinkToFit="1"/>
    </xf>
    <xf numFmtId="49" fontId="6" fillId="0" borderId="9" xfId="0" applyNumberFormat="1" applyFont="1" applyBorder="1" applyAlignment="1">
      <alignment horizontal="left" vertical="center" shrinkToFit="1"/>
    </xf>
    <xf numFmtId="0" fontId="0" fillId="0" borderId="172" xfId="0" applyBorder="1" applyAlignment="1">
      <alignment horizontal="left" vertical="center" shrinkToFit="1"/>
    </xf>
    <xf numFmtId="0" fontId="0" fillId="0" borderId="173" xfId="0" applyBorder="1" applyAlignment="1">
      <alignment horizontal="left" vertical="center" shrinkToFit="1"/>
    </xf>
    <xf numFmtId="187" fontId="5" fillId="0" borderId="76" xfId="0" applyNumberFormat="1" applyFont="1" applyBorder="1" applyAlignment="1">
      <alignment horizontal="center" vertical="center" shrinkToFit="1"/>
    </xf>
    <xf numFmtId="0" fontId="0" fillId="0" borderId="75" xfId="0" applyBorder="1" applyAlignment="1">
      <alignment horizontal="left" vertical="center" shrinkToFit="1"/>
    </xf>
    <xf numFmtId="0" fontId="0" fillId="0" borderId="74" xfId="0" applyBorder="1" applyAlignment="1">
      <alignment horizontal="left" vertical="center" shrinkToFit="1"/>
    </xf>
    <xf numFmtId="0" fontId="0" fillId="0" borderId="74" xfId="0" applyBorder="1" applyAlignment="1">
      <alignment vertical="center" shrinkToFit="1"/>
    </xf>
    <xf numFmtId="0" fontId="0" fillId="0" borderId="80" xfId="0" applyBorder="1" applyAlignment="1">
      <alignment horizontal="center" vertical="center" shrinkToFit="1"/>
    </xf>
    <xf numFmtId="0" fontId="0" fillId="0" borderId="74" xfId="0" applyBorder="1" applyAlignment="1">
      <alignment horizontal="center" vertical="center" shrinkToFit="1"/>
    </xf>
    <xf numFmtId="49" fontId="6" fillId="0" borderId="0" xfId="0" applyNumberFormat="1" applyFont="1" applyBorder="1" applyAlignment="1">
      <alignment horizontal="center" vertical="center" shrinkToFit="1"/>
    </xf>
    <xf numFmtId="49" fontId="6" fillId="0" borderId="0" xfId="0" applyNumberFormat="1" applyFont="1" applyBorder="1" applyAlignment="1">
      <alignment horizontal="left" vertical="center" shrinkToFit="1"/>
    </xf>
    <xf numFmtId="177" fontId="5" fillId="0" borderId="171" xfId="0" applyNumberFormat="1" applyFont="1" applyBorder="1" applyAlignment="1">
      <alignment horizontal="center" vertical="center" shrinkToFit="1"/>
    </xf>
    <xf numFmtId="177" fontId="5" fillId="0" borderId="16" xfId="0" applyNumberFormat="1" applyFont="1" applyBorder="1" applyAlignment="1">
      <alignment horizontal="center" vertical="center" shrinkToFit="1"/>
    </xf>
    <xf numFmtId="188" fontId="5" fillId="0" borderId="171" xfId="0" applyNumberFormat="1" applyFont="1" applyBorder="1" applyAlignment="1">
      <alignment horizontal="center" vertical="center" shrinkToFit="1"/>
    </xf>
    <xf numFmtId="49" fontId="6" fillId="0" borderId="86" xfId="0" applyNumberFormat="1" applyFont="1" applyBorder="1" applyAlignment="1">
      <alignment horizontal="center" vertical="center" shrinkToFit="1"/>
    </xf>
    <xf numFmtId="49" fontId="6" fillId="0" borderId="87" xfId="0" applyNumberFormat="1" applyFont="1" applyBorder="1" applyAlignment="1">
      <alignment horizontal="center" vertical="center" shrinkToFit="1"/>
    </xf>
    <xf numFmtId="49" fontId="6" fillId="0" borderId="86" xfId="0" applyNumberFormat="1" applyFont="1" applyBorder="1" applyAlignment="1">
      <alignment horizontal="left" vertical="center" shrinkToFit="1"/>
    </xf>
    <xf numFmtId="49" fontId="6" fillId="0" borderId="88" xfId="0" applyNumberFormat="1" applyFont="1" applyBorder="1" applyAlignment="1">
      <alignment horizontal="left" vertical="center" shrinkToFit="1"/>
    </xf>
    <xf numFmtId="49" fontId="6" fillId="0" borderId="87" xfId="0" applyNumberFormat="1" applyFont="1" applyBorder="1" applyAlignment="1">
      <alignment horizontal="left" vertical="center" shrinkToFit="1"/>
    </xf>
    <xf numFmtId="49" fontId="34" fillId="0" borderId="73" xfId="0" applyNumberFormat="1" applyFont="1" applyBorder="1" applyAlignment="1">
      <alignment horizontal="left" vertical="center" shrinkToFit="1"/>
    </xf>
    <xf numFmtId="49" fontId="34" fillId="0" borderId="75" xfId="0" applyNumberFormat="1" applyFont="1" applyBorder="1" applyAlignment="1">
      <alignment horizontal="left" vertical="center" shrinkToFit="1"/>
    </xf>
    <xf numFmtId="49" fontId="34" fillId="0" borderId="74" xfId="0" applyNumberFormat="1" applyFont="1" applyBorder="1" applyAlignment="1">
      <alignment horizontal="left" vertical="center" shrinkToFit="1"/>
    </xf>
    <xf numFmtId="49" fontId="34" fillId="0" borderId="73" xfId="0" applyNumberFormat="1" applyFont="1" applyBorder="1" applyAlignment="1">
      <alignment horizontal="center" vertical="center" shrinkToFit="1"/>
    </xf>
    <xf numFmtId="49" fontId="34" fillId="0" borderId="75" xfId="0" applyNumberFormat="1" applyFont="1" applyBorder="1" applyAlignment="1">
      <alignment horizontal="center" vertical="center" shrinkToFit="1"/>
    </xf>
    <xf numFmtId="0" fontId="5" fillId="2" borderId="167" xfId="1" applyNumberFormat="1" applyFont="1" applyFill="1" applyBorder="1" applyAlignment="1">
      <alignment horizontal="center" vertical="center"/>
    </xf>
    <xf numFmtId="0" fontId="5" fillId="2" borderId="169" xfId="1" applyNumberFormat="1" applyFont="1" applyFill="1" applyBorder="1" applyAlignment="1">
      <alignment horizontal="center" vertical="center"/>
    </xf>
    <xf numFmtId="49" fontId="34" fillId="0" borderId="74" xfId="0" applyNumberFormat="1" applyFont="1" applyBorder="1" applyAlignment="1">
      <alignment horizontal="center" vertical="center" shrinkToFit="1"/>
    </xf>
    <xf numFmtId="0" fontId="5" fillId="2" borderId="168" xfId="1" applyNumberFormat="1" applyFont="1" applyFill="1" applyBorder="1" applyAlignment="1">
      <alignment horizontal="center" vertical="center"/>
    </xf>
    <xf numFmtId="0" fontId="12" fillId="2" borderId="167" xfId="0" applyFont="1" applyFill="1" applyBorder="1" applyAlignment="1">
      <alignment horizontal="distributed" vertical="center"/>
    </xf>
    <xf numFmtId="0" fontId="12" fillId="2" borderId="168" xfId="0" applyFont="1" applyFill="1" applyBorder="1" applyAlignment="1">
      <alignment horizontal="distributed" vertical="center"/>
    </xf>
    <xf numFmtId="0" fontId="3" fillId="0" borderId="169" xfId="0" applyFont="1" applyBorder="1" applyAlignment="1">
      <alignment horizontal="distributed" vertical="center"/>
    </xf>
    <xf numFmtId="0" fontId="5" fillId="2" borderId="170" xfId="1" applyNumberFormat="1" applyFont="1" applyFill="1" applyBorder="1" applyAlignment="1">
      <alignment horizontal="center" vertical="center"/>
    </xf>
    <xf numFmtId="49" fontId="32" fillId="0" borderId="73" xfId="0" applyNumberFormat="1" applyFont="1" applyBorder="1" applyAlignment="1">
      <alignment horizontal="center" vertical="center" shrinkToFit="1"/>
    </xf>
    <xf numFmtId="49" fontId="32" fillId="0" borderId="80" xfId="0" applyNumberFormat="1" applyFont="1" applyBorder="1" applyAlignment="1">
      <alignment horizontal="center" vertical="center" shrinkToFit="1"/>
    </xf>
    <xf numFmtId="187" fontId="0" fillId="0" borderId="16" xfId="0" applyNumberFormat="1" applyBorder="1" applyAlignment="1">
      <alignment horizontal="center" vertical="center" shrinkToFit="1"/>
    </xf>
    <xf numFmtId="0" fontId="0" fillId="0" borderId="16" xfId="0" applyBorder="1" applyAlignment="1">
      <alignment horizontal="center" vertical="center" shrinkToFit="1"/>
    </xf>
    <xf numFmtId="49" fontId="32" fillId="0" borderId="73" xfId="0" applyNumberFormat="1" applyFont="1" applyBorder="1" applyAlignment="1">
      <alignment horizontal="left" vertical="center" shrinkToFit="1"/>
    </xf>
    <xf numFmtId="49" fontId="32" fillId="0" borderId="75" xfId="0" applyNumberFormat="1" applyFont="1" applyBorder="1" applyAlignment="1">
      <alignment horizontal="left" vertical="center" shrinkToFit="1"/>
    </xf>
    <xf numFmtId="49" fontId="32" fillId="0" borderId="74" xfId="0" applyNumberFormat="1" applyFont="1" applyBorder="1" applyAlignment="1">
      <alignment horizontal="left" vertical="center" shrinkToFit="1"/>
    </xf>
    <xf numFmtId="49" fontId="6" fillId="0" borderId="73" xfId="2" applyNumberFormat="1" applyFont="1" applyBorder="1" applyAlignment="1">
      <alignment horizontal="left" vertical="center" shrinkToFit="1"/>
    </xf>
    <xf numFmtId="49" fontId="6" fillId="0" borderId="75" xfId="2" applyNumberFormat="1" applyFont="1" applyBorder="1" applyAlignment="1">
      <alignment horizontal="left" vertical="center" shrinkToFit="1"/>
    </xf>
    <xf numFmtId="49" fontId="6" fillId="0" borderId="74" xfId="2" applyNumberFormat="1" applyFont="1" applyBorder="1" applyAlignment="1">
      <alignment horizontal="left" vertical="center" shrinkToFit="1"/>
    </xf>
    <xf numFmtId="49" fontId="32" fillId="0" borderId="75" xfId="0" quotePrefix="1" applyNumberFormat="1" applyFont="1" applyBorder="1" applyAlignment="1">
      <alignment horizontal="left" vertical="center" shrinkToFit="1"/>
    </xf>
    <xf numFmtId="49" fontId="32" fillId="0" borderId="74" xfId="0" quotePrefix="1" applyNumberFormat="1" applyFont="1" applyBorder="1" applyAlignment="1">
      <alignment horizontal="left" vertical="center" shrinkToFit="1"/>
    </xf>
    <xf numFmtId="49" fontId="6" fillId="0" borderId="73" xfId="2" quotePrefix="1" applyNumberFormat="1" applyFont="1" applyBorder="1" applyAlignment="1">
      <alignment horizontal="left" vertical="center" shrinkToFit="1"/>
    </xf>
    <xf numFmtId="49" fontId="6" fillId="0" borderId="75" xfId="2" quotePrefix="1" applyNumberFormat="1" applyFont="1" applyBorder="1" applyAlignment="1">
      <alignment horizontal="left" vertical="center" shrinkToFit="1"/>
    </xf>
    <xf numFmtId="49" fontId="6" fillId="0" borderId="74" xfId="2" quotePrefix="1" applyNumberFormat="1" applyFont="1" applyBorder="1" applyAlignment="1">
      <alignment horizontal="left" vertical="center" shrinkToFit="1"/>
    </xf>
    <xf numFmtId="49" fontId="6" fillId="0" borderId="81" xfId="2" quotePrefix="1" applyNumberFormat="1" applyFont="1" applyBorder="1" applyAlignment="1">
      <alignment horizontal="left" vertical="center" shrinkToFit="1"/>
    </xf>
    <xf numFmtId="49" fontId="6" fillId="0" borderId="82" xfId="2" applyNumberFormat="1" applyFont="1" applyBorder="1" applyAlignment="1">
      <alignment horizontal="left" vertical="center" shrinkToFit="1"/>
    </xf>
    <xf numFmtId="49" fontId="6" fillId="0" borderId="83" xfId="2" applyNumberFormat="1" applyFont="1" applyBorder="1" applyAlignment="1">
      <alignment horizontal="left" vertical="center" shrinkToFit="1"/>
    </xf>
    <xf numFmtId="49" fontId="6" fillId="0" borderId="81" xfId="2" applyNumberFormat="1" applyFont="1" applyBorder="1" applyAlignment="1">
      <alignment horizontal="left" vertical="center" shrinkToFit="1"/>
    </xf>
    <xf numFmtId="49" fontId="32" fillId="0" borderId="81" xfId="0" applyNumberFormat="1" applyFont="1" applyBorder="1" applyAlignment="1">
      <alignment horizontal="left" vertical="center" shrinkToFit="1"/>
    </xf>
    <xf numFmtId="49" fontId="32" fillId="0" borderId="82" xfId="0" applyNumberFormat="1" applyFont="1" applyBorder="1" applyAlignment="1">
      <alignment horizontal="left" vertical="center" shrinkToFit="1"/>
    </xf>
    <xf numFmtId="49" fontId="32" fillId="0" borderId="83" xfId="0" applyNumberFormat="1" applyFont="1" applyBorder="1" applyAlignment="1">
      <alignment horizontal="left" vertical="center" shrinkToFit="1"/>
    </xf>
    <xf numFmtId="49" fontId="32" fillId="0" borderId="73" xfId="0" quotePrefix="1" applyNumberFormat="1" applyFont="1" applyBorder="1" applyAlignment="1">
      <alignment horizontal="left" vertical="center" shrinkToFit="1"/>
    </xf>
    <xf numFmtId="0" fontId="0" fillId="0" borderId="6" xfId="0" applyBorder="1" applyAlignment="1">
      <alignment horizontal="left" vertical="top" wrapText="1"/>
    </xf>
    <xf numFmtId="0" fontId="10" fillId="0" borderId="7" xfId="0" applyFont="1" applyBorder="1" applyAlignment="1">
      <alignment horizontal="left" vertical="top"/>
    </xf>
    <xf numFmtId="0" fontId="0" fillId="0" borderId="7" xfId="0" applyBorder="1" applyAlignment="1">
      <alignment horizontal="left" vertical="top"/>
    </xf>
    <xf numFmtId="0" fontId="10" fillId="0" borderId="70" xfId="0" applyFont="1" applyBorder="1" applyAlignment="1">
      <alignment horizontal="left" vertical="top"/>
    </xf>
    <xf numFmtId="0" fontId="10" fillId="0" borderId="8" xfId="0" applyFont="1" applyBorder="1" applyAlignment="1">
      <alignment horizontal="left" vertical="top"/>
    </xf>
    <xf numFmtId="0" fontId="10" fillId="0" borderId="0" xfId="0" applyFont="1" applyBorder="1" applyAlignment="1">
      <alignment horizontal="left" vertical="top"/>
    </xf>
    <xf numFmtId="0" fontId="10" fillId="0" borderId="23" xfId="0" applyFont="1" applyBorder="1" applyAlignment="1">
      <alignment horizontal="left" vertical="top"/>
    </xf>
    <xf numFmtId="0" fontId="10" fillId="0" borderId="9" xfId="0" applyFont="1" applyBorder="1" applyAlignment="1">
      <alignment horizontal="left" vertical="top"/>
    </xf>
    <xf numFmtId="0" fontId="10" fillId="0" borderId="10" xfId="0" applyFont="1" applyBorder="1" applyAlignment="1">
      <alignment horizontal="left" vertical="top"/>
    </xf>
    <xf numFmtId="0" fontId="10" fillId="0" borderId="71" xfId="0" applyFont="1" applyBorder="1" applyAlignment="1">
      <alignment horizontal="left" vertical="top"/>
    </xf>
    <xf numFmtId="187" fontId="49" fillId="0" borderId="20" xfId="0" applyNumberFormat="1" applyFont="1" applyBorder="1" applyAlignment="1">
      <alignment horizontal="center" vertical="center" shrinkToFit="1"/>
    </xf>
    <xf numFmtId="187" fontId="49" fillId="0" borderId="72" xfId="0" applyNumberFormat="1" applyFont="1" applyBorder="1" applyAlignment="1">
      <alignment horizontal="center" vertical="center" shrinkToFit="1"/>
    </xf>
    <xf numFmtId="188" fontId="49" fillId="0" borderId="20" xfId="0" applyNumberFormat="1" applyFont="1" applyBorder="1" applyAlignment="1">
      <alignment horizontal="center" vertical="center" shrinkToFit="1"/>
    </xf>
    <xf numFmtId="188" fontId="49" fillId="0" borderId="72" xfId="0" applyNumberFormat="1" applyFont="1" applyBorder="1" applyAlignment="1">
      <alignment horizontal="center" vertical="center" shrinkToFit="1"/>
    </xf>
    <xf numFmtId="49" fontId="176" fillId="0" borderId="73" xfId="0" applyNumberFormat="1" applyFont="1" applyBorder="1" applyAlignment="1">
      <alignment horizontal="left" vertical="center" shrinkToFit="1"/>
    </xf>
    <xf numFmtId="49" fontId="176" fillId="0" borderId="75" xfId="0" quotePrefix="1" applyNumberFormat="1" applyFont="1" applyBorder="1" applyAlignment="1">
      <alignment horizontal="left" vertical="center" shrinkToFit="1"/>
    </xf>
    <xf numFmtId="49" fontId="176" fillId="0" borderId="74" xfId="0" quotePrefix="1" applyNumberFormat="1" applyFont="1" applyBorder="1" applyAlignment="1">
      <alignment horizontal="left" vertical="center" shrinkToFit="1"/>
    </xf>
    <xf numFmtId="49" fontId="32" fillId="0" borderId="86" xfId="0" applyNumberFormat="1" applyFont="1" applyBorder="1" applyAlignment="1">
      <alignment horizontal="left" vertical="center" shrinkToFit="1"/>
    </xf>
    <xf numFmtId="49" fontId="32" fillId="0" borderId="88" xfId="0" applyNumberFormat="1" applyFont="1" applyBorder="1" applyAlignment="1">
      <alignment horizontal="left" vertical="center" shrinkToFit="1"/>
    </xf>
    <xf numFmtId="49" fontId="32" fillId="0" borderId="87" xfId="0" applyNumberFormat="1" applyFont="1" applyBorder="1" applyAlignment="1">
      <alignment horizontal="left" vertical="center" shrinkToFit="1"/>
    </xf>
    <xf numFmtId="49" fontId="32" fillId="0" borderId="81" xfId="0" quotePrefix="1" applyNumberFormat="1" applyFont="1" applyBorder="1" applyAlignment="1">
      <alignment horizontal="left" vertical="center" shrinkToFit="1"/>
    </xf>
    <xf numFmtId="0" fontId="13" fillId="0" borderId="4" xfId="0" applyFont="1" applyBorder="1" applyAlignment="1">
      <alignment horizontal="distributed" vertical="center"/>
    </xf>
    <xf numFmtId="0" fontId="5" fillId="0" borderId="48" xfId="0" applyFont="1" applyBorder="1" applyAlignment="1">
      <alignment horizontal="center" vertical="center"/>
    </xf>
    <xf numFmtId="0" fontId="5" fillId="0" borderId="4" xfId="0" applyFont="1" applyBorder="1" applyAlignment="1">
      <alignment horizontal="center" vertical="center"/>
    </xf>
    <xf numFmtId="49" fontId="32" fillId="0" borderId="82" xfId="0" quotePrefix="1" applyNumberFormat="1" applyFont="1" applyBorder="1" applyAlignment="1">
      <alignment horizontal="left" vertical="center" shrinkToFit="1"/>
    </xf>
    <xf numFmtId="49" fontId="32" fillId="0" borderId="83" xfId="0" quotePrefix="1" applyNumberFormat="1" applyFont="1" applyBorder="1" applyAlignment="1">
      <alignment horizontal="left" vertical="center" shrinkToFit="1"/>
    </xf>
    <xf numFmtId="0" fontId="12" fillId="60" borderId="22" xfId="0" applyFont="1" applyFill="1" applyBorder="1" applyAlignment="1">
      <alignment horizontal="distributed" vertical="center"/>
    </xf>
    <xf numFmtId="0" fontId="12" fillId="60" borderId="48" xfId="0" applyFont="1" applyFill="1" applyBorder="1" applyAlignment="1">
      <alignment horizontal="distributed" vertical="center"/>
    </xf>
    <xf numFmtId="0" fontId="3" fillId="60" borderId="4" xfId="0" applyFont="1" applyFill="1" applyBorder="1" applyAlignment="1">
      <alignment horizontal="distributed" vertical="center"/>
    </xf>
    <xf numFmtId="49" fontId="6" fillId="4" borderId="90" xfId="0" applyNumberFormat="1" applyFont="1" applyFill="1" applyBorder="1" applyAlignment="1">
      <alignment horizontal="center" vertical="center" shrinkToFit="1"/>
    </xf>
    <xf numFmtId="49" fontId="6" fillId="4" borderId="145" xfId="0" applyNumberFormat="1" applyFont="1" applyFill="1" applyBorder="1" applyAlignment="1">
      <alignment horizontal="center" vertical="center" shrinkToFit="1"/>
    </xf>
    <xf numFmtId="49" fontId="6" fillId="4" borderId="21" xfId="0" applyNumberFormat="1" applyFont="1" applyFill="1" applyBorder="1" applyAlignment="1">
      <alignment horizontal="center" vertical="center" shrinkToFit="1"/>
    </xf>
    <xf numFmtId="49" fontId="6" fillId="4" borderId="16" xfId="0" applyNumberFormat="1" applyFont="1" applyFill="1" applyBorder="1" applyAlignment="1">
      <alignment horizontal="center" vertical="center" shrinkToFit="1"/>
    </xf>
    <xf numFmtId="49" fontId="6" fillId="4" borderId="20" xfId="0" applyNumberFormat="1" applyFont="1" applyFill="1" applyBorder="1" applyAlignment="1">
      <alignment horizontal="center" vertical="center" shrinkToFit="1"/>
    </xf>
    <xf numFmtId="49" fontId="6" fillId="4" borderId="72" xfId="0" applyNumberFormat="1" applyFont="1" applyFill="1" applyBorder="1" applyAlignment="1">
      <alignment horizontal="center" vertical="center" shrinkToFit="1"/>
    </xf>
    <xf numFmtId="49" fontId="6" fillId="4" borderId="77" xfId="0" applyNumberFormat="1" applyFont="1" applyFill="1" applyBorder="1" applyAlignment="1">
      <alignment horizontal="left" vertical="center" shrinkToFit="1"/>
    </xf>
    <xf numFmtId="49" fontId="6" fillId="4" borderId="78" xfId="0" applyNumberFormat="1" applyFont="1" applyFill="1" applyBorder="1" applyAlignment="1">
      <alignment horizontal="left" vertical="center" shrinkToFit="1"/>
    </xf>
    <xf numFmtId="49" fontId="6" fillId="4" borderId="79" xfId="0" applyNumberFormat="1" applyFont="1" applyFill="1" applyBorder="1" applyAlignment="1">
      <alignment horizontal="left" vertical="center" shrinkToFit="1"/>
    </xf>
    <xf numFmtId="49" fontId="6" fillId="4" borderId="104" xfId="0" applyNumberFormat="1" applyFont="1" applyFill="1" applyBorder="1" applyAlignment="1">
      <alignment horizontal="center" vertical="center" shrinkToFit="1"/>
    </xf>
    <xf numFmtId="49" fontId="6" fillId="0" borderId="20" xfId="0" applyNumberFormat="1" applyFont="1" applyBorder="1" applyAlignment="1">
      <alignment horizontal="center" vertical="center" shrinkToFit="1"/>
    </xf>
    <xf numFmtId="49" fontId="6" fillId="0" borderId="8" xfId="0" applyNumberFormat="1" applyFont="1" applyBorder="1" applyAlignment="1">
      <alignment horizontal="left" vertical="center"/>
    </xf>
    <xf numFmtId="0" fontId="0" fillId="0" borderId="0" xfId="0" applyAlignment="1">
      <alignment vertical="center"/>
    </xf>
    <xf numFmtId="0" fontId="12" fillId="2" borderId="167" xfId="0" applyFont="1" applyFill="1" applyBorder="1" applyAlignment="1">
      <alignment horizontal="center" vertical="center"/>
    </xf>
    <xf numFmtId="0" fontId="12" fillId="2" borderId="169" xfId="0" applyFont="1" applyFill="1" applyBorder="1" applyAlignment="1">
      <alignment horizontal="center" vertical="center"/>
    </xf>
    <xf numFmtId="0" fontId="12" fillId="0" borderId="169" xfId="0" applyFont="1" applyBorder="1" applyAlignment="1">
      <alignment horizontal="distributed" vertical="center"/>
    </xf>
    <xf numFmtId="49" fontId="6" fillId="0" borderId="6" xfId="0" applyNumberFormat="1" applyFont="1" applyBorder="1" applyAlignment="1">
      <alignment horizontal="left" vertical="center" wrapText="1"/>
    </xf>
    <xf numFmtId="0" fontId="0" fillId="0" borderId="7" xfId="0" applyBorder="1" applyAlignment="1">
      <alignment horizontal="left" vertical="center" wrapText="1"/>
    </xf>
    <xf numFmtId="49" fontId="6" fillId="0" borderId="8" xfId="0" applyNumberFormat="1" applyFont="1" applyBorder="1" applyAlignment="1">
      <alignment horizontal="left" vertical="center" shrinkToFit="1"/>
    </xf>
    <xf numFmtId="0" fontId="0" fillId="0" borderId="0" xfId="0" applyAlignment="1">
      <alignment horizontal="left" vertical="center" shrinkToFit="1"/>
    </xf>
    <xf numFmtId="49" fontId="6" fillId="0" borderId="172" xfId="0" applyNumberFormat="1" applyFont="1" applyBorder="1" applyAlignment="1">
      <alignment horizontal="left" vertical="center" shrinkToFit="1"/>
    </xf>
    <xf numFmtId="49" fontId="6" fillId="0" borderId="8" xfId="0" applyNumberFormat="1" applyFont="1" applyBorder="1" applyAlignment="1">
      <alignment horizontal="left" vertical="center" wrapText="1"/>
    </xf>
    <xf numFmtId="0" fontId="0" fillId="0" borderId="0" xfId="0" applyAlignment="1">
      <alignment horizontal="left" vertical="center" wrapText="1"/>
    </xf>
    <xf numFmtId="0" fontId="6" fillId="0" borderId="8" xfId="0" applyFont="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49" fontId="6" fillId="0" borderId="73" xfId="0" applyNumberFormat="1" applyFont="1" applyBorder="1" applyAlignment="1">
      <alignment horizontal="center" vertical="center"/>
    </xf>
    <xf numFmtId="0" fontId="0" fillId="0" borderId="75" xfId="0" applyBorder="1" applyAlignment="1">
      <alignment horizontal="center" vertical="center"/>
    </xf>
    <xf numFmtId="0" fontId="0" fillId="0" borderId="74" xfId="0" applyBorder="1" applyAlignment="1">
      <alignment horizontal="center" vertical="center"/>
    </xf>
    <xf numFmtId="49" fontId="6" fillId="0" borderId="73" xfId="0" applyNumberFormat="1" applyFont="1" applyBorder="1" applyAlignment="1">
      <alignment horizontal="left" vertical="center"/>
    </xf>
    <xf numFmtId="0" fontId="0" fillId="0" borderId="75" xfId="0" applyBorder="1" applyAlignment="1">
      <alignment horizontal="left" vertical="center"/>
    </xf>
    <xf numFmtId="0" fontId="0" fillId="0" borderId="74" xfId="0" applyBorder="1" applyAlignment="1">
      <alignment horizontal="left" vertical="center"/>
    </xf>
    <xf numFmtId="0" fontId="0" fillId="0" borderId="259" xfId="0" applyBorder="1" applyAlignment="1">
      <alignment horizontal="center" vertical="center" shrinkToFit="1"/>
    </xf>
    <xf numFmtId="0" fontId="0" fillId="0" borderId="261" xfId="0" applyBorder="1" applyAlignment="1">
      <alignment horizontal="center" vertical="center" shrinkToFit="1"/>
    </xf>
    <xf numFmtId="49" fontId="6" fillId="0" borderId="81" xfId="0" applyNumberFormat="1" applyFont="1" applyBorder="1" applyAlignment="1">
      <alignment horizontal="left" vertical="center" wrapText="1"/>
    </xf>
    <xf numFmtId="49" fontId="6" fillId="0" borderId="82" xfId="0" applyNumberFormat="1" applyFont="1" applyBorder="1" applyAlignment="1">
      <alignment horizontal="left" vertical="center" wrapText="1"/>
    </xf>
    <xf numFmtId="49" fontId="6" fillId="0" borderId="83" xfId="0" applyNumberFormat="1" applyFont="1" applyBorder="1" applyAlignment="1">
      <alignment horizontal="left" vertical="center" wrapText="1"/>
    </xf>
    <xf numFmtId="0" fontId="0" fillId="0" borderId="259" xfId="0" applyBorder="1" applyAlignment="1">
      <alignment horizontal="left" vertical="center" wrapText="1"/>
    </xf>
    <xf numFmtId="0" fontId="0" fillId="0" borderId="260" xfId="0" applyBorder="1" applyAlignment="1">
      <alignment horizontal="left" vertical="center" wrapText="1"/>
    </xf>
    <xf numFmtId="0" fontId="0" fillId="0" borderId="261" xfId="0" applyBorder="1" applyAlignment="1">
      <alignment horizontal="left" vertical="center" wrapText="1"/>
    </xf>
    <xf numFmtId="0" fontId="0" fillId="0" borderId="259" xfId="0" applyBorder="1" applyAlignment="1">
      <alignment horizontal="left" vertical="center" shrinkToFit="1"/>
    </xf>
    <xf numFmtId="0" fontId="0" fillId="0" borderId="260" xfId="0" applyBorder="1" applyAlignment="1">
      <alignment horizontal="left" vertical="center" shrinkToFit="1"/>
    </xf>
    <xf numFmtId="0" fontId="0" fillId="0" borderId="261" xfId="0" applyBorder="1" applyAlignment="1">
      <alignment horizontal="left" vertical="center" shrinkToFit="1"/>
    </xf>
    <xf numFmtId="0" fontId="12" fillId="2" borderId="22" xfId="0" applyFont="1" applyFill="1" applyBorder="1" applyAlignment="1">
      <alignment horizontal="center" vertical="center"/>
    </xf>
    <xf numFmtId="0" fontId="12" fillId="2" borderId="48" xfId="0" applyFont="1" applyFill="1" applyBorder="1" applyAlignment="1">
      <alignment horizontal="center" vertical="center"/>
    </xf>
    <xf numFmtId="0" fontId="12" fillId="2" borderId="4" xfId="0" applyFont="1" applyFill="1" applyBorder="1" applyAlignment="1">
      <alignment horizontal="center" vertical="center"/>
    </xf>
    <xf numFmtId="0" fontId="0" fillId="0" borderId="0" xfId="0" applyAlignment="1">
      <alignment horizontal="center" vertical="center" wrapText="1"/>
    </xf>
    <xf numFmtId="0" fontId="148" fillId="0" borderId="0" xfId="0" applyFont="1" applyBorder="1" applyAlignment="1">
      <alignment vertical="center" shrinkToFit="1"/>
    </xf>
    <xf numFmtId="0" fontId="148" fillId="0" borderId="23" xfId="0" applyFont="1" applyBorder="1" applyAlignment="1">
      <alignment vertical="center" shrinkToFit="1"/>
    </xf>
    <xf numFmtId="0" fontId="14" fillId="0" borderId="7" xfId="0" applyFont="1" applyBorder="1" applyAlignment="1">
      <alignment horizontal="left" vertical="center" shrinkToFit="1"/>
    </xf>
    <xf numFmtId="0" fontId="14" fillId="0" borderId="70" xfId="0" applyFont="1" applyBorder="1" applyAlignment="1">
      <alignment horizontal="left" vertical="center" shrinkToFit="1"/>
    </xf>
    <xf numFmtId="0" fontId="6" fillId="0" borderId="11" xfId="0" applyFont="1" applyBorder="1" applyAlignment="1">
      <alignment horizontal="center" vertical="center"/>
    </xf>
    <xf numFmtId="0" fontId="5" fillId="0" borderId="6" xfId="0" applyFont="1" applyBorder="1" applyAlignment="1">
      <alignment horizontal="left" vertical="center" shrinkToFit="1"/>
    </xf>
    <xf numFmtId="0" fontId="5" fillId="0" borderId="7" xfId="0" applyFont="1" applyBorder="1" applyAlignment="1">
      <alignment horizontal="left" vertical="center" shrinkToFit="1"/>
    </xf>
    <xf numFmtId="0" fontId="5" fillId="0" borderId="70" xfId="0" applyFont="1" applyBorder="1" applyAlignment="1">
      <alignment horizontal="left" vertical="center" shrinkToFit="1"/>
    </xf>
    <xf numFmtId="0" fontId="6" fillId="0" borderId="8" xfId="0" applyFont="1" applyBorder="1" applyAlignment="1">
      <alignment horizontal="left" vertical="center" shrinkToFit="1"/>
    </xf>
    <xf numFmtId="0" fontId="6" fillId="0" borderId="0" xfId="0" applyFont="1" applyBorder="1" applyAlignment="1">
      <alignment horizontal="left" vertical="center" shrinkToFit="1"/>
    </xf>
    <xf numFmtId="0" fontId="6" fillId="0" borderId="23" xfId="0" applyFont="1" applyBorder="1" applyAlignment="1">
      <alignment horizontal="left" vertical="center" shrinkToFit="1"/>
    </xf>
    <xf numFmtId="0" fontId="6" fillId="0" borderId="59" xfId="0" applyFont="1" applyBorder="1" applyAlignment="1">
      <alignment horizontal="left" vertical="center" shrinkToFit="1"/>
    </xf>
    <xf numFmtId="0" fontId="6" fillId="0" borderId="84" xfId="0" applyFont="1" applyBorder="1" applyAlignment="1">
      <alignment horizontal="left" vertical="center" shrinkToFit="1"/>
    </xf>
    <xf numFmtId="0" fontId="6" fillId="0" borderId="85" xfId="0" applyFont="1" applyBorder="1" applyAlignment="1">
      <alignment horizontal="left" vertical="center" shrinkToFit="1"/>
    </xf>
    <xf numFmtId="0" fontId="6" fillId="0" borderId="81" xfId="0" applyFont="1" applyBorder="1" applyAlignment="1">
      <alignment horizontal="left" vertical="center" shrinkToFit="1"/>
    </xf>
    <xf numFmtId="0" fontId="6" fillId="0" borderId="82" xfId="0" applyFont="1" applyBorder="1" applyAlignment="1">
      <alignment horizontal="left" vertical="center" shrinkToFit="1"/>
    </xf>
    <xf numFmtId="0" fontId="6" fillId="0" borderId="83" xfId="0" applyFont="1" applyBorder="1" applyAlignment="1">
      <alignment horizontal="left" vertical="center" shrinkToFit="1"/>
    </xf>
    <xf numFmtId="0" fontId="6" fillId="0" borderId="81" xfId="0" quotePrefix="1" applyFont="1" applyBorder="1" applyAlignment="1">
      <alignment horizontal="left" vertical="center" shrinkToFit="1"/>
    </xf>
    <xf numFmtId="187" fontId="6" fillId="0" borderId="20" xfId="0" applyNumberFormat="1" applyFont="1" applyBorder="1" applyAlignment="1">
      <alignment horizontal="center" vertical="center"/>
    </xf>
    <xf numFmtId="187" fontId="6" fillId="0" borderId="16" xfId="0" applyNumberFormat="1" applyFont="1" applyBorder="1" applyAlignment="1">
      <alignment horizontal="center" vertical="center"/>
    </xf>
    <xf numFmtId="182" fontId="6" fillId="0" borderId="20" xfId="0" applyNumberFormat="1" applyFont="1" applyBorder="1" applyAlignment="1">
      <alignment horizontal="center" vertical="center"/>
    </xf>
    <xf numFmtId="182" fontId="6" fillId="0" borderId="21" xfId="0" applyNumberFormat="1" applyFont="1" applyBorder="1" applyAlignment="1">
      <alignment horizontal="center" vertical="center"/>
    </xf>
    <xf numFmtId="182" fontId="6" fillId="0" borderId="11" xfId="0" applyNumberFormat="1" applyFont="1" applyBorder="1" applyAlignment="1">
      <alignment horizontal="center" vertical="center"/>
    </xf>
    <xf numFmtId="0" fontId="6" fillId="0" borderId="59" xfId="0" applyFont="1" applyBorder="1" applyAlignment="1">
      <alignment horizontal="left" vertical="center" wrapText="1" shrinkToFit="1"/>
    </xf>
    <xf numFmtId="0" fontId="6" fillId="0" borderId="143" xfId="0" applyFont="1" applyBorder="1" applyAlignment="1">
      <alignment horizontal="left" vertical="center" shrinkToFit="1"/>
    </xf>
    <xf numFmtId="0" fontId="6" fillId="0" borderId="166" xfId="0" applyFont="1" applyBorder="1" applyAlignment="1">
      <alignment horizontal="left" vertical="center" shrinkToFit="1"/>
    </xf>
    <xf numFmtId="0" fontId="6" fillId="0" borderId="8" xfId="0" quotePrefix="1" applyFont="1" applyBorder="1" applyAlignment="1">
      <alignment horizontal="left" vertical="center" shrinkToFit="1"/>
    </xf>
    <xf numFmtId="0" fontId="6" fillId="0" borderId="59" xfId="0" quotePrefix="1" applyFont="1" applyBorder="1" applyAlignment="1">
      <alignment horizontal="left" vertical="center" shrinkToFit="1"/>
    </xf>
    <xf numFmtId="0" fontId="6" fillId="0" borderId="143" xfId="0" quotePrefix="1" applyFont="1" applyBorder="1" applyAlignment="1">
      <alignment horizontal="left" vertical="center" shrinkToFit="1"/>
    </xf>
    <xf numFmtId="0" fontId="6" fillId="0" borderId="259" xfId="0" applyFont="1" applyBorder="1" applyAlignment="1">
      <alignment horizontal="left" vertical="center" shrinkToFit="1"/>
    </xf>
    <xf numFmtId="0" fontId="6" fillId="0" borderId="260" xfId="0" applyFont="1" applyBorder="1" applyAlignment="1">
      <alignment horizontal="left" vertical="center" shrinkToFit="1"/>
    </xf>
    <xf numFmtId="0" fontId="6" fillId="0" borderId="261" xfId="0" applyFont="1" applyBorder="1" applyAlignment="1">
      <alignment horizontal="left" vertical="center" shrinkToFit="1"/>
    </xf>
    <xf numFmtId="0" fontId="6" fillId="0" borderId="81" xfId="0" applyFont="1" applyBorder="1" applyAlignment="1">
      <alignment horizontal="left" vertical="center"/>
    </xf>
    <xf numFmtId="0" fontId="0" fillId="0" borderId="82" xfId="0" applyBorder="1" applyAlignment="1">
      <alignment horizontal="left" vertical="center"/>
    </xf>
    <xf numFmtId="0" fontId="0" fillId="0" borderId="83" xfId="0" applyBorder="1" applyAlignment="1">
      <alignment horizontal="left" vertical="center"/>
    </xf>
    <xf numFmtId="0" fontId="17" fillId="0" borderId="14" xfId="0" applyFont="1" applyBorder="1" applyAlignment="1">
      <alignment horizontal="center" vertical="center" textRotation="255" shrinkToFit="1"/>
    </xf>
    <xf numFmtId="0" fontId="17" fillId="0" borderId="21" xfId="0" applyFont="1" applyBorder="1" applyAlignment="1">
      <alignment horizontal="center" vertical="center" textRotation="255" shrinkToFit="1"/>
    </xf>
    <xf numFmtId="0" fontId="17" fillId="0" borderId="72" xfId="0" applyFont="1" applyBorder="1" applyAlignment="1">
      <alignment horizontal="center" vertical="center" textRotation="255" shrinkToFit="1"/>
    </xf>
    <xf numFmtId="187" fontId="6" fillId="0" borderId="20" xfId="0" quotePrefix="1" applyNumberFormat="1" applyFont="1" applyBorder="1" applyAlignment="1">
      <alignment horizontal="center" vertical="center"/>
    </xf>
    <xf numFmtId="187" fontId="6" fillId="0" borderId="72" xfId="0" quotePrefix="1" applyNumberFormat="1" applyFont="1" applyBorder="1" applyAlignment="1">
      <alignment horizontal="center" vertical="center"/>
    </xf>
    <xf numFmtId="182" fontId="6" fillId="0" borderId="72" xfId="0" applyNumberFormat="1" applyFont="1" applyBorder="1" applyAlignment="1">
      <alignment horizontal="center" vertical="center"/>
    </xf>
    <xf numFmtId="0" fontId="6" fillId="0" borderId="9" xfId="0" applyFont="1" applyBorder="1" applyAlignment="1">
      <alignment horizontal="left" vertical="center" shrinkToFit="1"/>
    </xf>
    <xf numFmtId="0" fontId="6" fillId="0" borderId="172" xfId="0" applyFont="1" applyBorder="1" applyAlignment="1">
      <alignment horizontal="left" vertical="center" shrinkToFit="1"/>
    </xf>
    <xf numFmtId="0" fontId="6" fillId="0" borderId="173" xfId="0" applyFont="1" applyBorder="1" applyAlignment="1">
      <alignment horizontal="left" vertical="center" shrinkToFit="1"/>
    </xf>
    <xf numFmtId="182" fontId="6" fillId="0" borderId="14" xfId="0" applyNumberFormat="1" applyFont="1" applyBorder="1" applyAlignment="1">
      <alignment horizontal="center" vertical="center"/>
    </xf>
    <xf numFmtId="0" fontId="6" fillId="0" borderId="8" xfId="0" applyFont="1" applyBorder="1" applyAlignment="1">
      <alignment horizontal="left" vertical="center" wrapText="1" shrinkToFit="1"/>
    </xf>
    <xf numFmtId="0" fontId="12" fillId="2" borderId="22" xfId="0" applyFont="1" applyFill="1" applyBorder="1" applyAlignment="1">
      <alignment horizontal="left" vertical="center"/>
    </xf>
    <xf numFmtId="0" fontId="12" fillId="2" borderId="48" xfId="0" applyFont="1" applyFill="1" applyBorder="1" applyAlignment="1">
      <alignment horizontal="left" vertical="center"/>
    </xf>
    <xf numFmtId="0" fontId="12" fillId="2" borderId="4" xfId="0" applyFont="1" applyFill="1" applyBorder="1" applyAlignment="1">
      <alignment horizontal="left" vertical="center"/>
    </xf>
    <xf numFmtId="6" fontId="5" fillId="0" borderId="48" xfId="1" applyFont="1" applyBorder="1" applyAlignment="1">
      <alignment horizontal="center" vertical="center" shrinkToFit="1"/>
    </xf>
    <xf numFmtId="6" fontId="5" fillId="0" borderId="4" xfId="1" applyFont="1" applyBorder="1" applyAlignment="1">
      <alignment horizontal="center" vertical="center" shrinkToFit="1"/>
    </xf>
    <xf numFmtId="0" fontId="6" fillId="0" borderId="6" xfId="0" applyFont="1" applyBorder="1" applyAlignment="1">
      <alignment horizontal="left" vertical="center" shrinkToFit="1"/>
    </xf>
    <xf numFmtId="0" fontId="6" fillId="0" borderId="7" xfId="0" applyFont="1" applyBorder="1" applyAlignment="1">
      <alignment horizontal="left" vertical="center" shrinkToFit="1"/>
    </xf>
    <xf numFmtId="0" fontId="6" fillId="0" borderId="70" xfId="0" applyFont="1" applyBorder="1" applyAlignment="1">
      <alignment horizontal="left" vertical="center" shrinkToFit="1"/>
    </xf>
    <xf numFmtId="0" fontId="6" fillId="0" borderId="6" xfId="0" quotePrefix="1" applyFont="1" applyBorder="1" applyAlignment="1">
      <alignment horizontal="left" vertical="center" shrinkToFit="1"/>
    </xf>
    <xf numFmtId="6" fontId="5" fillId="0" borderId="22" xfId="1" applyFont="1" applyBorder="1" applyAlignment="1">
      <alignment horizontal="center" vertical="center" shrinkToFit="1"/>
    </xf>
    <xf numFmtId="179" fontId="7" fillId="0" borderId="48" xfId="0" applyNumberFormat="1" applyFont="1" applyBorder="1" applyAlignment="1">
      <alignment horizontal="left" vertical="center" shrinkToFit="1"/>
    </xf>
    <xf numFmtId="177" fontId="6" fillId="0" borderId="14" xfId="0" applyNumberFormat="1" applyFont="1" applyBorder="1" applyAlignment="1">
      <alignment horizontal="center" vertical="center"/>
    </xf>
    <xf numFmtId="177" fontId="6" fillId="0" borderId="16" xfId="0" applyNumberFormat="1" applyFont="1" applyBorder="1" applyAlignment="1">
      <alignment horizontal="center" vertical="center"/>
    </xf>
    <xf numFmtId="0" fontId="36" fillId="0" borderId="0" xfId="5" applyFont="1" applyAlignment="1">
      <alignment horizontal="left" vertical="center"/>
    </xf>
    <xf numFmtId="0" fontId="36" fillId="0" borderId="0" xfId="5" quotePrefix="1" applyFont="1" applyAlignment="1">
      <alignment horizontal="left" vertical="center"/>
    </xf>
    <xf numFmtId="0" fontId="36" fillId="0" borderId="0" xfId="10" quotePrefix="1" applyFont="1" applyAlignment="1">
      <alignment horizontal="left" vertical="center"/>
    </xf>
    <xf numFmtId="0" fontId="36" fillId="0" borderId="0" xfId="10" applyFont="1" applyAlignment="1">
      <alignment horizontal="left" vertical="center"/>
    </xf>
    <xf numFmtId="0" fontId="5" fillId="60" borderId="156" xfId="11" applyFont="1" applyFill="1" applyBorder="1" applyAlignment="1">
      <alignment horizontal="center"/>
    </xf>
    <xf numFmtId="0" fontId="5" fillId="60" borderId="91" xfId="11" applyFont="1" applyFill="1" applyBorder="1" applyAlignment="1">
      <alignment horizontal="center"/>
    </xf>
    <xf numFmtId="0" fontId="5" fillId="60" borderId="155" xfId="11" applyFont="1" applyFill="1" applyBorder="1" applyAlignment="1">
      <alignment horizontal="center"/>
    </xf>
    <xf numFmtId="0" fontId="5" fillId="2" borderId="24" xfId="11" applyFont="1" applyFill="1" applyBorder="1" applyAlignment="1">
      <alignment horizontal="center" vertical="center"/>
    </xf>
    <xf numFmtId="0" fontId="5" fillId="2" borderId="29" xfId="11" applyFont="1" applyFill="1" applyBorder="1" applyAlignment="1">
      <alignment horizontal="center" vertical="center"/>
    </xf>
    <xf numFmtId="0" fontId="5" fillId="60" borderId="65" xfId="11" applyFont="1" applyFill="1" applyBorder="1" applyAlignment="1">
      <alignment horizontal="center" vertical="center"/>
    </xf>
    <xf numFmtId="0" fontId="5" fillId="60" borderId="89" xfId="11" applyFont="1" applyFill="1" applyBorder="1" applyAlignment="1">
      <alignment horizontal="center" vertical="center"/>
    </xf>
    <xf numFmtId="0" fontId="5" fillId="60" borderId="30" xfId="11" applyFont="1" applyFill="1" applyBorder="1" applyAlignment="1">
      <alignment horizontal="center" vertical="center"/>
    </xf>
    <xf numFmtId="0" fontId="5" fillId="60" borderId="64" xfId="11" applyFont="1" applyFill="1" applyBorder="1" applyAlignment="1">
      <alignment horizontal="center" vertical="center"/>
    </xf>
    <xf numFmtId="0" fontId="5" fillId="60" borderId="54" xfId="11" applyFont="1" applyFill="1" applyBorder="1" applyAlignment="1">
      <alignment horizontal="center" vertical="center"/>
    </xf>
    <xf numFmtId="0" fontId="5" fillId="2" borderId="92" xfId="11" applyFont="1" applyFill="1" applyBorder="1" applyAlignment="1">
      <alignment horizontal="center" vertical="center"/>
    </xf>
    <xf numFmtId="0" fontId="5" fillId="2" borderId="67" xfId="11" applyFont="1" applyFill="1" applyBorder="1" applyAlignment="1">
      <alignment horizontal="center" vertical="center"/>
    </xf>
    <xf numFmtId="0" fontId="5" fillId="2" borderId="68" xfId="11" applyFont="1" applyFill="1" applyBorder="1" applyAlignment="1">
      <alignment horizontal="center" vertical="center"/>
    </xf>
    <xf numFmtId="0" fontId="5" fillId="2" borderId="69" xfId="11" applyFont="1" applyFill="1" applyBorder="1" applyAlignment="1">
      <alignment horizontal="center" vertical="center"/>
    </xf>
    <xf numFmtId="0" fontId="5" fillId="0" borderId="35" xfId="11" applyFont="1" applyBorder="1" applyAlignment="1">
      <alignment horizontal="center" vertical="center"/>
    </xf>
    <xf numFmtId="0" fontId="5" fillId="0" borderId="39" xfId="11" applyFont="1" applyBorder="1" applyAlignment="1">
      <alignment horizontal="center" vertical="center"/>
    </xf>
    <xf numFmtId="0" fontId="5" fillId="0" borderId="40" xfId="11" applyFont="1" applyBorder="1" applyAlignment="1">
      <alignment horizontal="left" vertical="center"/>
    </xf>
    <xf numFmtId="0" fontId="5" fillId="0" borderId="43" xfId="11" applyFont="1" applyBorder="1" applyAlignment="1">
      <alignment horizontal="left" vertical="center"/>
    </xf>
    <xf numFmtId="0" fontId="5" fillId="0" borderId="24" xfId="11" quotePrefix="1" applyFont="1" applyBorder="1" applyAlignment="1">
      <alignment horizontal="center" vertical="center" textRotation="255"/>
    </xf>
    <xf numFmtId="0" fontId="5" fillId="0" borderId="60" xfId="11" quotePrefix="1" applyFont="1" applyBorder="1" applyAlignment="1">
      <alignment horizontal="center" vertical="center" textRotation="255"/>
    </xf>
    <xf numFmtId="0" fontId="5" fillId="0" borderId="60" xfId="11" applyFont="1" applyBorder="1" applyAlignment="1">
      <alignment horizontal="center" vertical="center" textRotation="255"/>
    </xf>
    <xf numFmtId="0" fontId="3" fillId="0" borderId="29" xfId="6" applyBorder="1" applyAlignment="1">
      <alignment horizontal="center" vertical="center" textRotation="255"/>
    </xf>
    <xf numFmtId="0" fontId="5" fillId="0" borderId="30" xfId="11" applyFont="1" applyBorder="1" applyAlignment="1">
      <alignment horizontal="center" vertical="center"/>
    </xf>
    <xf numFmtId="0" fontId="5" fillId="0" borderId="54" xfId="11" applyFont="1" applyBorder="1" applyAlignment="1">
      <alignment horizontal="center" vertical="center"/>
    </xf>
    <xf numFmtId="0" fontId="5" fillId="0" borderId="35" xfId="11" applyFont="1" applyBorder="1" applyAlignment="1">
      <alignment horizontal="left" vertical="center" wrapText="1"/>
    </xf>
    <xf numFmtId="0" fontId="5" fillId="0" borderId="39" xfId="11" applyFont="1" applyBorder="1" applyAlignment="1">
      <alignment horizontal="left" vertical="center"/>
    </xf>
    <xf numFmtId="0" fontId="5" fillId="0" borderId="35" xfId="11" applyFont="1" applyBorder="1" applyAlignment="1">
      <alignment horizontal="left" vertical="center"/>
    </xf>
    <xf numFmtId="0" fontId="5" fillId="4" borderId="40" xfId="11" applyFont="1" applyFill="1" applyBorder="1" applyAlignment="1">
      <alignment horizontal="left" vertical="center"/>
    </xf>
    <xf numFmtId="0" fontId="5" fillId="4" borderId="43" xfId="11" applyFont="1" applyFill="1" applyBorder="1" applyAlignment="1">
      <alignment horizontal="left" vertical="center"/>
    </xf>
    <xf numFmtId="0" fontId="5" fillId="0" borderId="29" xfId="11" applyFont="1" applyBorder="1" applyAlignment="1">
      <alignment horizontal="center" vertical="center" textRotation="255"/>
    </xf>
    <xf numFmtId="0" fontId="5" fillId="0" borderId="30" xfId="11" applyFont="1" applyBorder="1" applyAlignment="1">
      <alignment horizontal="left" vertical="center"/>
    </xf>
    <xf numFmtId="0" fontId="5" fillId="0" borderId="54" xfId="11" applyFont="1" applyBorder="1" applyAlignment="1">
      <alignment horizontal="left" vertical="center"/>
    </xf>
    <xf numFmtId="0" fontId="5" fillId="0" borderId="40" xfId="11" applyFont="1" applyBorder="1" applyAlignment="1">
      <alignment horizontal="left" vertical="center" wrapText="1"/>
    </xf>
    <xf numFmtId="0" fontId="5" fillId="0" borderId="29" xfId="11" quotePrefix="1" applyFont="1" applyBorder="1" applyAlignment="1">
      <alignment horizontal="center" vertical="center" textRotation="255"/>
    </xf>
    <xf numFmtId="0" fontId="5" fillId="0" borderId="55" xfId="11" applyFont="1" applyBorder="1" applyAlignment="1">
      <alignment horizontal="center" vertical="center"/>
    </xf>
    <xf numFmtId="0" fontId="5" fillId="0" borderId="47" xfId="11" applyFont="1" applyBorder="1" applyAlignment="1">
      <alignment horizontal="center" vertical="center"/>
    </xf>
    <xf numFmtId="0" fontId="5" fillId="0" borderId="35" xfId="11" quotePrefix="1" applyFont="1" applyBorder="1" applyAlignment="1">
      <alignment horizontal="center" vertical="center"/>
    </xf>
    <xf numFmtId="0" fontId="5" fillId="0" borderId="39" xfId="11" quotePrefix="1" applyFont="1" applyBorder="1" applyAlignment="1">
      <alignment horizontal="center" vertical="center"/>
    </xf>
    <xf numFmtId="0" fontId="5" fillId="0" borderId="34" xfId="11" quotePrefix="1" applyFont="1" applyBorder="1" applyAlignment="1">
      <alignment horizontal="center" vertical="center"/>
    </xf>
    <xf numFmtId="0" fontId="5" fillId="0" borderId="63" xfId="11" quotePrefix="1" applyFont="1" applyBorder="1" applyAlignment="1">
      <alignment horizontal="center" vertical="center"/>
    </xf>
    <xf numFmtId="0" fontId="5" fillId="0" borderId="24" xfId="11" applyFont="1" applyBorder="1" applyAlignment="1">
      <alignment horizontal="center" vertical="center" textRotation="255"/>
    </xf>
    <xf numFmtId="0" fontId="5" fillId="0" borderId="34" xfId="11" applyFont="1" applyBorder="1" applyAlignment="1">
      <alignment horizontal="center" vertical="center"/>
    </xf>
    <xf numFmtId="0" fontId="5" fillId="0" borderId="63" xfId="11" applyFont="1" applyBorder="1" applyAlignment="1">
      <alignment horizontal="center" vertical="center"/>
    </xf>
    <xf numFmtId="0" fontId="5" fillId="0" borderId="40" xfId="11" applyFont="1" applyBorder="1" applyAlignment="1">
      <alignment horizontal="center" vertical="center"/>
    </xf>
    <xf numFmtId="0" fontId="5" fillId="0" borderId="43" xfId="11" applyFont="1" applyBorder="1" applyAlignment="1">
      <alignment horizontal="center" vertical="center"/>
    </xf>
    <xf numFmtId="0" fontId="5" fillId="0" borderId="55" xfId="11" applyFont="1" applyBorder="1" applyAlignment="1">
      <alignment horizontal="left" vertical="center"/>
    </xf>
    <xf numFmtId="0" fontId="5" fillId="0" borderId="47" xfId="11" applyFont="1" applyBorder="1" applyAlignment="1">
      <alignment horizontal="left" vertical="center"/>
    </xf>
    <xf numFmtId="0" fontId="5" fillId="0" borderId="56" xfId="11" applyFont="1" applyBorder="1" applyAlignment="1">
      <alignment horizontal="left" vertical="center"/>
    </xf>
    <xf numFmtId="0" fontId="5" fillId="0" borderId="53" xfId="11" applyFont="1" applyBorder="1" applyAlignment="1">
      <alignment horizontal="left" vertical="center"/>
    </xf>
    <xf numFmtId="0" fontId="25" fillId="0" borderId="0" xfId="10" quotePrefix="1" applyFont="1" applyAlignment="1">
      <alignment horizontal="left"/>
    </xf>
    <xf numFmtId="0" fontId="25" fillId="0" borderId="0" xfId="10" applyFont="1" applyAlignment="1">
      <alignment horizontal="left"/>
    </xf>
    <xf numFmtId="0" fontId="28" fillId="2" borderId="24" xfId="8" applyFont="1" applyFill="1" applyBorder="1" applyAlignment="1">
      <alignment horizontal="center"/>
    </xf>
    <xf numFmtId="0" fontId="28" fillId="2" borderId="29" xfId="8" applyFont="1" applyFill="1" applyBorder="1" applyAlignment="1">
      <alignment horizontal="center"/>
    </xf>
    <xf numFmtId="0" fontId="3" fillId="2" borderId="24" xfId="8" applyFill="1" applyBorder="1" applyAlignment="1">
      <alignment horizontal="center" vertical="center"/>
    </xf>
    <xf numFmtId="0" fontId="3" fillId="2" borderId="29" xfId="8" applyFill="1" applyBorder="1" applyAlignment="1">
      <alignment horizontal="center" vertical="center"/>
    </xf>
    <xf numFmtId="0" fontId="3" fillId="2" borderId="24" xfId="8" applyFill="1" applyBorder="1" applyAlignment="1">
      <alignment horizontal="center" vertical="center" shrinkToFit="1"/>
    </xf>
    <xf numFmtId="0" fontId="3" fillId="2" borderId="29" xfId="8" applyFill="1" applyBorder="1" applyAlignment="1">
      <alignment horizontal="center" vertical="center" shrinkToFit="1"/>
    </xf>
    <xf numFmtId="0" fontId="0" fillId="60" borderId="65" xfId="8" quotePrefix="1" applyFont="1" applyFill="1" applyBorder="1" applyAlignment="1">
      <alignment horizontal="center" vertical="center"/>
    </xf>
    <xf numFmtId="0" fontId="3" fillId="60" borderId="89" xfId="8" applyFill="1" applyBorder="1" applyAlignment="1">
      <alignment horizontal="center" vertical="center"/>
    </xf>
    <xf numFmtId="0" fontId="3" fillId="0" borderId="60" xfId="8" applyBorder="1" applyAlignment="1">
      <alignment horizontal="center" vertical="center" textRotation="255"/>
    </xf>
    <xf numFmtId="0" fontId="3" fillId="0" borderId="29" xfId="8" applyBorder="1" applyAlignment="1">
      <alignment horizontal="center" vertical="center" textRotation="255"/>
    </xf>
    <xf numFmtId="0" fontId="3" fillId="0" borderId="24" xfId="8" applyBorder="1" applyAlignment="1">
      <alignment horizontal="center" vertical="center" textRotation="255"/>
    </xf>
    <xf numFmtId="0" fontId="0" fillId="2" borderId="65" xfId="8" applyFont="1" applyFill="1" applyBorder="1" applyAlignment="1">
      <alignment horizontal="center" vertical="center"/>
    </xf>
    <xf numFmtId="0" fontId="3" fillId="0" borderId="54" xfId="8" applyBorder="1" applyAlignment="1">
      <alignment horizontal="center" vertical="center"/>
    </xf>
    <xf numFmtId="0" fontId="3" fillId="0" borderId="44" xfId="8" applyBorder="1" applyAlignment="1">
      <alignment horizontal="center" vertical="center" textRotation="255"/>
    </xf>
    <xf numFmtId="0" fontId="3" fillId="0" borderId="36" xfId="8" applyBorder="1" applyAlignment="1">
      <alignment horizontal="center" vertical="center" textRotation="255"/>
    </xf>
    <xf numFmtId="0" fontId="3" fillId="0" borderId="49" xfId="8" applyBorder="1" applyAlignment="1">
      <alignment horizontal="center" vertical="center" textRotation="255"/>
    </xf>
    <xf numFmtId="0" fontId="0" fillId="2" borderId="65" xfId="8" quotePrefix="1" applyFont="1" applyFill="1" applyBorder="1" applyAlignment="1">
      <alignment horizontal="center" vertical="center"/>
    </xf>
    <xf numFmtId="0" fontId="3" fillId="0" borderId="89" xfId="8" applyBorder="1" applyAlignment="1">
      <alignment horizontal="center" vertical="center"/>
    </xf>
    <xf numFmtId="0" fontId="15" fillId="2" borderId="30" xfId="68" applyFont="1" applyFill="1" applyBorder="1" applyAlignment="1">
      <alignment horizontal="center" vertical="center"/>
    </xf>
    <xf numFmtId="0" fontId="159" fillId="0" borderId="64" xfId="565" applyFont="1" applyBorder="1" applyAlignment="1">
      <alignment horizontal="center" vertical="center"/>
    </xf>
    <xf numFmtId="0" fontId="159" fillId="0" borderId="54" xfId="565" applyFont="1" applyBorder="1" applyAlignment="1">
      <alignment horizontal="center" vertical="center"/>
    </xf>
    <xf numFmtId="0" fontId="15" fillId="0" borderId="167" xfId="68" applyFont="1" applyBorder="1" applyAlignment="1">
      <alignment horizontal="center" vertical="center"/>
    </xf>
    <xf numFmtId="0" fontId="15" fillId="0" borderId="168" xfId="68" applyFont="1" applyBorder="1" applyAlignment="1">
      <alignment horizontal="center" vertical="center"/>
    </xf>
    <xf numFmtId="0" fontId="15" fillId="0" borderId="39" xfId="68" applyFont="1" applyBorder="1" applyAlignment="1">
      <alignment horizontal="center" vertical="center"/>
    </xf>
    <xf numFmtId="0" fontId="15" fillId="0" borderId="35" xfId="68" applyFont="1" applyBorder="1" applyAlignment="1">
      <alignment horizontal="center" vertical="center"/>
    </xf>
    <xf numFmtId="0" fontId="15" fillId="0" borderId="169" xfId="68" applyFont="1" applyBorder="1" applyAlignment="1">
      <alignment horizontal="center" vertical="center"/>
    </xf>
    <xf numFmtId="0" fontId="15" fillId="2" borderId="183" xfId="68" applyFont="1" applyFill="1" applyBorder="1" applyAlignment="1">
      <alignment horizontal="center" vertical="center"/>
    </xf>
    <xf numFmtId="0" fontId="15" fillId="2" borderId="187" xfId="68" applyFont="1" applyFill="1" applyBorder="1" applyAlignment="1">
      <alignment horizontal="center" vertical="center"/>
    </xf>
    <xf numFmtId="0" fontId="15" fillId="2" borderId="177" xfId="68" applyFont="1" applyFill="1" applyBorder="1" applyAlignment="1">
      <alignment horizontal="center" vertical="center"/>
    </xf>
    <xf numFmtId="0" fontId="15" fillId="2" borderId="184" xfId="68" applyFont="1" applyFill="1" applyBorder="1" applyAlignment="1">
      <alignment horizontal="center" vertical="center"/>
    </xf>
    <xf numFmtId="0" fontId="15" fillId="2" borderId="21" xfId="68" applyFont="1" applyFill="1" applyBorder="1" applyAlignment="1">
      <alignment horizontal="center" vertical="center"/>
    </xf>
    <xf numFmtId="0" fontId="15" fillId="2" borderId="72" xfId="68" applyFont="1" applyFill="1" applyBorder="1" applyAlignment="1">
      <alignment horizontal="center" vertical="center"/>
    </xf>
    <xf numFmtId="0" fontId="15" fillId="2" borderId="185" xfId="68" applyFont="1" applyFill="1" applyBorder="1" applyAlignment="1">
      <alignment horizontal="center" vertical="center"/>
    </xf>
    <xf numFmtId="0" fontId="1" fillId="0" borderId="67" xfId="564" applyBorder="1">
      <alignment vertical="center"/>
    </xf>
    <xf numFmtId="0" fontId="15" fillId="2" borderId="143" xfId="68" applyFont="1" applyFill="1" applyBorder="1" applyAlignment="1">
      <alignment horizontal="center" vertical="center"/>
    </xf>
    <xf numFmtId="0" fontId="1" fillId="0" borderId="63" xfId="564" applyBorder="1">
      <alignment vertical="center"/>
    </xf>
    <xf numFmtId="0" fontId="15" fillId="2" borderId="9" xfId="68" applyFont="1" applyFill="1" applyBorder="1" applyAlignment="1">
      <alignment horizontal="center" vertical="center"/>
    </xf>
    <xf numFmtId="0" fontId="1" fillId="0" borderId="47" xfId="564" applyBorder="1">
      <alignment vertical="center"/>
    </xf>
    <xf numFmtId="0" fontId="15" fillId="2" borderId="92" xfId="68" applyFont="1" applyFill="1" applyBorder="1" applyAlignment="1">
      <alignment horizontal="center" vertical="center"/>
    </xf>
    <xf numFmtId="0" fontId="15" fillId="2" borderId="66" xfId="68" applyFont="1" applyFill="1" applyBorder="1" applyAlignment="1">
      <alignment horizontal="center" vertical="center"/>
    </xf>
    <xf numFmtId="0" fontId="15" fillId="2" borderId="67" xfId="68" applyFont="1" applyFill="1" applyBorder="1" applyAlignment="1">
      <alignment horizontal="center" vertical="center"/>
    </xf>
    <xf numFmtId="0" fontId="15" fillId="2" borderId="34" xfId="68" applyFont="1" applyFill="1" applyBorder="1" applyAlignment="1">
      <alignment horizontal="center" vertical="center"/>
    </xf>
    <xf numFmtId="0" fontId="15" fillId="2" borderId="0" xfId="68" applyFont="1" applyFill="1" applyAlignment="1">
      <alignment horizontal="center" vertical="center"/>
    </xf>
    <xf numFmtId="0" fontId="15" fillId="2" borderId="63" xfId="68" applyFont="1" applyFill="1" applyBorder="1" applyAlignment="1">
      <alignment horizontal="center" vertical="center"/>
    </xf>
    <xf numFmtId="0" fontId="15" fillId="2" borderId="55" xfId="68" applyFont="1" applyFill="1" applyBorder="1" applyAlignment="1">
      <alignment horizontal="center" vertical="center"/>
    </xf>
    <xf numFmtId="0" fontId="15" fillId="2" borderId="172" xfId="68" applyFont="1" applyFill="1" applyBorder="1" applyAlignment="1">
      <alignment horizontal="center" vertical="center"/>
    </xf>
    <xf numFmtId="0" fontId="15" fillId="2" borderId="47" xfId="68" applyFont="1" applyFill="1" applyBorder="1" applyAlignment="1">
      <alignment horizontal="center" vertical="center"/>
    </xf>
    <xf numFmtId="0" fontId="15" fillId="2" borderId="89" xfId="68" applyFont="1" applyFill="1" applyBorder="1" applyAlignment="1">
      <alignment horizontal="center" vertical="center"/>
    </xf>
    <xf numFmtId="0" fontId="15" fillId="2" borderId="65" xfId="68" applyFont="1" applyFill="1" applyBorder="1" applyAlignment="1">
      <alignment horizontal="center" vertical="center"/>
    </xf>
    <xf numFmtId="0" fontId="15" fillId="2" borderId="64" xfId="68" applyFont="1" applyFill="1" applyBorder="1" applyAlignment="1">
      <alignment horizontal="center" vertical="center"/>
    </xf>
    <xf numFmtId="0" fontId="15" fillId="2" borderId="54" xfId="68" applyFont="1" applyFill="1" applyBorder="1" applyAlignment="1">
      <alignment horizontal="center" vertical="center"/>
    </xf>
    <xf numFmtId="0" fontId="15" fillId="0" borderId="168" xfId="68" applyFont="1" applyBorder="1" applyAlignment="1" applyProtection="1">
      <alignment horizontal="center" vertical="center" wrapText="1"/>
      <protection locked="0"/>
    </xf>
    <xf numFmtId="0" fontId="15" fillId="0" borderId="39" xfId="68" applyFont="1" applyBorder="1" applyAlignment="1" applyProtection="1">
      <alignment horizontal="center" vertical="center" wrapText="1"/>
      <protection locked="0"/>
    </xf>
    <xf numFmtId="0" fontId="15" fillId="0" borderId="28" xfId="68" applyFont="1" applyBorder="1" applyAlignment="1" applyProtection="1">
      <alignment horizontal="center" vertical="center"/>
      <protection locked="0"/>
    </xf>
    <xf numFmtId="0" fontId="15" fillId="0" borderId="26" xfId="68" applyFont="1" applyBorder="1" applyAlignment="1" applyProtection="1">
      <alignment horizontal="center" vertical="center"/>
      <protection locked="0"/>
    </xf>
    <xf numFmtId="0" fontId="15" fillId="0" borderId="96" xfId="68" applyFont="1" applyBorder="1" applyAlignment="1" applyProtection="1">
      <alignment horizontal="center" vertical="center"/>
      <protection locked="0"/>
    </xf>
    <xf numFmtId="0" fontId="15" fillId="0" borderId="43" xfId="68" applyFont="1" applyBorder="1" applyAlignment="1" applyProtection="1">
      <alignment horizontal="center" vertical="center"/>
      <protection locked="0"/>
    </xf>
    <xf numFmtId="0" fontId="15" fillId="2" borderId="97" xfId="68" applyFont="1" applyFill="1" applyBorder="1" applyAlignment="1">
      <alignment horizontal="center" vertical="center"/>
    </xf>
    <xf numFmtId="0" fontId="15" fillId="2" borderId="98" xfId="68" applyFont="1" applyFill="1" applyBorder="1" applyAlignment="1">
      <alignment horizontal="center" vertical="center"/>
    </xf>
    <xf numFmtId="0" fontId="15" fillId="2" borderId="70" xfId="68" applyFont="1" applyFill="1" applyBorder="1" applyAlignment="1">
      <alignment horizontal="center" vertical="center"/>
    </xf>
    <xf numFmtId="0" fontId="15" fillId="2" borderId="71" xfId="68" applyFont="1" applyFill="1" applyBorder="1" applyAlignment="1">
      <alignment horizontal="center" vertical="center"/>
    </xf>
    <xf numFmtId="0" fontId="15" fillId="2" borderId="51" xfId="68" applyFont="1" applyFill="1" applyBorder="1" applyAlignment="1">
      <alignment horizontal="center" vertical="center"/>
    </xf>
    <xf numFmtId="0" fontId="15" fillId="2" borderId="46" xfId="68" applyFont="1" applyFill="1" applyBorder="1" applyAlignment="1">
      <alignment horizontal="center" vertical="center"/>
    </xf>
    <xf numFmtId="0" fontId="15" fillId="2" borderId="50" xfId="68" applyFont="1" applyFill="1" applyBorder="1" applyAlignment="1">
      <alignment horizontal="center" vertical="center"/>
    </xf>
    <xf numFmtId="0" fontId="15" fillId="2" borderId="45" xfId="68" applyFont="1" applyFill="1" applyBorder="1" applyAlignment="1">
      <alignment horizontal="center" vertical="center"/>
    </xf>
    <xf numFmtId="0" fontId="15" fillId="2" borderId="106" xfId="68" applyFont="1" applyFill="1" applyBorder="1" applyAlignment="1">
      <alignment horizontal="center" vertical="center"/>
    </xf>
    <xf numFmtId="0" fontId="15" fillId="2" borderId="160" xfId="68" applyFont="1" applyFill="1" applyBorder="1" applyAlignment="1">
      <alignment horizontal="center" vertical="center"/>
    </xf>
    <xf numFmtId="0" fontId="15" fillId="4" borderId="6" xfId="566" applyFont="1" applyFill="1" applyBorder="1" applyAlignment="1" applyProtection="1">
      <alignment horizontal="center" vertical="center"/>
      <protection locked="0"/>
    </xf>
    <xf numFmtId="0" fontId="1" fillId="0" borderId="53" xfId="564" applyBorder="1" applyAlignment="1" applyProtection="1">
      <alignment horizontal="center" vertical="center"/>
      <protection locked="0"/>
    </xf>
    <xf numFmtId="0" fontId="15" fillId="4" borderId="88" xfId="566" applyFont="1" applyFill="1" applyBorder="1" applyAlignment="1" applyProtection="1">
      <alignment horizontal="left" vertical="center"/>
      <protection locked="0"/>
    </xf>
    <xf numFmtId="0" fontId="15" fillId="4" borderId="190" xfId="566" applyFont="1" applyFill="1" applyBorder="1" applyAlignment="1" applyProtection="1">
      <alignment horizontal="left" vertical="center"/>
      <protection locked="0"/>
    </xf>
    <xf numFmtId="0" fontId="15" fillId="4" borderId="73" xfId="566" applyFont="1" applyFill="1" applyBorder="1" applyAlignment="1" applyProtection="1">
      <alignment horizontal="center" vertical="center"/>
      <protection locked="0"/>
    </xf>
    <xf numFmtId="0" fontId="1" fillId="0" borderId="196" xfId="564" applyBorder="1" applyAlignment="1" applyProtection="1">
      <alignment horizontal="center" vertical="center"/>
      <protection locked="0"/>
    </xf>
    <xf numFmtId="0" fontId="15" fillId="0" borderId="204" xfId="68" applyFont="1" applyBorder="1" applyAlignment="1" applyProtection="1">
      <alignment horizontal="center" vertical="center"/>
      <protection locked="0"/>
    </xf>
    <xf numFmtId="0" fontId="1" fillId="0" borderId="205" xfId="564" applyBorder="1" applyAlignment="1" applyProtection="1">
      <alignment horizontal="center" vertical="center"/>
      <protection locked="0"/>
    </xf>
    <xf numFmtId="0" fontId="15" fillId="0" borderId="100" xfId="68" applyFont="1" applyBorder="1" applyProtection="1">
      <alignment vertical="center"/>
      <protection locked="0"/>
    </xf>
    <xf numFmtId="0" fontId="15" fillId="0" borderId="206" xfId="68" applyFont="1" applyBorder="1" applyProtection="1">
      <alignment vertical="center"/>
      <protection locked="0"/>
    </xf>
    <xf numFmtId="0" fontId="15" fillId="0" borderId="205" xfId="68" applyFont="1" applyBorder="1" applyProtection="1">
      <alignment vertical="center"/>
      <protection locked="0"/>
    </xf>
    <xf numFmtId="0" fontId="15" fillId="2" borderId="186" xfId="68" applyFont="1" applyFill="1" applyBorder="1" applyAlignment="1">
      <alignment horizontal="center" vertical="center"/>
    </xf>
    <xf numFmtId="0" fontId="15" fillId="2" borderId="188" xfId="68" applyFont="1" applyFill="1" applyBorder="1" applyAlignment="1">
      <alignment horizontal="center" vertical="center"/>
    </xf>
    <xf numFmtId="0" fontId="15" fillId="2" borderId="180" xfId="68" applyFont="1" applyFill="1" applyBorder="1" applyAlignment="1">
      <alignment horizontal="center" vertical="center"/>
    </xf>
    <xf numFmtId="0" fontId="15" fillId="2" borderId="171" xfId="68" applyFont="1" applyFill="1" applyBorder="1" applyAlignment="1">
      <alignment horizontal="center" vertical="center" wrapText="1"/>
    </xf>
    <xf numFmtId="0" fontId="15" fillId="2" borderId="72" xfId="68" applyFont="1" applyFill="1" applyBorder="1" applyAlignment="1">
      <alignment horizontal="center" vertical="center" wrapText="1"/>
    </xf>
    <xf numFmtId="0" fontId="15" fillId="2" borderId="167" xfId="68" applyFont="1" applyFill="1" applyBorder="1" applyAlignment="1">
      <alignment horizontal="center" vertical="center"/>
    </xf>
    <xf numFmtId="0" fontId="15" fillId="2" borderId="169" xfId="68" applyFont="1" applyFill="1" applyBorder="1" applyAlignment="1">
      <alignment horizontal="center" vertical="center"/>
    </xf>
  </cellXfs>
  <cellStyles count="572">
    <cellStyle name="_xffff__x0005__xffff_" xfId="72" xr:uid="{00000000-0005-0000-0000-000000000000}"/>
    <cellStyle name="-" xfId="73" xr:uid="{00000000-0005-0000-0000-000001000000}"/>
    <cellStyle name=";;;" xfId="74" xr:uid="{00000000-0005-0000-0000-000002000000}"/>
    <cellStyle name="?_x0005_?" xfId="75" xr:uid="{00000000-0005-0000-0000-000003000000}"/>
    <cellStyle name="?? [0.00]_laroux" xfId="76" xr:uid="{00000000-0005-0000-0000-000004000000}"/>
    <cellStyle name="?? [0]_VERA" xfId="77" xr:uid="{00000000-0005-0000-0000-000005000000}"/>
    <cellStyle name="???" xfId="78" xr:uid="{00000000-0005-0000-0000-000006000000}"/>
    <cellStyle name="????" xfId="79" xr:uid="{00000000-0005-0000-0000-000007000000}"/>
    <cellStyle name="???? [0.00]_laroux" xfId="80" xr:uid="{00000000-0005-0000-0000-000008000000}"/>
    <cellStyle name="?????_VERA" xfId="81" xr:uid="{00000000-0005-0000-0000-000009000000}"/>
    <cellStyle name="????_laroux" xfId="82" xr:uid="{00000000-0005-0000-0000-00000A000000}"/>
    <cellStyle name="??_AP" xfId="83" xr:uid="{00000000-0005-0000-0000-00000B000000}"/>
    <cellStyle name="?・a??e [0.00]_Book2" xfId="84" xr:uid="{00000000-0005-0000-0000-00000C000000}"/>
    <cellStyle name="?・a??e_Book2]_" xfId="85" xr:uid="{00000000-0005-0000-0000-00000D000000}"/>
    <cellStyle name="?…?a唇?e [0.00]_Book2" xfId="86" xr:uid="{00000000-0005-0000-0000-00000E000000}"/>
    <cellStyle name="?…?a唇?e_Book2]_" xfId="87" xr:uid="{00000000-0005-0000-0000-00000F000000}"/>
    <cellStyle name="?W?_?f??^ (2)\?" xfId="88" xr:uid="{00000000-0005-0000-0000-000010000000}"/>
    <cellStyle name="?W準_?f?o‘O‰n香EAL_B" xfId="89" xr:uid="{00000000-0005-0000-0000-000011000000}"/>
    <cellStyle name="_1表紙～ｺﾝｾﾌﾟﾄ" xfId="90" xr:uid="{00000000-0005-0000-0000-000012000000}"/>
    <cellStyle name="_1表紙～ｺﾝｾﾌﾟﾄ.xls グラフ 16" xfId="91" xr:uid="{00000000-0005-0000-0000-000013000000}"/>
    <cellStyle name="_1表紙～ｺﾝｾﾌﾟﾄ.xls グラフ 16_1" xfId="92" xr:uid="{00000000-0005-0000-0000-000014000000}"/>
    <cellStyle name="_1表紙～ｺﾝｾﾌﾟﾄ.xls グラフ 16_2" xfId="93" xr:uid="{00000000-0005-0000-0000-000015000000}"/>
    <cellStyle name="_1表紙～ｺﾝｾﾌﾟﾄ.xls グラフ 16_3" xfId="94" xr:uid="{00000000-0005-0000-0000-000016000000}"/>
    <cellStyle name="_1表紙～ｺﾝｾﾌﾟﾄ_1" xfId="95" xr:uid="{00000000-0005-0000-0000-000017000000}"/>
    <cellStyle name="_1表紙～ｺﾝｾﾌﾟﾄ_2" xfId="96" xr:uid="{00000000-0005-0000-0000-000018000000}"/>
    <cellStyle name="_1表紙～ｺﾝｾﾌﾟﾄ_3" xfId="97" xr:uid="{00000000-0005-0000-0000-000019000000}"/>
    <cellStyle name="_２管理提案（目次）" xfId="98" xr:uid="{00000000-0005-0000-0000-00001A000000}"/>
    <cellStyle name="_２管理提案（目次）_1" xfId="99" xr:uid="{00000000-0005-0000-0000-00001B000000}"/>
    <cellStyle name="_２管理提案（目次）_2" xfId="100" xr:uid="{00000000-0005-0000-0000-00001C000000}"/>
    <cellStyle name="_２管理提案（目次）_3" xfId="101" xr:uid="{00000000-0005-0000-0000-00001D000000}"/>
    <cellStyle name="_４管理提案（ｺﾝｾﾌﾟﾄ）" xfId="102" xr:uid="{00000000-0005-0000-0000-00001E000000}"/>
    <cellStyle name="_４管理提案（ｺﾝｾﾌﾟﾄ）_1" xfId="103" xr:uid="{00000000-0005-0000-0000-00001F000000}"/>
    <cellStyle name="_４管理提案（ｺﾝｾﾌﾟﾄ）_2" xfId="104" xr:uid="{00000000-0005-0000-0000-000020000000}"/>
    <cellStyle name="_４管理提案（ｺﾝｾﾌﾟﾄ）_3" xfId="105" xr:uid="{00000000-0005-0000-0000-000021000000}"/>
    <cellStyle name="_５管理提案（教育体制）" xfId="106" xr:uid="{00000000-0005-0000-0000-000022000000}"/>
    <cellStyle name="_５管理提案（教育体制）_1" xfId="107" xr:uid="{00000000-0005-0000-0000-000023000000}"/>
    <cellStyle name="_５管理提案（教育体制）_2" xfId="108" xr:uid="{00000000-0005-0000-0000-000024000000}"/>
    <cellStyle name="_５管理提案（教育体制）_3" xfId="109" xr:uid="{00000000-0005-0000-0000-000025000000}"/>
    <cellStyle name="_６管理提案（年間計画）" xfId="110" xr:uid="{00000000-0005-0000-0000-000026000000}"/>
    <cellStyle name="_６管理提案（年間計画）_1" xfId="111" xr:uid="{00000000-0005-0000-0000-000027000000}"/>
    <cellStyle name="_６管理提案（年間計画）_2" xfId="112" xr:uid="{00000000-0005-0000-0000-000028000000}"/>
    <cellStyle name="_６管理提案（年間計画）_3" xfId="113" xr:uid="{00000000-0005-0000-0000-000029000000}"/>
    <cellStyle name="_７管理提案（ﾊﾞｯｸｱｯﾌﾟ）" xfId="114" xr:uid="{00000000-0005-0000-0000-00002A000000}"/>
    <cellStyle name="_７管理提案（ﾊﾞｯｸｱｯﾌﾟ）_1" xfId="115" xr:uid="{00000000-0005-0000-0000-00002B000000}"/>
    <cellStyle name="_７管理提案（ﾊﾞｯｸｱｯﾌﾟ）_2" xfId="116" xr:uid="{00000000-0005-0000-0000-00002C000000}"/>
    <cellStyle name="_７管理提案（ﾊﾞｯｸｱｯﾌﾟ）_3" xfId="117" xr:uid="{00000000-0005-0000-0000-00002D000000}"/>
    <cellStyle name="_８管理提案（長期１）" xfId="118" xr:uid="{00000000-0005-0000-0000-00002E000000}"/>
    <cellStyle name="_８管理提案（長期１）_1" xfId="119" xr:uid="{00000000-0005-0000-0000-00002F000000}"/>
    <cellStyle name="_８管理提案（長期１）_2" xfId="120" xr:uid="{00000000-0005-0000-0000-000030000000}"/>
    <cellStyle name="_８管理提案（長期１）_3" xfId="121" xr:uid="{00000000-0005-0000-0000-000031000000}"/>
    <cellStyle name="_８管理提案(長期２)" xfId="122" xr:uid="{00000000-0005-0000-0000-000032000000}"/>
    <cellStyle name="_９管理提案（管理方式）" xfId="123" xr:uid="{00000000-0005-0000-0000-000033000000}"/>
    <cellStyle name="_９管理提案（管理方式）_1" xfId="124" xr:uid="{00000000-0005-0000-0000-000034000000}"/>
    <cellStyle name="_９管理提案（管理方式）_2" xfId="125" xr:uid="{00000000-0005-0000-0000-000035000000}"/>
    <cellStyle name="_９管理提案（管理方式）_3" xfId="126" xr:uid="{00000000-0005-0000-0000-000036000000}"/>
    <cellStyle name="_Comma" xfId="127" xr:uid="{00000000-0005-0000-0000-000037000000}"/>
    <cellStyle name="_Currency" xfId="128" xr:uid="{00000000-0005-0000-0000-000038000000}"/>
    <cellStyle name="_CurrencySpace" xfId="129" xr:uid="{00000000-0005-0000-0000-000039000000}"/>
    <cellStyle name="_kanri" xfId="130" xr:uid="{00000000-0005-0000-0000-00003A000000}"/>
    <cellStyle name="_kanri_1" xfId="131" xr:uid="{00000000-0005-0000-0000-00003B000000}"/>
    <cellStyle name="_kanri_2" xfId="132" xr:uid="{00000000-0005-0000-0000-00003C000000}"/>
    <cellStyle name="_kanri_3" xfId="133" xr:uid="{00000000-0005-0000-0000-00003D000000}"/>
    <cellStyle name="_Multiple" xfId="134" xr:uid="{00000000-0005-0000-0000-00003E000000}"/>
    <cellStyle name="_MultipleSpace" xfId="135" xr:uid="{00000000-0005-0000-0000-00003F000000}"/>
    <cellStyle name="_Percent" xfId="136" xr:uid="{00000000-0005-0000-0000-000040000000}"/>
    <cellStyle name="_PercentSpace" xfId="137" xr:uid="{00000000-0005-0000-0000-000041000000}"/>
    <cellStyle name="_リニューアル工事.xls グラフ 175" xfId="138" xr:uid="{00000000-0005-0000-0000-000042000000}"/>
    <cellStyle name="_リニューアル工事.xls グラフ 175_1" xfId="139" xr:uid="{00000000-0005-0000-0000-000043000000}"/>
    <cellStyle name="_リニューアル工事.xls グラフ 175_2" xfId="140" xr:uid="{00000000-0005-0000-0000-000044000000}"/>
    <cellStyle name="_リニューアル工事.xls グラフ 175_3" xfId="141" xr:uid="{00000000-0005-0000-0000-000045000000}"/>
    <cellStyle name="_リニューアル工事.xls グラフ 176" xfId="142" xr:uid="{00000000-0005-0000-0000-000046000000}"/>
    <cellStyle name="_リニューアル工事.xls グラフ 176_1" xfId="143" xr:uid="{00000000-0005-0000-0000-000047000000}"/>
    <cellStyle name="_リニューアル工事.xls グラフ 176_2" xfId="144" xr:uid="{00000000-0005-0000-0000-000048000000}"/>
    <cellStyle name="_リニューアル工事.xls グラフ 176_3" xfId="145" xr:uid="{00000000-0005-0000-0000-000049000000}"/>
    <cellStyle name="_リニューアル工事.xls グラフ 3" xfId="146" xr:uid="{00000000-0005-0000-0000-00004A000000}"/>
    <cellStyle name="_リニューアル工事.xls グラフ 3_1" xfId="147" xr:uid="{00000000-0005-0000-0000-00004B000000}"/>
    <cellStyle name="_リニューアル工事.xls グラフ 3_2" xfId="148" xr:uid="{00000000-0005-0000-0000-00004C000000}"/>
    <cellStyle name="_リニューアル工事.xls グラフ 3_3" xfId="149" xr:uid="{00000000-0005-0000-0000-00004D000000}"/>
    <cellStyle name="_リニューアル工事.xls グラフ 4" xfId="150" xr:uid="{00000000-0005-0000-0000-00004E000000}"/>
    <cellStyle name="_リニューアル工事.xls グラフ 4_1" xfId="151" xr:uid="{00000000-0005-0000-0000-00004F000000}"/>
    <cellStyle name="_リニューアル工事.xls グラフ 4_2" xfId="152" xr:uid="{00000000-0005-0000-0000-000050000000}"/>
    <cellStyle name="_リニューアル工事.xls グラフ 4_3" xfId="153" xr:uid="{00000000-0005-0000-0000-000051000000}"/>
    <cellStyle name="_管理提案（本   文）" xfId="154" xr:uid="{00000000-0005-0000-0000-000052000000}"/>
    <cellStyle name="_管理提案（本   文）_1" xfId="155" xr:uid="{00000000-0005-0000-0000-000053000000}"/>
    <cellStyle name="_管理提案（本   文）_2" xfId="156" xr:uid="{00000000-0005-0000-0000-000054000000}"/>
    <cellStyle name="_管理提案（本   文）_3" xfId="157" xr:uid="{00000000-0005-0000-0000-000055000000}"/>
    <cellStyle name="_管理提案（本   文）－２" xfId="158" xr:uid="{00000000-0005-0000-0000-000056000000}"/>
    <cellStyle name="_管理提案（本   文）－２_1" xfId="159" xr:uid="{00000000-0005-0000-0000-000057000000}"/>
    <cellStyle name="_管理提案（本   文）－２_2" xfId="160" xr:uid="{00000000-0005-0000-0000-000058000000}"/>
    <cellStyle name="_管理提案（本   文）－２_3" xfId="161" xr:uid="{00000000-0005-0000-0000-000059000000}"/>
    <cellStyle name="_管理提案（目　次）２" xfId="162" xr:uid="{00000000-0005-0000-0000-00005A000000}"/>
    <cellStyle name="_管理提案（目　次）２_1" xfId="163" xr:uid="{00000000-0005-0000-0000-00005B000000}"/>
    <cellStyle name="_管理提案（目　次）２_2" xfId="164" xr:uid="{00000000-0005-0000-0000-00005C000000}"/>
    <cellStyle name="_管理提案（目　次）２_3" xfId="165" xr:uid="{00000000-0005-0000-0000-00005D000000}"/>
    <cellStyle name="_管理提案書A3.xls グラフ 4" xfId="166" xr:uid="{00000000-0005-0000-0000-00005E000000}"/>
    <cellStyle name="_管理提案書A3.xls グラフ 4_1" xfId="167" xr:uid="{00000000-0005-0000-0000-00005F000000}"/>
    <cellStyle name="_管理提案書A3.xls グラフ 4_2" xfId="168" xr:uid="{00000000-0005-0000-0000-000060000000}"/>
    <cellStyle name="_管理提案書A3.xls グラフ 4_3" xfId="169" xr:uid="{00000000-0005-0000-0000-000061000000}"/>
    <cellStyle name="_管理提案書A3.xls グラフ 5" xfId="170" xr:uid="{00000000-0005-0000-0000-000062000000}"/>
    <cellStyle name="_管理提案書A3.xls グラフ 5_1" xfId="171" xr:uid="{00000000-0005-0000-0000-000063000000}"/>
    <cellStyle name="_管理提案書A3.xls グラフ 5_2" xfId="172" xr:uid="{00000000-0005-0000-0000-000064000000}"/>
    <cellStyle name="_管理提案書A3.xls グラフ 5_3" xfId="173" xr:uid="{00000000-0005-0000-0000-000065000000}"/>
    <cellStyle name="_管理提案書A3.xls グラフ 9" xfId="174" xr:uid="{00000000-0005-0000-0000-000066000000}"/>
    <cellStyle name="_管理提案書A3.xls グラフ 9_1" xfId="175" xr:uid="{00000000-0005-0000-0000-000067000000}"/>
    <cellStyle name="_管理提案書A3.xls グラフ 9_2" xfId="176" xr:uid="{00000000-0005-0000-0000-000068000000}"/>
    <cellStyle name="_管理提案書A3.xls グラフ 9_3" xfId="177" xr:uid="{00000000-0005-0000-0000-000069000000}"/>
    <cellStyle name="_室町ＮＳビル総合管理提案２" xfId="178" xr:uid="{00000000-0005-0000-0000-00006A000000}"/>
    <cellStyle name="_室町ＮＳビル総合管理提案２.xls グラフ 3" xfId="179" xr:uid="{00000000-0005-0000-0000-00006B000000}"/>
    <cellStyle name="_室町ＮＳビル総合管理提案２.xls グラフ 3_1" xfId="180" xr:uid="{00000000-0005-0000-0000-00006C000000}"/>
    <cellStyle name="_室町ＮＳビル総合管理提案２.xls グラフ 3_2" xfId="181" xr:uid="{00000000-0005-0000-0000-00006D000000}"/>
    <cellStyle name="_室町ＮＳビル総合管理提案２.xls グラフ 3_3" xfId="182" xr:uid="{00000000-0005-0000-0000-00006E000000}"/>
    <cellStyle name="_室町ＮＳビル総合管理提案２.xls グラフ 4" xfId="183" xr:uid="{00000000-0005-0000-0000-00006F000000}"/>
    <cellStyle name="_室町ＮＳビル総合管理提案２.xls グラフ 4_1" xfId="184" xr:uid="{00000000-0005-0000-0000-000070000000}"/>
    <cellStyle name="_室町ＮＳビル総合管理提案２.xls グラフ 4_2" xfId="185" xr:uid="{00000000-0005-0000-0000-000071000000}"/>
    <cellStyle name="_室町ＮＳビル総合管理提案２.xls グラフ 4_3" xfId="186" xr:uid="{00000000-0005-0000-0000-000072000000}"/>
    <cellStyle name="_室町ＮＳビル総合管理提案２.xls グラフ 8" xfId="187" xr:uid="{00000000-0005-0000-0000-000073000000}"/>
    <cellStyle name="_室町ＮＳビル総合管理提案２.xls グラフ 8_1" xfId="188" xr:uid="{00000000-0005-0000-0000-000074000000}"/>
    <cellStyle name="_室町ＮＳビル総合管理提案２.xls グラフ 8_2" xfId="189" xr:uid="{00000000-0005-0000-0000-000075000000}"/>
    <cellStyle name="_室町ＮＳビル総合管理提案２.xls グラフ 8_3" xfId="190" xr:uid="{00000000-0005-0000-0000-000076000000}"/>
    <cellStyle name="_室町ＮＳビル総合管理提案２_1" xfId="191" xr:uid="{00000000-0005-0000-0000-000077000000}"/>
    <cellStyle name="_室町ＮＳビル総合管理提案２_2" xfId="192" xr:uid="{00000000-0005-0000-0000-000078000000}"/>
    <cellStyle name="_室町ＮＳビル総合管理提案２_3" xfId="193" xr:uid="{00000000-0005-0000-0000-000079000000}"/>
    <cellStyle name="_提案書2-2" xfId="194" xr:uid="{00000000-0005-0000-0000-00007A000000}"/>
    <cellStyle name="_提案書2-2_1" xfId="195" xr:uid="{00000000-0005-0000-0000-00007B000000}"/>
    <cellStyle name="_提案書2-2_2" xfId="196" xr:uid="{00000000-0005-0000-0000-00007C000000}"/>
    <cellStyle name="_提案書2-2_3" xfId="197" xr:uid="{00000000-0005-0000-0000-00007D000000}"/>
    <cellStyle name="’E‰Y [0.00]_?f?o‘O‰n香ELpect" xfId="198" xr:uid="{00000000-0005-0000-0000-00007E000000}"/>
    <cellStyle name="’E‰Y_?f?o‘O‰n香ESONAL" xfId="199" xr:uid="{00000000-0005-0000-0000-00007F000000}"/>
    <cellStyle name="_x0001_·?_x0001_··?" xfId="200" xr:uid="{00000000-0005-0000-0000-000080000000}"/>
    <cellStyle name="_x0001_·?_x0001_··? 2" xfId="201" xr:uid="{00000000-0005-0000-0000-000081000000}"/>
    <cellStyle name="_x0001_・｢_x0001_・・義" xfId="202" xr:uid="{00000000-0005-0000-0000-000082000000}"/>
    <cellStyle name="_x0001_・｢_x0001_・・義 2" xfId="203" xr:uid="{00000000-0005-0000-0000-000083000000}"/>
    <cellStyle name="121" xfId="204" xr:uid="{00000000-0005-0000-0000-000084000000}"/>
    <cellStyle name="20% - Accent1" xfId="205" xr:uid="{00000000-0005-0000-0000-000085000000}"/>
    <cellStyle name="20% - Accent2" xfId="206" xr:uid="{00000000-0005-0000-0000-000086000000}"/>
    <cellStyle name="20% - Accent3" xfId="207" xr:uid="{00000000-0005-0000-0000-000087000000}"/>
    <cellStyle name="20% - Accent4" xfId="208" xr:uid="{00000000-0005-0000-0000-000088000000}"/>
    <cellStyle name="20% - Accent5" xfId="209" xr:uid="{00000000-0005-0000-0000-000089000000}"/>
    <cellStyle name="20% - Accent6" xfId="210" xr:uid="{00000000-0005-0000-0000-00008A000000}"/>
    <cellStyle name="20% - アクセント 1 2" xfId="211" xr:uid="{00000000-0005-0000-0000-00008B000000}"/>
    <cellStyle name="20% - アクセント 2 2" xfId="212" xr:uid="{00000000-0005-0000-0000-00008C000000}"/>
    <cellStyle name="20% - アクセント 3 2" xfId="213" xr:uid="{00000000-0005-0000-0000-00008D000000}"/>
    <cellStyle name="20% - アクセント 4 2" xfId="214" xr:uid="{00000000-0005-0000-0000-00008E000000}"/>
    <cellStyle name="20% - アクセント 5 2" xfId="215" xr:uid="{00000000-0005-0000-0000-00008F000000}"/>
    <cellStyle name="20% - アクセント 6 2" xfId="216" xr:uid="{00000000-0005-0000-0000-000090000000}"/>
    <cellStyle name="40% - Accent1" xfId="217" xr:uid="{00000000-0005-0000-0000-000091000000}"/>
    <cellStyle name="40% - Accent2" xfId="218" xr:uid="{00000000-0005-0000-0000-000092000000}"/>
    <cellStyle name="40% - Accent3" xfId="219" xr:uid="{00000000-0005-0000-0000-000093000000}"/>
    <cellStyle name="40% - Accent4" xfId="220" xr:uid="{00000000-0005-0000-0000-000094000000}"/>
    <cellStyle name="40% - Accent5" xfId="221" xr:uid="{00000000-0005-0000-0000-000095000000}"/>
    <cellStyle name="40% - Accent6" xfId="222" xr:uid="{00000000-0005-0000-0000-000096000000}"/>
    <cellStyle name="40% - アクセント 1 2" xfId="223" xr:uid="{00000000-0005-0000-0000-000097000000}"/>
    <cellStyle name="40% - アクセント 2 2" xfId="224" xr:uid="{00000000-0005-0000-0000-000098000000}"/>
    <cellStyle name="40% - アクセント 3 2" xfId="225" xr:uid="{00000000-0005-0000-0000-000099000000}"/>
    <cellStyle name="40% - アクセント 4 2" xfId="226" xr:uid="{00000000-0005-0000-0000-00009A000000}"/>
    <cellStyle name="40% - アクセント 5 2" xfId="227" xr:uid="{00000000-0005-0000-0000-00009B000000}"/>
    <cellStyle name="40% - アクセント 6 2" xfId="228" xr:uid="{00000000-0005-0000-0000-00009C000000}"/>
    <cellStyle name="6-0" xfId="229" xr:uid="{00000000-0005-0000-0000-00009D000000}"/>
    <cellStyle name="60% - Accent1" xfId="230" xr:uid="{00000000-0005-0000-0000-00009E000000}"/>
    <cellStyle name="60% - Accent2" xfId="231" xr:uid="{00000000-0005-0000-0000-00009F000000}"/>
    <cellStyle name="60% - Accent3" xfId="232" xr:uid="{00000000-0005-0000-0000-0000A0000000}"/>
    <cellStyle name="60% - Accent4" xfId="233" xr:uid="{00000000-0005-0000-0000-0000A1000000}"/>
    <cellStyle name="60% - Accent5" xfId="234" xr:uid="{00000000-0005-0000-0000-0000A2000000}"/>
    <cellStyle name="60% - Accent6" xfId="235" xr:uid="{00000000-0005-0000-0000-0000A3000000}"/>
    <cellStyle name="60% - アクセント 1 2" xfId="236" xr:uid="{00000000-0005-0000-0000-0000A4000000}"/>
    <cellStyle name="60% - アクセント 2 2" xfId="237" xr:uid="{00000000-0005-0000-0000-0000A5000000}"/>
    <cellStyle name="60% - アクセント 3 2" xfId="238" xr:uid="{00000000-0005-0000-0000-0000A6000000}"/>
    <cellStyle name="60% - アクセント 4 2" xfId="239" xr:uid="{00000000-0005-0000-0000-0000A7000000}"/>
    <cellStyle name="60% - アクセント 5 2" xfId="240" xr:uid="{00000000-0005-0000-0000-0000A8000000}"/>
    <cellStyle name="60% - アクセント 6 2" xfId="241" xr:uid="{00000000-0005-0000-0000-0000A9000000}"/>
    <cellStyle name="A" xfId="242" xr:uid="{00000000-0005-0000-0000-0000AA000000}"/>
    <cellStyle name="Accent1" xfId="243" xr:uid="{00000000-0005-0000-0000-0000AB000000}"/>
    <cellStyle name="Accent1 - 20%" xfId="244" xr:uid="{00000000-0005-0000-0000-0000AC000000}"/>
    <cellStyle name="Accent1 - 40%" xfId="245" xr:uid="{00000000-0005-0000-0000-0000AD000000}"/>
    <cellStyle name="Accent1 - 60%" xfId="246" xr:uid="{00000000-0005-0000-0000-0000AE000000}"/>
    <cellStyle name="Accent2" xfId="247" xr:uid="{00000000-0005-0000-0000-0000AF000000}"/>
    <cellStyle name="Accent2 - 20%" xfId="248" xr:uid="{00000000-0005-0000-0000-0000B0000000}"/>
    <cellStyle name="Accent2 - 40%" xfId="249" xr:uid="{00000000-0005-0000-0000-0000B1000000}"/>
    <cellStyle name="Accent2 - 60%" xfId="250" xr:uid="{00000000-0005-0000-0000-0000B2000000}"/>
    <cellStyle name="Accent3" xfId="251" xr:uid="{00000000-0005-0000-0000-0000B3000000}"/>
    <cellStyle name="Accent3 - 20%" xfId="252" xr:uid="{00000000-0005-0000-0000-0000B4000000}"/>
    <cellStyle name="Accent3 - 40%" xfId="253" xr:uid="{00000000-0005-0000-0000-0000B5000000}"/>
    <cellStyle name="Accent3 - 60%" xfId="254" xr:uid="{00000000-0005-0000-0000-0000B6000000}"/>
    <cellStyle name="Accent4" xfId="255" xr:uid="{00000000-0005-0000-0000-0000B7000000}"/>
    <cellStyle name="Accent4 - 20%" xfId="256" xr:uid="{00000000-0005-0000-0000-0000B8000000}"/>
    <cellStyle name="Accent4 - 40%" xfId="257" xr:uid="{00000000-0005-0000-0000-0000B9000000}"/>
    <cellStyle name="Accent4 - 60%" xfId="258" xr:uid="{00000000-0005-0000-0000-0000BA000000}"/>
    <cellStyle name="Accent5" xfId="259" xr:uid="{00000000-0005-0000-0000-0000BB000000}"/>
    <cellStyle name="Accent5 - 20%" xfId="260" xr:uid="{00000000-0005-0000-0000-0000BC000000}"/>
    <cellStyle name="Accent5 - 40%" xfId="261" xr:uid="{00000000-0005-0000-0000-0000BD000000}"/>
    <cellStyle name="Accent5 - 60%" xfId="262" xr:uid="{00000000-0005-0000-0000-0000BE000000}"/>
    <cellStyle name="Accent6" xfId="263" xr:uid="{00000000-0005-0000-0000-0000BF000000}"/>
    <cellStyle name="Accent6 - 20%" xfId="264" xr:uid="{00000000-0005-0000-0000-0000C0000000}"/>
    <cellStyle name="Accent6 - 40%" xfId="265" xr:uid="{00000000-0005-0000-0000-0000C1000000}"/>
    <cellStyle name="Accent6 - 60%" xfId="266" xr:uid="{00000000-0005-0000-0000-0000C2000000}"/>
    <cellStyle name="Bad" xfId="267" xr:uid="{00000000-0005-0000-0000-0000C3000000}"/>
    <cellStyle name="BoldItalicNoUnderline" xfId="268" xr:uid="{00000000-0005-0000-0000-0000C4000000}"/>
    <cellStyle name="BoldSDoubUnderlineBack" xfId="269" xr:uid="{00000000-0005-0000-0000-0000C5000000}"/>
    <cellStyle name="BoldSingUnderline" xfId="270" xr:uid="{00000000-0005-0000-0000-0000C6000000}"/>
    <cellStyle name="bottomHeavy" xfId="271" xr:uid="{00000000-0005-0000-0000-0000C7000000}"/>
    <cellStyle name="bottomHeavy-w-left" xfId="272" xr:uid="{00000000-0005-0000-0000-0000C8000000}"/>
    <cellStyle name="Calc Currency (0)" xfId="12" xr:uid="{00000000-0005-0000-0000-0000C9000000}"/>
    <cellStyle name="Calc Currency (2)" xfId="273" xr:uid="{00000000-0005-0000-0000-0000CA000000}"/>
    <cellStyle name="Calc Percent (0)" xfId="274" xr:uid="{00000000-0005-0000-0000-0000CB000000}"/>
    <cellStyle name="Calc Percent (1)" xfId="275" xr:uid="{00000000-0005-0000-0000-0000CC000000}"/>
    <cellStyle name="Calc Percent (2)" xfId="276" xr:uid="{00000000-0005-0000-0000-0000CD000000}"/>
    <cellStyle name="Calc Units (0)" xfId="277" xr:uid="{00000000-0005-0000-0000-0000CE000000}"/>
    <cellStyle name="Calc Units (1)" xfId="278" xr:uid="{00000000-0005-0000-0000-0000CF000000}"/>
    <cellStyle name="Calc Units (2)" xfId="279" xr:uid="{00000000-0005-0000-0000-0000D0000000}"/>
    <cellStyle name="Calculation" xfId="280" xr:uid="{00000000-0005-0000-0000-0000D1000000}"/>
    <cellStyle name="Check Cell" xfId="281" xr:uid="{00000000-0005-0000-0000-0000D2000000}"/>
    <cellStyle name="ColumnHeading" xfId="282" xr:uid="{00000000-0005-0000-0000-0000D3000000}"/>
    <cellStyle name="Comma  - Style1" xfId="283" xr:uid="{00000000-0005-0000-0000-0000D4000000}"/>
    <cellStyle name="Comma  - Style2" xfId="284" xr:uid="{00000000-0005-0000-0000-0000D5000000}"/>
    <cellStyle name="Comma  - Style3" xfId="285" xr:uid="{00000000-0005-0000-0000-0000D6000000}"/>
    <cellStyle name="Comma  - Style4" xfId="286" xr:uid="{00000000-0005-0000-0000-0000D7000000}"/>
    <cellStyle name="Comma  - Style5" xfId="287" xr:uid="{00000000-0005-0000-0000-0000D8000000}"/>
    <cellStyle name="Comma  - Style6" xfId="288" xr:uid="{00000000-0005-0000-0000-0000D9000000}"/>
    <cellStyle name="Comma  - Style7" xfId="289" xr:uid="{00000000-0005-0000-0000-0000DA000000}"/>
    <cellStyle name="Comma  - Style8" xfId="290" xr:uid="{00000000-0005-0000-0000-0000DB000000}"/>
    <cellStyle name="Comma (0)" xfId="291" xr:uid="{00000000-0005-0000-0000-0000DC000000}"/>
    <cellStyle name="Comma (1)" xfId="292" xr:uid="{00000000-0005-0000-0000-0000DD000000}"/>
    <cellStyle name="Comma [0]_A" xfId="293" xr:uid="{00000000-0005-0000-0000-0000DE000000}"/>
    <cellStyle name="Comma [00]" xfId="294" xr:uid="{00000000-0005-0000-0000-0000DF000000}"/>
    <cellStyle name="Comma [1]" xfId="295" xr:uid="{00000000-0005-0000-0000-0000E0000000}"/>
    <cellStyle name="Comma_1702H" xfId="296" xr:uid="{00000000-0005-0000-0000-0000E1000000}"/>
    <cellStyle name="Comma0 - Modelo1" xfId="297" xr:uid="{00000000-0005-0000-0000-0000E2000000}"/>
    <cellStyle name="Comma0 - Style1" xfId="298" xr:uid="{00000000-0005-0000-0000-0000E3000000}"/>
    <cellStyle name="Comma1 - Modelo2" xfId="299" xr:uid="{00000000-0005-0000-0000-0000E4000000}"/>
    <cellStyle name="Comma1 - Style2" xfId="300" xr:uid="{00000000-0005-0000-0000-0000E5000000}"/>
    <cellStyle name="CommaFixed" xfId="301" xr:uid="{00000000-0005-0000-0000-0000E6000000}"/>
    <cellStyle name="CommaNoDec" xfId="302" xr:uid="{00000000-0005-0000-0000-0000E7000000}"/>
    <cellStyle name="CommaNoDecTot" xfId="303" xr:uid="{00000000-0005-0000-0000-0000E8000000}"/>
    <cellStyle name="CommaTotTop" xfId="304" xr:uid="{00000000-0005-0000-0000-0000E9000000}"/>
    <cellStyle name="CommaTotTopNoDec" xfId="305" xr:uid="{00000000-0005-0000-0000-0000EA000000}"/>
    <cellStyle name="Contracts" xfId="306" xr:uid="{00000000-0005-0000-0000-0000EB000000}"/>
    <cellStyle name="Currency (0)" xfId="307" xr:uid="{00000000-0005-0000-0000-0000EC000000}"/>
    <cellStyle name="Currency (1)" xfId="308" xr:uid="{00000000-0005-0000-0000-0000ED000000}"/>
    <cellStyle name="Currency [¥]" xfId="309" xr:uid="{00000000-0005-0000-0000-0000EE000000}"/>
    <cellStyle name="Currency [0]_A" xfId="310" xr:uid="{00000000-0005-0000-0000-0000EF000000}"/>
    <cellStyle name="Currency [00]" xfId="311" xr:uid="{00000000-0005-0000-0000-0000F0000000}"/>
    <cellStyle name="Currency [1]" xfId="312" xr:uid="{00000000-0005-0000-0000-0000F1000000}"/>
    <cellStyle name="Currency_A" xfId="313" xr:uid="{00000000-0005-0000-0000-0000F2000000}"/>
    <cellStyle name="CurrencyTotTop[" xfId="314" xr:uid="{00000000-0005-0000-0000-0000F3000000}"/>
    <cellStyle name="D" xfId="315" xr:uid="{00000000-0005-0000-0000-0000F4000000}"/>
    <cellStyle name="Date" xfId="316" xr:uid="{00000000-0005-0000-0000-0000F5000000}"/>
    <cellStyle name="Date (m/d/y)" xfId="317" xr:uid="{00000000-0005-0000-0000-0000F6000000}"/>
    <cellStyle name="Date_補助レポート（追加）" xfId="318" xr:uid="{00000000-0005-0000-0000-0000F7000000}"/>
    <cellStyle name="DATETIME" xfId="319" xr:uid="{00000000-0005-0000-0000-0000F8000000}"/>
    <cellStyle name="Dollars" xfId="320" xr:uid="{00000000-0005-0000-0000-0000F9000000}"/>
    <cellStyle name="Emphasis 1" xfId="321" xr:uid="{00000000-0005-0000-0000-0000FA000000}"/>
    <cellStyle name="Emphasis 2" xfId="322" xr:uid="{00000000-0005-0000-0000-0000FB000000}"/>
    <cellStyle name="Emphasis 3" xfId="323" xr:uid="{00000000-0005-0000-0000-0000FC000000}"/>
    <cellStyle name="entry" xfId="324" xr:uid="{00000000-0005-0000-0000-0000FD000000}"/>
    <cellStyle name="EvenBodyShade" xfId="325" xr:uid="{00000000-0005-0000-0000-0000FE000000}"/>
    <cellStyle name="Explanatory Text" xfId="326" xr:uid="{00000000-0005-0000-0000-0000FF000000}"/>
    <cellStyle name="F1" xfId="327" xr:uid="{00000000-0005-0000-0000-000000010000}"/>
    <cellStyle name="Good" xfId="328" xr:uid="{00000000-0005-0000-0000-000001010000}"/>
    <cellStyle name="GrandTotal" xfId="329" xr:uid="{00000000-0005-0000-0000-000002010000}"/>
    <cellStyle name="Grey" xfId="13" xr:uid="{00000000-0005-0000-0000-000003010000}"/>
    <cellStyle name="Head1" xfId="330" xr:uid="{00000000-0005-0000-0000-000004010000}"/>
    <cellStyle name="Head2" xfId="331" xr:uid="{00000000-0005-0000-0000-000005010000}"/>
    <cellStyle name="Head3" xfId="332" xr:uid="{00000000-0005-0000-0000-000006010000}"/>
    <cellStyle name="Head4" xfId="333" xr:uid="{00000000-0005-0000-0000-000007010000}"/>
    <cellStyle name="Head5" xfId="334" xr:uid="{00000000-0005-0000-0000-000008010000}"/>
    <cellStyle name="Head6" xfId="335" xr:uid="{00000000-0005-0000-0000-000009010000}"/>
    <cellStyle name="Head7" xfId="336" xr:uid="{00000000-0005-0000-0000-00000A010000}"/>
    <cellStyle name="Head8" xfId="337" xr:uid="{00000000-0005-0000-0000-00000B010000}"/>
    <cellStyle name="Head9" xfId="338" xr:uid="{00000000-0005-0000-0000-00000C010000}"/>
    <cellStyle name="Header1" xfId="14" xr:uid="{00000000-0005-0000-0000-00000D010000}"/>
    <cellStyle name="Header2" xfId="15" xr:uid="{00000000-0005-0000-0000-00000E010000}"/>
    <cellStyle name="heading" xfId="339" xr:uid="{00000000-0005-0000-0000-00000F010000}"/>
    <cellStyle name="Heading 1" xfId="340" xr:uid="{00000000-0005-0000-0000-000010010000}"/>
    <cellStyle name="Heading 2" xfId="341" xr:uid="{00000000-0005-0000-0000-000011010000}"/>
    <cellStyle name="Heading 3" xfId="342" xr:uid="{00000000-0005-0000-0000-000012010000}"/>
    <cellStyle name="Heading 4" xfId="343" xr:uid="{00000000-0005-0000-0000-000013010000}"/>
    <cellStyle name="HeadShade" xfId="344" xr:uid="{00000000-0005-0000-0000-000014010000}"/>
    <cellStyle name="I" xfId="345" xr:uid="{00000000-0005-0000-0000-000015010000}"/>
    <cellStyle name="Input" xfId="346" xr:uid="{00000000-0005-0000-0000-000016010000}"/>
    <cellStyle name="Input [yellow]" xfId="16" xr:uid="{00000000-0005-0000-0000-000017010000}"/>
    <cellStyle name="left" xfId="347" xr:uid="{00000000-0005-0000-0000-000018010000}"/>
    <cellStyle name="Linked Cell" xfId="348" xr:uid="{00000000-0005-0000-0000-000019010000}"/>
    <cellStyle name="M" xfId="349" xr:uid="{00000000-0005-0000-0000-00001A010000}"/>
    <cellStyle name="MainData" xfId="17" xr:uid="{00000000-0005-0000-0000-00001B010000}"/>
    <cellStyle name="MajorTotal" xfId="18" xr:uid="{00000000-0005-0000-0000-00001C010000}"/>
    <cellStyle name="Multiple" xfId="350" xr:uid="{00000000-0005-0000-0000-00001D010000}"/>
    <cellStyle name="Multiple [0]" xfId="351" xr:uid="{00000000-0005-0000-0000-00001E010000}"/>
    <cellStyle name="Multiple [1]" xfId="352" xr:uid="{00000000-0005-0000-0000-00001F010000}"/>
    <cellStyle name="Neutral" xfId="353" xr:uid="{00000000-0005-0000-0000-000020010000}"/>
    <cellStyle name="Normal - Style1" xfId="19" xr:uid="{00000000-0005-0000-0000-000021010000}"/>
    <cellStyle name="Normal_#18-Internet" xfId="20" xr:uid="{00000000-0005-0000-0000-000022010000}"/>
    <cellStyle name="NormalBack" xfId="354" xr:uid="{00000000-0005-0000-0000-000023010000}"/>
    <cellStyle name="NormalBorder" xfId="355" xr:uid="{00000000-0005-0000-0000-000024010000}"/>
    <cellStyle name="NormalLeft" xfId="356" xr:uid="{00000000-0005-0000-0000-000025010000}"/>
    <cellStyle name="NormalOPrint_Module_E (2)" xfId="21" xr:uid="{00000000-0005-0000-0000-000026010000}"/>
    <cellStyle name="NormalRightNum" xfId="357" xr:uid="{00000000-0005-0000-0000-000027010000}"/>
    <cellStyle name="NormalRightPercent" xfId="358" xr:uid="{00000000-0005-0000-0000-000028010000}"/>
    <cellStyle name="Note" xfId="359" xr:uid="{00000000-0005-0000-0000-000029010000}"/>
    <cellStyle name="nPlode1" xfId="360" xr:uid="{00000000-0005-0000-0000-00002A010000}"/>
    <cellStyle name="nPlosion" xfId="361" xr:uid="{00000000-0005-0000-0000-00002B010000}"/>
    <cellStyle name="NPRO" xfId="362" xr:uid="{00000000-0005-0000-0000-00002C010000}"/>
    <cellStyle name="OddBodyShade" xfId="363" xr:uid="{00000000-0005-0000-0000-00002D010000}"/>
    <cellStyle name="OutlineSpec" xfId="364" xr:uid="{00000000-0005-0000-0000-00002E010000}"/>
    <cellStyle name="Output" xfId="365" xr:uid="{00000000-0005-0000-0000-00002F010000}"/>
    <cellStyle name="Overscore" xfId="366" xr:uid="{00000000-0005-0000-0000-000030010000}"/>
    <cellStyle name="Overunder" xfId="367" xr:uid="{00000000-0005-0000-0000-000031010000}"/>
    <cellStyle name="P" xfId="368" xr:uid="{00000000-0005-0000-0000-000032010000}"/>
    <cellStyle name="Percent (1)" xfId="369" xr:uid="{00000000-0005-0000-0000-000033010000}"/>
    <cellStyle name="Percent (2)" xfId="370" xr:uid="{00000000-0005-0000-0000-000034010000}"/>
    <cellStyle name="Percent [0]" xfId="371" xr:uid="{00000000-0005-0000-0000-000035010000}"/>
    <cellStyle name="Percent [1]" xfId="372" xr:uid="{00000000-0005-0000-0000-000036010000}"/>
    <cellStyle name="Percent [2]" xfId="22" xr:uid="{00000000-0005-0000-0000-000037010000}"/>
    <cellStyle name="Percent(4places)TotTop" xfId="373" xr:uid="{00000000-0005-0000-0000-000038010000}"/>
    <cellStyle name="Percent_laroux" xfId="374" xr:uid="{00000000-0005-0000-0000-000039010000}"/>
    <cellStyle name="PercentTotal" xfId="375" xr:uid="{00000000-0005-0000-0000-00003A010000}"/>
    <cellStyle name="price" xfId="376" xr:uid="{00000000-0005-0000-0000-00003B010000}"/>
    <cellStyle name="PSChar" xfId="377" xr:uid="{00000000-0005-0000-0000-00003C010000}"/>
    <cellStyle name="PSDate" xfId="378" xr:uid="{00000000-0005-0000-0000-00003D010000}"/>
    <cellStyle name="PSDec" xfId="379" xr:uid="{00000000-0005-0000-0000-00003E010000}"/>
    <cellStyle name="PSHeading" xfId="380" xr:uid="{00000000-0005-0000-0000-00003F010000}"/>
    <cellStyle name="PSInt" xfId="381" xr:uid="{00000000-0005-0000-0000-000040010000}"/>
    <cellStyle name="PSSpacer" xfId="382" xr:uid="{00000000-0005-0000-0000-000041010000}"/>
    <cellStyle name="Reg1" xfId="383" xr:uid="{00000000-0005-0000-0000-000042010000}"/>
    <cellStyle name="Reg2" xfId="384" xr:uid="{00000000-0005-0000-0000-000043010000}"/>
    <cellStyle name="Reg3" xfId="385" xr:uid="{00000000-0005-0000-0000-000044010000}"/>
    <cellStyle name="Reg4" xfId="386" xr:uid="{00000000-0005-0000-0000-000045010000}"/>
    <cellStyle name="Reg5" xfId="387" xr:uid="{00000000-0005-0000-0000-000046010000}"/>
    <cellStyle name="Reg6" xfId="388" xr:uid="{00000000-0005-0000-0000-000047010000}"/>
    <cellStyle name="Reg7" xfId="389" xr:uid="{00000000-0005-0000-0000-000048010000}"/>
    <cellStyle name="Reg8" xfId="390" xr:uid="{00000000-0005-0000-0000-000049010000}"/>
    <cellStyle name="Reg9" xfId="391" xr:uid="{00000000-0005-0000-0000-00004A010000}"/>
    <cellStyle name="revised" xfId="392" xr:uid="{00000000-0005-0000-0000-00004B010000}"/>
    <cellStyle name="SAPBEXaggData" xfId="393" xr:uid="{00000000-0005-0000-0000-00004C010000}"/>
    <cellStyle name="SAPBEXaggDataEmph" xfId="394" xr:uid="{00000000-0005-0000-0000-00004D010000}"/>
    <cellStyle name="SAPBEXaggItem" xfId="395" xr:uid="{00000000-0005-0000-0000-00004E010000}"/>
    <cellStyle name="SAPBEXaggItemX" xfId="396" xr:uid="{00000000-0005-0000-0000-00004F010000}"/>
    <cellStyle name="SAPBEXchaText" xfId="397" xr:uid="{00000000-0005-0000-0000-000050010000}"/>
    <cellStyle name="SAPBEXexcBad7" xfId="398" xr:uid="{00000000-0005-0000-0000-000051010000}"/>
    <cellStyle name="SAPBEXexcBad8" xfId="399" xr:uid="{00000000-0005-0000-0000-000052010000}"/>
    <cellStyle name="SAPBEXexcBad9" xfId="400" xr:uid="{00000000-0005-0000-0000-000053010000}"/>
    <cellStyle name="SAPBEXexcCritical4" xfId="401" xr:uid="{00000000-0005-0000-0000-000054010000}"/>
    <cellStyle name="SAPBEXexcCritical5" xfId="402" xr:uid="{00000000-0005-0000-0000-000055010000}"/>
    <cellStyle name="SAPBEXexcCritical6" xfId="403" xr:uid="{00000000-0005-0000-0000-000056010000}"/>
    <cellStyle name="SAPBEXexcGood1" xfId="404" xr:uid="{00000000-0005-0000-0000-000057010000}"/>
    <cellStyle name="SAPBEXexcGood2" xfId="405" xr:uid="{00000000-0005-0000-0000-000058010000}"/>
    <cellStyle name="SAPBEXexcGood3" xfId="406" xr:uid="{00000000-0005-0000-0000-000059010000}"/>
    <cellStyle name="SAPBEXfilterDrill" xfId="407" xr:uid="{00000000-0005-0000-0000-00005A010000}"/>
    <cellStyle name="SAPBEXfilterItem" xfId="408" xr:uid="{00000000-0005-0000-0000-00005B010000}"/>
    <cellStyle name="SAPBEXfilterText" xfId="409" xr:uid="{00000000-0005-0000-0000-00005C010000}"/>
    <cellStyle name="SAPBEXformats" xfId="410" xr:uid="{00000000-0005-0000-0000-00005D010000}"/>
    <cellStyle name="SAPBEXheaderItem" xfId="411" xr:uid="{00000000-0005-0000-0000-00005E010000}"/>
    <cellStyle name="SAPBEXheaderText" xfId="412" xr:uid="{00000000-0005-0000-0000-00005F010000}"/>
    <cellStyle name="SAPBEXHLevel0" xfId="413" xr:uid="{00000000-0005-0000-0000-000060010000}"/>
    <cellStyle name="SAPBEXHLevel0X" xfId="414" xr:uid="{00000000-0005-0000-0000-000061010000}"/>
    <cellStyle name="SAPBEXHLevel1" xfId="415" xr:uid="{00000000-0005-0000-0000-000062010000}"/>
    <cellStyle name="SAPBEXHLevel1X" xfId="416" xr:uid="{00000000-0005-0000-0000-000063010000}"/>
    <cellStyle name="SAPBEXHLevel2" xfId="417" xr:uid="{00000000-0005-0000-0000-000064010000}"/>
    <cellStyle name="SAPBEXHLevel2X" xfId="418" xr:uid="{00000000-0005-0000-0000-000065010000}"/>
    <cellStyle name="SAPBEXHLevel3" xfId="419" xr:uid="{00000000-0005-0000-0000-000066010000}"/>
    <cellStyle name="SAPBEXHLevel3X" xfId="420" xr:uid="{00000000-0005-0000-0000-000067010000}"/>
    <cellStyle name="SAPBEXinputData" xfId="421" xr:uid="{00000000-0005-0000-0000-000068010000}"/>
    <cellStyle name="SAPBEXresData" xfId="422" xr:uid="{00000000-0005-0000-0000-000069010000}"/>
    <cellStyle name="SAPBEXresDataEmph" xfId="423" xr:uid="{00000000-0005-0000-0000-00006A010000}"/>
    <cellStyle name="SAPBEXresItem" xfId="424" xr:uid="{00000000-0005-0000-0000-00006B010000}"/>
    <cellStyle name="SAPBEXresItemX" xfId="425" xr:uid="{00000000-0005-0000-0000-00006C010000}"/>
    <cellStyle name="SAPBEXstdData" xfId="426" xr:uid="{00000000-0005-0000-0000-00006D010000}"/>
    <cellStyle name="SAPBEXstdDataEmph" xfId="427" xr:uid="{00000000-0005-0000-0000-00006E010000}"/>
    <cellStyle name="SAPBEXstdItem" xfId="428" xr:uid="{00000000-0005-0000-0000-00006F010000}"/>
    <cellStyle name="SAPBEXstdItemX" xfId="429" xr:uid="{00000000-0005-0000-0000-000070010000}"/>
    <cellStyle name="SAPBEXtitle" xfId="430" xr:uid="{00000000-0005-0000-0000-000071010000}"/>
    <cellStyle name="SAPBEXundefined" xfId="431" xr:uid="{00000000-0005-0000-0000-000072010000}"/>
    <cellStyle name="section" xfId="432" xr:uid="{00000000-0005-0000-0000-000073010000}"/>
    <cellStyle name="Sheet Title" xfId="433" xr:uid="{00000000-0005-0000-0000-000074010000}"/>
    <cellStyle name="SpecialHeader" xfId="434" xr:uid="{00000000-0005-0000-0000-000075010000}"/>
    <cellStyle name="subhead" xfId="435" xr:uid="{00000000-0005-0000-0000-000076010000}"/>
    <cellStyle name="SubHeader" xfId="436" xr:uid="{00000000-0005-0000-0000-000077010000}"/>
    <cellStyle name="SubTotal" xfId="23" xr:uid="{00000000-0005-0000-0000-000078010000}"/>
    <cellStyle name="SubTotal 2" xfId="437" xr:uid="{00000000-0005-0000-0000-000079010000}"/>
    <cellStyle name="SubTotal 3" xfId="438" xr:uid="{00000000-0005-0000-0000-00007A010000}"/>
    <cellStyle name="T" xfId="439" xr:uid="{00000000-0005-0000-0000-00007B010000}"/>
    <cellStyle name="TIME" xfId="440" xr:uid="{00000000-0005-0000-0000-00007C010000}"/>
    <cellStyle name="Times New Roman" xfId="441" xr:uid="{00000000-0005-0000-0000-00007D010000}"/>
    <cellStyle name="title" xfId="442" xr:uid="{00000000-0005-0000-0000-00007E010000}"/>
    <cellStyle name="Title1" xfId="443" xr:uid="{00000000-0005-0000-0000-00007F010000}"/>
    <cellStyle name="TitleOther" xfId="444" xr:uid="{00000000-0005-0000-0000-000080010000}"/>
    <cellStyle name="TopThick" xfId="445" xr:uid="{00000000-0005-0000-0000-000081010000}"/>
    <cellStyle name="Total" xfId="446" xr:uid="{00000000-0005-0000-0000-000082010000}"/>
    <cellStyle name="Total1" xfId="447" xr:uid="{00000000-0005-0000-0000-000083010000}"/>
    <cellStyle name="Total2" xfId="448" xr:uid="{00000000-0005-0000-0000-000084010000}"/>
    <cellStyle name="Total3" xfId="449" xr:uid="{00000000-0005-0000-0000-000085010000}"/>
    <cellStyle name="Total4" xfId="450" xr:uid="{00000000-0005-0000-0000-000086010000}"/>
    <cellStyle name="Total5" xfId="451" xr:uid="{00000000-0005-0000-0000-000087010000}"/>
    <cellStyle name="Total6" xfId="452" xr:uid="{00000000-0005-0000-0000-000088010000}"/>
    <cellStyle name="Total6 2" xfId="453" xr:uid="{00000000-0005-0000-0000-000089010000}"/>
    <cellStyle name="Total6 3" xfId="454" xr:uid="{00000000-0005-0000-0000-00008A010000}"/>
    <cellStyle name="Total7" xfId="455" xr:uid="{00000000-0005-0000-0000-00008B010000}"/>
    <cellStyle name="Total7 2" xfId="456" xr:uid="{00000000-0005-0000-0000-00008C010000}"/>
    <cellStyle name="Total7 3" xfId="457" xr:uid="{00000000-0005-0000-0000-00008D010000}"/>
    <cellStyle name="Total8" xfId="458" xr:uid="{00000000-0005-0000-0000-00008E010000}"/>
    <cellStyle name="Total9" xfId="459" xr:uid="{00000000-0005-0000-0000-00008F010000}"/>
    <cellStyle name="Totals" xfId="460" xr:uid="{00000000-0005-0000-0000-000090010000}"/>
    <cellStyle name="TotalsComma" xfId="461" xr:uid="{00000000-0005-0000-0000-000091010000}"/>
    <cellStyle name="TotShade" xfId="462" xr:uid="{00000000-0005-0000-0000-000092010000}"/>
    <cellStyle name="Underscore" xfId="463" xr:uid="{00000000-0005-0000-0000-000093010000}"/>
    <cellStyle name="w12" xfId="24" xr:uid="{00000000-0005-0000-0000-000094010000}"/>
    <cellStyle name="Warning Text" xfId="464" xr:uid="{00000000-0005-0000-0000-000095010000}"/>
    <cellStyle name="アクセント 1 2" xfId="465" xr:uid="{00000000-0005-0000-0000-000096010000}"/>
    <cellStyle name="アクセント 2 2" xfId="466" xr:uid="{00000000-0005-0000-0000-000097010000}"/>
    <cellStyle name="アクセント 3 2" xfId="467" xr:uid="{00000000-0005-0000-0000-000098010000}"/>
    <cellStyle name="アクセント 4 2" xfId="468" xr:uid="{00000000-0005-0000-0000-000099010000}"/>
    <cellStyle name="アクセント 5 2" xfId="469" xr:uid="{00000000-0005-0000-0000-00009A010000}"/>
    <cellStyle name="アクセント 6 2" xfId="470" xr:uid="{00000000-0005-0000-0000-00009B010000}"/>
    <cellStyle name="スタイル 1" xfId="471" xr:uid="{00000000-0005-0000-0000-00009C010000}"/>
    <cellStyle name="スタイル 2" xfId="472" xr:uid="{00000000-0005-0000-0000-00009D010000}"/>
    <cellStyle name="タイトル 2" xfId="473" xr:uid="{00000000-0005-0000-0000-00009E010000}"/>
    <cellStyle name="チェック セル 2" xfId="474" xr:uid="{00000000-0005-0000-0000-00009F010000}"/>
    <cellStyle name="どちらでもない 2" xfId="475" xr:uid="{00000000-0005-0000-0000-0000A0010000}"/>
    <cellStyle name="パーセント" xfId="571" builtinId="5"/>
    <cellStyle name="パーセント 2" xfId="25" xr:uid="{00000000-0005-0000-0000-0000A2010000}"/>
    <cellStyle name="パーセント 2 2" xfId="476" xr:uid="{00000000-0005-0000-0000-0000A3010000}"/>
    <cellStyle name="パーセント 2 2 2" xfId="477" xr:uid="{00000000-0005-0000-0000-0000A4010000}"/>
    <cellStyle name="パーセント 3" xfId="478" xr:uid="{00000000-0005-0000-0000-0000A5010000}"/>
    <cellStyle name="メモ 2" xfId="479" xr:uid="{00000000-0005-0000-0000-0000A6010000}"/>
    <cellStyle name="メモ 2 2" xfId="480" xr:uid="{00000000-0005-0000-0000-0000A7010000}"/>
    <cellStyle name="メモ 3" xfId="481" xr:uid="{00000000-0005-0000-0000-0000A8010000}"/>
    <cellStyle name="リンク セル 2" xfId="482" xr:uid="{00000000-0005-0000-0000-0000A9010000}"/>
    <cellStyle name="悪い 2" xfId="483" xr:uid="{00000000-0005-0000-0000-0000AA010000}"/>
    <cellStyle name="型番" xfId="484" xr:uid="{00000000-0005-0000-0000-0000AB010000}"/>
    <cellStyle name="計算 2" xfId="485" xr:uid="{00000000-0005-0000-0000-0000AC010000}"/>
    <cellStyle name="計算 2 2" xfId="486" xr:uid="{00000000-0005-0000-0000-0000AD010000}"/>
    <cellStyle name="計算 3" xfId="487" xr:uid="{00000000-0005-0000-0000-0000AE010000}"/>
    <cellStyle name="警告文 2" xfId="488" xr:uid="{00000000-0005-0000-0000-0000AF010000}"/>
    <cellStyle name="桁区切り 2" xfId="26" xr:uid="{00000000-0005-0000-0000-0000B0010000}"/>
    <cellStyle name="桁区切り 2 2" xfId="27" xr:uid="{00000000-0005-0000-0000-0000B1010000}"/>
    <cellStyle name="桁区切り 2 2 2" xfId="489" xr:uid="{00000000-0005-0000-0000-0000B2010000}"/>
    <cellStyle name="桁区切り 2 3" xfId="490" xr:uid="{00000000-0005-0000-0000-0000B3010000}"/>
    <cellStyle name="桁区切り 3" xfId="491" xr:uid="{00000000-0005-0000-0000-0000B4010000}"/>
    <cellStyle name="桁区切り 4" xfId="492" xr:uid="{00000000-0005-0000-0000-0000B5010000}"/>
    <cellStyle name="桁区切り 5" xfId="493" xr:uid="{00000000-0005-0000-0000-0000B6010000}"/>
    <cellStyle name="桁区切り 5 2" xfId="494" xr:uid="{00000000-0005-0000-0000-0000B7010000}"/>
    <cellStyle name="桁区切り 5 2 2" xfId="495" xr:uid="{00000000-0005-0000-0000-0000B8010000}"/>
    <cellStyle name="見出し 1 2" xfId="496" xr:uid="{00000000-0005-0000-0000-0000B9010000}"/>
    <cellStyle name="見出し 2 2" xfId="497" xr:uid="{00000000-0005-0000-0000-0000BA010000}"/>
    <cellStyle name="見出し 3 2" xfId="498" xr:uid="{00000000-0005-0000-0000-0000BB010000}"/>
    <cellStyle name="見出し 4 2" xfId="499" xr:uid="{00000000-0005-0000-0000-0000BC010000}"/>
    <cellStyle name="在庫" xfId="500" xr:uid="{00000000-0005-0000-0000-0000BD010000}"/>
    <cellStyle name="集計 2" xfId="501" xr:uid="{00000000-0005-0000-0000-0000BE010000}"/>
    <cellStyle name="集計 2 2" xfId="502" xr:uid="{00000000-0005-0000-0000-0000BF010000}"/>
    <cellStyle name="集計 3" xfId="503" xr:uid="{00000000-0005-0000-0000-0000C0010000}"/>
    <cellStyle name="出力 2" xfId="504" xr:uid="{00000000-0005-0000-0000-0000C1010000}"/>
    <cellStyle name="出力 2 2" xfId="505" xr:uid="{00000000-0005-0000-0000-0000C2010000}"/>
    <cellStyle name="出力 3" xfId="506" xr:uid="{00000000-0005-0000-0000-0000C3010000}"/>
    <cellStyle name="説明文 2" xfId="507" xr:uid="{00000000-0005-0000-0000-0000C4010000}"/>
    <cellStyle name="脱浦 [0.00]_?f?o疫善?ELp" xfId="508" xr:uid="{00000000-0005-0000-0000-0000C5010000}"/>
    <cellStyle name="脱浦_?f?o疫善?ESO" xfId="509" xr:uid="{00000000-0005-0000-0000-0000C6010000}"/>
    <cellStyle name="通貨" xfId="1" builtinId="7"/>
    <cellStyle name="通貨 10" xfId="28" xr:uid="{00000000-0005-0000-0000-0000C8010000}"/>
    <cellStyle name="通貨 11" xfId="29" xr:uid="{00000000-0005-0000-0000-0000C9010000}"/>
    <cellStyle name="通貨 12" xfId="30" xr:uid="{00000000-0005-0000-0000-0000CA010000}"/>
    <cellStyle name="通貨 13" xfId="31" xr:uid="{00000000-0005-0000-0000-0000CB010000}"/>
    <cellStyle name="通貨 14" xfId="32" xr:uid="{00000000-0005-0000-0000-0000CC010000}"/>
    <cellStyle name="通貨 15" xfId="33" xr:uid="{00000000-0005-0000-0000-0000CD010000}"/>
    <cellStyle name="通貨 16" xfId="34" xr:uid="{00000000-0005-0000-0000-0000CE010000}"/>
    <cellStyle name="通貨 17" xfId="35" xr:uid="{00000000-0005-0000-0000-0000CF010000}"/>
    <cellStyle name="通貨 18" xfId="36" xr:uid="{00000000-0005-0000-0000-0000D0010000}"/>
    <cellStyle name="通貨 19" xfId="37" xr:uid="{00000000-0005-0000-0000-0000D1010000}"/>
    <cellStyle name="通貨 2" xfId="38" xr:uid="{00000000-0005-0000-0000-0000D2010000}"/>
    <cellStyle name="通貨 2 2" xfId="39" xr:uid="{00000000-0005-0000-0000-0000D3010000}"/>
    <cellStyle name="通貨 20" xfId="40" xr:uid="{00000000-0005-0000-0000-0000D4010000}"/>
    <cellStyle name="通貨 21" xfId="41" xr:uid="{00000000-0005-0000-0000-0000D5010000}"/>
    <cellStyle name="通貨 22" xfId="42" xr:uid="{00000000-0005-0000-0000-0000D6010000}"/>
    <cellStyle name="通貨 23" xfId="43" xr:uid="{00000000-0005-0000-0000-0000D7010000}"/>
    <cellStyle name="通貨 24" xfId="44" xr:uid="{00000000-0005-0000-0000-0000D8010000}"/>
    <cellStyle name="通貨 25" xfId="45" xr:uid="{00000000-0005-0000-0000-0000D9010000}"/>
    <cellStyle name="通貨 26" xfId="46" xr:uid="{00000000-0005-0000-0000-0000DA010000}"/>
    <cellStyle name="通貨 27" xfId="47" xr:uid="{00000000-0005-0000-0000-0000DB010000}"/>
    <cellStyle name="通貨 28" xfId="48" xr:uid="{00000000-0005-0000-0000-0000DC010000}"/>
    <cellStyle name="通貨 29" xfId="49" xr:uid="{00000000-0005-0000-0000-0000DD010000}"/>
    <cellStyle name="通貨 3" xfId="50" xr:uid="{00000000-0005-0000-0000-0000DE010000}"/>
    <cellStyle name="通貨 3 2" xfId="51" xr:uid="{00000000-0005-0000-0000-0000DF010000}"/>
    <cellStyle name="通貨 30" xfId="52" xr:uid="{00000000-0005-0000-0000-0000E0010000}"/>
    <cellStyle name="通貨 31" xfId="53" xr:uid="{00000000-0005-0000-0000-0000E1010000}"/>
    <cellStyle name="通貨 32" xfId="54" xr:uid="{00000000-0005-0000-0000-0000E2010000}"/>
    <cellStyle name="通貨 4" xfId="55" xr:uid="{00000000-0005-0000-0000-0000E3010000}"/>
    <cellStyle name="通貨 4 2" xfId="56" xr:uid="{00000000-0005-0000-0000-0000E4010000}"/>
    <cellStyle name="通貨 5" xfId="57" xr:uid="{00000000-0005-0000-0000-0000E5010000}"/>
    <cellStyle name="通貨 5 2" xfId="58" xr:uid="{00000000-0005-0000-0000-0000E6010000}"/>
    <cellStyle name="通貨 6" xfId="59" xr:uid="{00000000-0005-0000-0000-0000E7010000}"/>
    <cellStyle name="通貨 6 2" xfId="60" xr:uid="{00000000-0005-0000-0000-0000E8010000}"/>
    <cellStyle name="通貨 7" xfId="61" xr:uid="{00000000-0005-0000-0000-0000E9010000}"/>
    <cellStyle name="通貨 7 2" xfId="62" xr:uid="{00000000-0005-0000-0000-0000EA010000}"/>
    <cellStyle name="通貨 8" xfId="63" xr:uid="{00000000-0005-0000-0000-0000EB010000}"/>
    <cellStyle name="通貨 9" xfId="64" xr:uid="{00000000-0005-0000-0000-0000EC010000}"/>
    <cellStyle name="入力 2" xfId="510" xr:uid="{00000000-0005-0000-0000-0000ED010000}"/>
    <cellStyle name="入力 2 2" xfId="511" xr:uid="{00000000-0005-0000-0000-0000EE010000}"/>
    <cellStyle name="入力 3" xfId="512" xr:uid="{00000000-0005-0000-0000-0000EF010000}"/>
    <cellStyle name="標準" xfId="0" builtinId="0"/>
    <cellStyle name="標準 10" xfId="71" xr:uid="{00000000-0005-0000-0000-0000F1010000}"/>
    <cellStyle name="標準 11" xfId="513" xr:uid="{00000000-0005-0000-0000-0000F2010000}"/>
    <cellStyle name="標準 12" xfId="514" xr:uid="{00000000-0005-0000-0000-0000F3010000}"/>
    <cellStyle name="標準 13" xfId="515" xr:uid="{00000000-0005-0000-0000-0000F4010000}"/>
    <cellStyle name="標準 14" xfId="516" xr:uid="{00000000-0005-0000-0000-0000F5010000}"/>
    <cellStyle name="標準 15" xfId="517" xr:uid="{00000000-0005-0000-0000-0000F6010000}"/>
    <cellStyle name="標準 15 2" xfId="518" xr:uid="{00000000-0005-0000-0000-0000F7010000}"/>
    <cellStyle name="標準 15 3" xfId="519" xr:uid="{00000000-0005-0000-0000-0000F8010000}"/>
    <cellStyle name="標準 16" xfId="520" xr:uid="{00000000-0005-0000-0000-0000F9010000}"/>
    <cellStyle name="標準 16 2" xfId="521" xr:uid="{00000000-0005-0000-0000-0000FA010000}"/>
    <cellStyle name="標準 17" xfId="522" xr:uid="{00000000-0005-0000-0000-0000FB010000}"/>
    <cellStyle name="標準 17 2" xfId="523" xr:uid="{00000000-0005-0000-0000-0000FC010000}"/>
    <cellStyle name="標準 17 2 2" xfId="524" xr:uid="{00000000-0005-0000-0000-0000FD010000}"/>
    <cellStyle name="標準 18" xfId="525" xr:uid="{00000000-0005-0000-0000-0000FE010000}"/>
    <cellStyle name="標準 19" xfId="526" xr:uid="{00000000-0005-0000-0000-0000FF010000}"/>
    <cellStyle name="標準 2" xfId="2" xr:uid="{00000000-0005-0000-0000-000000020000}"/>
    <cellStyle name="標準 2 2" xfId="3" xr:uid="{00000000-0005-0000-0000-000001020000}"/>
    <cellStyle name="標準 2 2 2" xfId="9" xr:uid="{00000000-0005-0000-0000-000002020000}"/>
    <cellStyle name="標準 2 3" xfId="4" xr:uid="{00000000-0005-0000-0000-000003020000}"/>
    <cellStyle name="標準 2 3 2" xfId="8" xr:uid="{00000000-0005-0000-0000-000004020000}"/>
    <cellStyle name="標準 20" xfId="527" xr:uid="{00000000-0005-0000-0000-000005020000}"/>
    <cellStyle name="標準 21" xfId="528" xr:uid="{00000000-0005-0000-0000-000006020000}"/>
    <cellStyle name="標準 22" xfId="529" xr:uid="{00000000-0005-0000-0000-000007020000}"/>
    <cellStyle name="標準 23" xfId="530" xr:uid="{00000000-0005-0000-0000-000008020000}"/>
    <cellStyle name="標準 24" xfId="531" xr:uid="{00000000-0005-0000-0000-000009020000}"/>
    <cellStyle name="標準 25" xfId="564" xr:uid="{00000000-0005-0000-0000-00000A020000}"/>
    <cellStyle name="標準 3" xfId="6" xr:uid="{00000000-0005-0000-0000-00000B020000}"/>
    <cellStyle name="標準 3 2" xfId="532" xr:uid="{00000000-0005-0000-0000-00000C020000}"/>
    <cellStyle name="標準 3 3" xfId="533" xr:uid="{00000000-0005-0000-0000-00000D020000}"/>
    <cellStyle name="標準 3 4" xfId="534" xr:uid="{00000000-0005-0000-0000-00000E020000}"/>
    <cellStyle name="標準 4" xfId="65" xr:uid="{00000000-0005-0000-0000-00000F020000}"/>
    <cellStyle name="標準 4 2" xfId="66" xr:uid="{00000000-0005-0000-0000-000010020000}"/>
    <cellStyle name="標準 4 3" xfId="67" xr:uid="{00000000-0005-0000-0000-000011020000}"/>
    <cellStyle name="標準 4 4" xfId="570" xr:uid="{00000000-0005-0000-0000-000012020000}"/>
    <cellStyle name="標準 5" xfId="535" xr:uid="{00000000-0005-0000-0000-000013020000}"/>
    <cellStyle name="標準 6" xfId="69" xr:uid="{00000000-0005-0000-0000-000014020000}"/>
    <cellStyle name="標準 6 2" xfId="70" xr:uid="{00000000-0005-0000-0000-000015020000}"/>
    <cellStyle name="標準 6 3" xfId="565" xr:uid="{00000000-0005-0000-0000-000016020000}"/>
    <cellStyle name="標準 7" xfId="536" xr:uid="{00000000-0005-0000-0000-000017020000}"/>
    <cellStyle name="標準 8" xfId="537" xr:uid="{00000000-0005-0000-0000-000018020000}"/>
    <cellStyle name="標準 9" xfId="538" xr:uid="{00000000-0005-0000-0000-000019020000}"/>
    <cellStyle name="標準_（2・3号館）管理業務スケジュール表2010.06" xfId="567" xr:uid="{00000000-0005-0000-0000-00001A020000}"/>
    <cellStyle name="標準_(住友ビルディング）管理業務スケジュール表2010" xfId="566" xr:uid="{00000000-0005-0000-0000-00001B020000}"/>
    <cellStyle name="標準_（住友商事フカミヤ大通ビル）管理業務スケジュール表 2010 0608修正1 (2) 2" xfId="569" xr:uid="{00000000-0005-0000-0000-00001C020000}"/>
    <cellStyle name="標準_（竹橋）管理業務スケジュール表2010 2" xfId="68" xr:uid="{00000000-0005-0000-0000-00001D020000}"/>
    <cellStyle name="標準_（日通・住商神田ビル）管理業務スケジュール表2010 (2)_20107月度月次報告書　ファイナル版（フカミヤ大通） (version 1) 2" xfId="568" xr:uid="{00000000-0005-0000-0000-00001E020000}"/>
    <cellStyle name="標準_00_作業予定" xfId="10" xr:uid="{00000000-0005-0000-0000-00001F020000}"/>
    <cellStyle name="標準_Sheet1" xfId="11" xr:uid="{00000000-0005-0000-0000-000020020000}"/>
    <cellStyle name="標準_Sheet1 2" xfId="7" xr:uid="{00000000-0005-0000-0000-000021020000}"/>
    <cellStyle name="標準_赤坂イイヌマビル　年報（2004年度）_日通・住商神田ビル　月報（2005.12）" xfId="5" xr:uid="{00000000-0005-0000-0000-000022020000}"/>
    <cellStyle name="未定義" xfId="539" xr:uid="{00000000-0005-0000-0000-000023020000}"/>
    <cellStyle name="未定義 2" xfId="540" xr:uid="{00000000-0005-0000-0000-000024020000}"/>
    <cellStyle name="未定義_収支予算表概要" xfId="541" xr:uid="{00000000-0005-0000-0000-000025020000}"/>
    <cellStyle name="良い 2" xfId="542" xr:uid="{00000000-0005-0000-0000-000026020000}"/>
    <cellStyle name="禃宁垃㌠" xfId="543" xr:uid="{00000000-0005-0000-0000-000027020000}"/>
    <cellStyle name="㼿" xfId="544" xr:uid="{00000000-0005-0000-0000-000028020000}"/>
    <cellStyle name="㼿 2" xfId="545" xr:uid="{00000000-0005-0000-0000-000029020000}"/>
    <cellStyle name="㼿?" xfId="546" xr:uid="{00000000-0005-0000-0000-00002A020000}"/>
    <cellStyle name="㼿㼿" xfId="547" xr:uid="{00000000-0005-0000-0000-00002B020000}"/>
    <cellStyle name="㼿㼿?" xfId="548" xr:uid="{00000000-0005-0000-0000-00002C020000}"/>
    <cellStyle name="㼿㼿㼿" xfId="549" xr:uid="{00000000-0005-0000-0000-00002D020000}"/>
    <cellStyle name="㼿㼿㼿?" xfId="550" xr:uid="{00000000-0005-0000-0000-00002E020000}"/>
    <cellStyle name="㼿㼿㼿㼿?" xfId="551" xr:uid="{00000000-0005-0000-0000-00002F020000}"/>
    <cellStyle name="㼿㼿㼿㼿㼿" xfId="552" xr:uid="{00000000-0005-0000-0000-000030020000}"/>
    <cellStyle name="㼿㼿㼿㼿㼿㼿" xfId="553" xr:uid="{00000000-0005-0000-0000-000031020000}"/>
    <cellStyle name="㼿㼿㼿㼿㼿㼿?" xfId="554" xr:uid="{00000000-0005-0000-0000-000032020000}"/>
    <cellStyle name="㼿㼿㼿㼿㼿㼿㼿" xfId="555" xr:uid="{00000000-0005-0000-0000-000033020000}"/>
    <cellStyle name="㼿㼿㼿㼿㼿㼿㼿㼿?" xfId="556" xr:uid="{00000000-0005-0000-0000-000034020000}"/>
    <cellStyle name="㼿㼿㼿㼿㼿㼿㼿㼿㼿㼿" xfId="557" xr:uid="{00000000-0005-0000-0000-000035020000}"/>
    <cellStyle name="㼿㼿㼿㼿㼿㼿㼿㼿㼿㼿㼿?" xfId="558" xr:uid="{00000000-0005-0000-0000-000036020000}"/>
    <cellStyle name="㼿㼿㼿㼿㼿㼿㼿㼿㼿㼿㼿㼿㼿" xfId="559" xr:uid="{00000000-0005-0000-0000-000037020000}"/>
    <cellStyle name="㼿㼿㼿㼿㼿㼿㼿㼿㼿㼿㼿㼿㼿㼿" xfId="560" xr:uid="{00000000-0005-0000-0000-000038020000}"/>
    <cellStyle name="㼿㼿㼿㼿㼿㼿㼿㼿㼿㼿㼿㼿㼿㼿?" xfId="561" xr:uid="{00000000-0005-0000-0000-000039020000}"/>
    <cellStyle name="㼿㼿㼿㼿㼿㼿㼿㼿㼿㼿㼿㼿㼿㼿㼿㼿㼿" xfId="562" xr:uid="{00000000-0005-0000-0000-00003A020000}"/>
    <cellStyle name="㼿㼿㼿㼿㼿㼿㼿㼿㼿㼿㼿㼿㼿㼿㼿㼿㼿㼿㼿㼿" xfId="563" xr:uid="{00000000-0005-0000-0000-00003B020000}"/>
  </cellStyles>
  <dxfs count="351">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strike val="0"/>
        <color rgb="FFFF0000"/>
      </font>
    </dxf>
    <dxf>
      <font>
        <color rgb="FFFF0000"/>
      </font>
    </dxf>
    <dxf>
      <font>
        <color rgb="FFFF0000"/>
      </font>
    </dxf>
    <dxf>
      <font>
        <color rgb="FFFF0000"/>
      </font>
    </dxf>
    <dxf>
      <font>
        <color rgb="FFFF0000"/>
      </font>
    </dxf>
    <dxf>
      <font>
        <color rgb="FF00B0F0"/>
      </font>
    </dxf>
    <dxf>
      <font>
        <color rgb="FFFF0000"/>
      </font>
    </dxf>
    <dxf>
      <font>
        <color rgb="FF00B0F0"/>
      </font>
    </dxf>
    <dxf>
      <font>
        <color rgb="FF00B0F0"/>
      </font>
    </dxf>
    <dxf>
      <font>
        <color rgb="FFFF0000"/>
      </font>
    </dxf>
  </dxfs>
  <tableStyles count="0" defaultTableStyle="TableStyleMedium9" defaultPivotStyle="PivotStyleLight16"/>
  <colors>
    <mruColors>
      <color rgb="FFCCFFCC"/>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12</xdr:col>
      <xdr:colOff>504826</xdr:colOff>
      <xdr:row>7</xdr:row>
      <xdr:rowOff>28576</xdr:rowOff>
    </xdr:from>
    <xdr:to>
      <xdr:col>18</xdr:col>
      <xdr:colOff>443305</xdr:colOff>
      <xdr:row>16</xdr:row>
      <xdr:rowOff>95250</xdr:rowOff>
    </xdr:to>
    <xdr:pic>
      <xdr:nvPicPr>
        <xdr:cNvPr id="3" name="図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6626" y="1981201"/>
          <a:ext cx="4177104" cy="23812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190500</xdr:colOff>
      <xdr:row>2</xdr:row>
      <xdr:rowOff>177513</xdr:rowOff>
    </xdr:from>
    <xdr:ext cx="11477625" cy="3494355"/>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36442650" y="768063"/>
          <a:ext cx="11477625" cy="3494355"/>
        </a:xfrm>
        <a:prstGeom prst="rect">
          <a:avLst/>
        </a:prstGeom>
        <a:solidFill>
          <a:schemeClr val="lt1"/>
        </a:solidFill>
        <a:ln w="9525" cmpd="sng">
          <a:solidFill>
            <a:schemeClr val="lt1">
              <a:shade val="50000"/>
            </a:schemeClr>
          </a:solidFill>
          <a:prstDash val="lg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&lt;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更新方法（凡例、入力ルール））</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&gt;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200" u="sng">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①予定欄／実績欄入力時における各凡例（推奨例）を記載します。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◎：法定点検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：本年度実施しない内容（該当年度には◎とし管理する。）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■：報告書・申請書の届出</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●：毎日実施（特定日の実施の場合は、原則日付を記入する。）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×や△は上記内容が複数ある場合等、備考欄に詳細記載して使い分ける。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建築設備定期検査、特定建築定期</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検査</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、防火設備定期検査等、点検と届出が必要な</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項目は、</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予定月および実施日に点検と報告書提出をそれぞれ記載する</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②本表記載のルールは、以下を参照とする。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実施日が複数</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は、原則</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全</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ての実施</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を</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予定月が「※</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本年度実施しない内容</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」の場合、実施日に「</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」を記載する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予定月から移動する場合は、赤字で→を記載し、移動先の実施欄に実施日を記載する。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法定点検は備考欄に「前回○年○月○日　※次回△年△月△日予定」と記載する。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③点検を実施していない項目の入力については、当ビル適用有無「無」とする。（「無」を選択した場合、行全体がグレーアウトされます。）</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Q44"/>
  <sheetViews>
    <sheetView view="pageBreakPreview" zoomScale="90" zoomScaleNormal="70" zoomScaleSheetLayoutView="90" workbookViewId="0">
      <selection activeCell="E9" sqref="E9:L9"/>
    </sheetView>
  </sheetViews>
  <sheetFormatPr defaultColWidth="9" defaultRowHeight="14.25"/>
  <cols>
    <col min="1" max="1" width="6.1328125" style="127" customWidth="1"/>
    <col min="2" max="2" width="5.59765625" style="127" customWidth="1"/>
    <col min="3" max="3" width="8.59765625" style="127" customWidth="1"/>
    <col min="4" max="4" width="8.3984375" style="127" customWidth="1"/>
    <col min="5" max="9" width="7.86328125" style="127" customWidth="1"/>
    <col min="10" max="11" width="8.59765625" style="127" customWidth="1"/>
    <col min="12" max="16384" width="9" style="127"/>
  </cols>
  <sheetData>
    <row r="1" spans="1:69" s="128" customFormat="1" ht="20.25" customHeight="1">
      <c r="A1" s="153"/>
      <c r="B1" s="153"/>
      <c r="C1" s="153"/>
      <c r="D1" s="153"/>
      <c r="E1" s="153"/>
      <c r="F1" s="153"/>
      <c r="G1" s="153"/>
      <c r="H1" s="153"/>
      <c r="I1" s="153"/>
      <c r="J1" s="153"/>
      <c r="K1" s="153"/>
      <c r="L1" s="138"/>
      <c r="M1" s="138"/>
      <c r="N1" s="138"/>
      <c r="O1" s="138"/>
      <c r="P1" s="138"/>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c r="BE1" s="127"/>
      <c r="BF1" s="127"/>
      <c r="BG1" s="127"/>
      <c r="BH1" s="127"/>
      <c r="BI1" s="127"/>
      <c r="BJ1" s="127"/>
      <c r="BK1" s="127"/>
      <c r="BL1" s="127"/>
      <c r="BM1" s="127"/>
      <c r="BN1" s="127"/>
      <c r="BO1" s="127"/>
      <c r="BP1" s="127"/>
      <c r="BQ1" s="127"/>
    </row>
    <row r="2" spans="1:69" s="128" customFormat="1" ht="18" customHeight="1">
      <c r="A2" s="153"/>
      <c r="B2" s="153"/>
      <c r="C2" s="153"/>
      <c r="D2" s="153"/>
      <c r="E2" s="153"/>
      <c r="F2" s="153"/>
      <c r="G2" s="153"/>
      <c r="H2" s="153"/>
      <c r="I2" s="153"/>
      <c r="J2" s="153"/>
      <c r="K2" s="153"/>
      <c r="L2" s="138"/>
      <c r="M2" s="154"/>
      <c r="N2" s="155"/>
      <c r="O2" s="155"/>
      <c r="P2" s="154"/>
      <c r="Q2" s="127"/>
      <c r="R2" s="127"/>
      <c r="S2" s="127"/>
      <c r="T2" s="127"/>
      <c r="U2" s="127"/>
      <c r="V2" s="127"/>
      <c r="W2" s="127"/>
      <c r="X2" s="127"/>
      <c r="Y2" s="127"/>
      <c r="Z2" s="127"/>
      <c r="AA2" s="127"/>
      <c r="AB2" s="127"/>
      <c r="AC2" s="127"/>
      <c r="AD2" s="127"/>
      <c r="AE2" s="127"/>
      <c r="AF2" s="127"/>
      <c r="AG2" s="127"/>
      <c r="AH2" s="127"/>
      <c r="AI2" s="127"/>
      <c r="AJ2" s="127"/>
      <c r="AK2" s="127"/>
      <c r="AL2" s="127"/>
      <c r="AM2" s="127"/>
      <c r="AN2" s="127"/>
      <c r="AO2" s="127"/>
      <c r="AP2" s="127"/>
      <c r="AQ2" s="127"/>
      <c r="AR2" s="127"/>
      <c r="AS2" s="127"/>
      <c r="AT2" s="127"/>
      <c r="AU2" s="127"/>
      <c r="AV2" s="127"/>
      <c r="AW2" s="127"/>
      <c r="AX2" s="127"/>
      <c r="AY2" s="127"/>
      <c r="AZ2" s="127"/>
      <c r="BA2" s="127"/>
      <c r="BB2" s="127"/>
      <c r="BC2" s="127"/>
      <c r="BD2" s="127"/>
      <c r="BE2" s="127"/>
      <c r="BF2" s="127"/>
      <c r="BG2" s="127"/>
      <c r="BH2" s="127"/>
      <c r="BI2" s="127"/>
      <c r="BJ2" s="127"/>
      <c r="BK2" s="127"/>
      <c r="BL2" s="127"/>
      <c r="BM2" s="127"/>
      <c r="BN2" s="127"/>
      <c r="BO2" s="127"/>
      <c r="BP2" s="127"/>
      <c r="BQ2" s="127"/>
    </row>
    <row r="3" spans="1:69" ht="22.5" customHeight="1">
      <c r="A3" s="153"/>
      <c r="B3" s="153"/>
      <c r="C3" s="153"/>
      <c r="D3" s="153"/>
      <c r="E3" s="153"/>
      <c r="F3" s="153"/>
      <c r="G3" s="153"/>
      <c r="H3" s="153"/>
      <c r="I3" s="153"/>
      <c r="J3" s="153"/>
      <c r="K3" s="153"/>
      <c r="L3" s="156"/>
      <c r="M3" s="138"/>
      <c r="N3" s="157"/>
      <c r="O3" s="158"/>
      <c r="P3" s="138"/>
    </row>
    <row r="4" spans="1:69" ht="15.75" customHeight="1">
      <c r="A4" s="153"/>
      <c r="B4" s="153"/>
      <c r="C4" s="153"/>
      <c r="D4" s="153"/>
      <c r="E4" s="153"/>
      <c r="F4" s="153"/>
      <c r="G4" s="153"/>
      <c r="H4" s="153"/>
      <c r="I4" s="153"/>
      <c r="J4" s="153"/>
      <c r="K4" s="153"/>
      <c r="L4" s="138"/>
      <c r="M4" s="138"/>
      <c r="N4" s="138"/>
      <c r="O4" s="158"/>
      <c r="P4" s="138"/>
    </row>
    <row r="5" spans="1:69" ht="21.75" customHeight="1">
      <c r="A5" s="153"/>
      <c r="B5" s="153"/>
      <c r="C5" s="153"/>
      <c r="D5" s="153"/>
      <c r="E5" s="926" t="s">
        <v>274</v>
      </c>
      <c r="F5" s="927"/>
      <c r="G5" s="928"/>
      <c r="H5" s="928"/>
      <c r="I5" s="928"/>
      <c r="J5" s="928"/>
      <c r="K5" s="928"/>
      <c r="L5" s="929"/>
      <c r="M5" s="159"/>
      <c r="N5" s="138"/>
      <c r="O5" s="138"/>
      <c r="P5" s="138"/>
    </row>
    <row r="6" spans="1:69" ht="15.75" customHeight="1">
      <c r="A6" s="153"/>
      <c r="B6" s="153"/>
      <c r="C6" s="153"/>
      <c r="D6" s="153"/>
      <c r="E6" s="153"/>
      <c r="F6" s="153"/>
      <c r="G6" s="153"/>
      <c r="H6" s="153"/>
      <c r="I6" s="153"/>
      <c r="J6" s="153"/>
      <c r="K6" s="153"/>
      <c r="L6" s="138"/>
      <c r="M6" s="138"/>
      <c r="N6" s="138"/>
      <c r="O6" s="138"/>
      <c r="P6" s="138"/>
    </row>
    <row r="7" spans="1:69" ht="15.75" customHeight="1">
      <c r="A7" s="153"/>
      <c r="B7" s="153"/>
      <c r="C7" s="153"/>
      <c r="D7" s="153"/>
      <c r="E7" s="153"/>
      <c r="F7" s="153"/>
      <c r="G7" s="153"/>
      <c r="H7" s="153"/>
      <c r="I7" s="153"/>
      <c r="J7" s="153"/>
      <c r="K7" s="153"/>
      <c r="L7" s="138"/>
      <c r="M7" s="138"/>
      <c r="N7" s="138"/>
      <c r="O7" s="138"/>
      <c r="P7" s="138"/>
    </row>
    <row r="8" spans="1:69" ht="15.75" customHeight="1">
      <c r="A8" s="153"/>
      <c r="B8" s="153"/>
      <c r="C8" s="153"/>
      <c r="D8" s="153"/>
      <c r="E8" s="153"/>
      <c r="F8" s="153"/>
      <c r="G8" s="153"/>
      <c r="H8" s="153"/>
      <c r="I8" s="153"/>
      <c r="J8" s="153"/>
      <c r="K8" s="153"/>
      <c r="L8" s="138"/>
      <c r="M8" s="138"/>
      <c r="N8" s="138"/>
      <c r="O8" s="138"/>
      <c r="P8" s="138"/>
    </row>
    <row r="9" spans="1:69" ht="15.75" customHeight="1">
      <c r="A9" s="153"/>
      <c r="B9" s="153"/>
      <c r="C9" s="153"/>
      <c r="D9" s="153"/>
      <c r="E9" s="930">
        <v>4</v>
      </c>
      <c r="F9" s="930"/>
      <c r="G9" s="930"/>
      <c r="H9" s="930"/>
      <c r="I9" s="930"/>
      <c r="J9" s="930"/>
      <c r="K9" s="930"/>
      <c r="L9" s="930"/>
      <c r="M9" s="138"/>
      <c r="N9" s="138"/>
      <c r="O9" s="138"/>
      <c r="P9" s="138"/>
    </row>
    <row r="10" spans="1:69" ht="15.75" customHeight="1">
      <c r="A10" s="153"/>
      <c r="B10" s="153"/>
      <c r="C10" s="153"/>
      <c r="D10" s="153"/>
      <c r="E10" s="153"/>
      <c r="F10" s="153"/>
      <c r="G10" s="153"/>
      <c r="H10" s="153"/>
      <c r="I10" s="153"/>
      <c r="J10" s="153"/>
      <c r="K10" s="153"/>
      <c r="L10" s="138"/>
      <c r="M10" s="138"/>
      <c r="N10" s="138"/>
      <c r="O10" s="138"/>
      <c r="P10" s="138"/>
    </row>
    <row r="11" spans="1:69" ht="30" customHeight="1">
      <c r="A11" s="153"/>
      <c r="B11" s="153"/>
      <c r="C11" s="153"/>
      <c r="D11" s="160"/>
      <c r="E11" s="160"/>
      <c r="F11" s="160"/>
      <c r="G11" s="160"/>
      <c r="H11" s="160"/>
      <c r="I11" s="153"/>
      <c r="J11" s="153"/>
      <c r="K11" s="153"/>
      <c r="L11" s="138"/>
      <c r="M11" s="138"/>
      <c r="N11" s="138"/>
      <c r="O11" s="138"/>
      <c r="P11" s="138"/>
    </row>
    <row r="12" spans="1:69" ht="15.75" customHeight="1">
      <c r="A12" s="153"/>
      <c r="B12" s="153"/>
      <c r="C12" s="153"/>
      <c r="D12" s="137"/>
      <c r="E12" s="137"/>
      <c r="F12" s="137"/>
      <c r="G12" s="137"/>
      <c r="H12" s="137"/>
      <c r="I12" s="153"/>
      <c r="J12" s="153"/>
      <c r="K12" s="153"/>
      <c r="L12" s="138"/>
      <c r="M12" s="138"/>
      <c r="N12" s="138"/>
      <c r="O12" s="138"/>
      <c r="P12" s="138"/>
    </row>
    <row r="13" spans="1:69" ht="18" customHeight="1">
      <c r="A13" s="153"/>
      <c r="B13" s="153"/>
      <c r="C13" s="153"/>
      <c r="D13" s="137"/>
      <c r="E13" s="161"/>
      <c r="F13" s="161"/>
      <c r="G13" s="161"/>
      <c r="H13" s="137"/>
      <c r="I13" s="153"/>
      <c r="J13" s="153"/>
      <c r="K13" s="153"/>
      <c r="L13" s="138"/>
      <c r="M13" s="138"/>
      <c r="N13" s="138"/>
      <c r="O13" s="138"/>
      <c r="P13" s="138"/>
    </row>
    <row r="14" spans="1:69" ht="15.75" customHeight="1">
      <c r="A14" s="153"/>
      <c r="B14" s="153"/>
      <c r="C14" s="153"/>
      <c r="D14" s="153"/>
      <c r="E14" s="931">
        <v>45052</v>
      </c>
      <c r="F14" s="931"/>
      <c r="G14" s="931"/>
      <c r="H14" s="931"/>
      <c r="I14" s="931"/>
      <c r="J14" s="931"/>
      <c r="K14" s="931"/>
      <c r="L14" s="931"/>
      <c r="M14" s="138"/>
      <c r="N14" s="138"/>
      <c r="O14" s="138"/>
      <c r="P14" s="138"/>
      <c r="Q14" s="139"/>
      <c r="R14" s="139"/>
      <c r="S14" s="139"/>
      <c r="T14" s="139"/>
      <c r="U14" s="139"/>
      <c r="V14" s="139"/>
      <c r="W14" s="139"/>
      <c r="X14" s="139"/>
      <c r="Y14" s="139"/>
      <c r="Z14" s="139"/>
      <c r="AA14" s="139"/>
      <c r="AB14" s="139"/>
      <c r="AC14" s="139"/>
    </row>
    <row r="15" spans="1:69" ht="15.75" customHeight="1">
      <c r="A15" s="153"/>
      <c r="B15" s="153"/>
      <c r="C15" s="153"/>
      <c r="D15" s="153"/>
      <c r="E15" s="153"/>
      <c r="F15" s="153"/>
      <c r="G15" s="153"/>
      <c r="H15" s="153"/>
      <c r="I15" s="153"/>
      <c r="J15" s="153"/>
      <c r="K15" s="153"/>
      <c r="L15" s="138"/>
      <c r="M15" s="138"/>
      <c r="N15" s="138"/>
      <c r="O15" s="162"/>
      <c r="P15" s="138"/>
      <c r="Q15" s="139"/>
      <c r="R15" s="139"/>
      <c r="S15" s="139"/>
      <c r="T15" s="139"/>
      <c r="U15" s="139"/>
      <c r="V15" s="139"/>
      <c r="W15" s="139"/>
      <c r="X15" s="139"/>
      <c r="Y15" s="139"/>
      <c r="Z15" s="139"/>
      <c r="AA15" s="139"/>
      <c r="AB15" s="139"/>
      <c r="AC15" s="139"/>
    </row>
    <row r="16" spans="1:69" ht="15.75" customHeight="1">
      <c r="A16" s="153"/>
      <c r="B16" s="153"/>
      <c r="C16" s="153"/>
      <c r="D16" s="153"/>
      <c r="E16" s="153"/>
      <c r="F16" s="153"/>
      <c r="G16" s="153"/>
      <c r="H16" s="153"/>
      <c r="I16" s="153"/>
      <c r="J16" s="153"/>
      <c r="K16" s="153"/>
      <c r="L16" s="138"/>
      <c r="M16" s="128"/>
      <c r="N16" s="128"/>
      <c r="O16" s="128"/>
      <c r="P16" s="128"/>
      <c r="Q16" s="139"/>
      <c r="R16" s="139"/>
      <c r="S16" s="139"/>
      <c r="T16" s="139"/>
      <c r="U16" s="139"/>
      <c r="V16" s="139"/>
      <c r="W16" s="139"/>
      <c r="X16" s="139"/>
      <c r="Y16" s="139"/>
      <c r="Z16" s="139"/>
      <c r="AA16" s="139"/>
      <c r="AB16" s="139"/>
      <c r="AC16" s="139"/>
    </row>
    <row r="17" spans="1:16" ht="15.75" customHeight="1">
      <c r="A17" s="153"/>
      <c r="B17" s="153"/>
      <c r="C17" s="153"/>
      <c r="D17" s="153"/>
      <c r="E17" s="153"/>
      <c r="F17" s="153"/>
      <c r="G17" s="153"/>
      <c r="H17" s="153"/>
      <c r="I17" s="153"/>
      <c r="J17" s="153"/>
      <c r="K17" s="153"/>
      <c r="L17" s="138"/>
      <c r="M17" s="128"/>
      <c r="N17" s="128"/>
      <c r="O17" s="128"/>
      <c r="P17" s="128"/>
    </row>
    <row r="18" spans="1:16" ht="15.75" customHeight="1">
      <c r="A18" s="153"/>
      <c r="B18" s="153"/>
      <c r="C18" s="153"/>
      <c r="D18" s="153"/>
      <c r="E18" s="153"/>
      <c r="F18" s="153"/>
      <c r="G18" s="153"/>
      <c r="H18" s="153"/>
      <c r="I18" s="153"/>
      <c r="J18" s="153"/>
      <c r="K18" s="153"/>
      <c r="L18" s="138"/>
      <c r="M18" s="128"/>
      <c r="N18" s="128"/>
      <c r="O18" s="128"/>
      <c r="P18" s="128"/>
    </row>
    <row r="19" spans="1:16" ht="15.75" customHeight="1">
      <c r="A19" s="153"/>
      <c r="B19" s="153"/>
      <c r="C19" s="153"/>
      <c r="D19" s="153"/>
      <c r="E19" s="932" t="s">
        <v>130</v>
      </c>
      <c r="F19" s="932"/>
      <c r="G19" s="932"/>
      <c r="H19" s="932"/>
      <c r="I19" s="932"/>
      <c r="J19" s="932"/>
      <c r="K19" s="932"/>
      <c r="L19" s="932"/>
      <c r="M19" s="128"/>
      <c r="N19" s="128"/>
      <c r="O19" s="128"/>
      <c r="P19" s="128"/>
    </row>
    <row r="20" spans="1:16" ht="15.75" customHeight="1">
      <c r="A20" s="153"/>
      <c r="B20" s="153"/>
      <c r="C20" s="153"/>
      <c r="D20" s="153"/>
      <c r="E20" s="153"/>
      <c r="F20" s="153"/>
      <c r="G20" s="128"/>
      <c r="H20" s="932"/>
      <c r="I20" s="932"/>
      <c r="J20" s="932"/>
      <c r="K20" s="153"/>
      <c r="L20" s="138"/>
      <c r="M20" s="128"/>
      <c r="N20" s="128"/>
      <c r="O20" s="128"/>
      <c r="P20" s="128"/>
    </row>
    <row r="21" spans="1:16" ht="15.75" customHeight="1">
      <c r="A21" s="153"/>
      <c r="B21" s="153"/>
      <c r="C21" s="153"/>
      <c r="D21" s="153"/>
      <c r="E21" s="163"/>
      <c r="F21" s="163"/>
      <c r="G21" s="128"/>
      <c r="H21" s="153"/>
      <c r="I21" s="153"/>
      <c r="J21" s="153"/>
      <c r="K21" s="153"/>
      <c r="L21" s="138"/>
      <c r="M21" s="128"/>
      <c r="N21" s="128"/>
      <c r="O21" s="128"/>
      <c r="P21" s="128"/>
    </row>
    <row r="22" spans="1:16" ht="15.75" customHeight="1">
      <c r="A22" s="153"/>
      <c r="B22" s="153"/>
      <c r="C22" s="153"/>
      <c r="D22" s="153"/>
      <c r="E22" s="153"/>
      <c r="F22" s="153"/>
      <c r="G22" s="128"/>
      <c r="H22" s="153"/>
      <c r="I22" s="153"/>
      <c r="J22" s="153"/>
      <c r="K22" s="153"/>
      <c r="L22" s="138"/>
      <c r="M22" s="128"/>
      <c r="N22" s="128"/>
      <c r="O22" s="128"/>
      <c r="P22" s="128"/>
    </row>
    <row r="23" spans="1:16" ht="15.75" customHeight="1">
      <c r="A23" s="153"/>
      <c r="B23" s="153"/>
      <c r="C23" s="153"/>
      <c r="D23" s="153"/>
      <c r="E23" s="164"/>
      <c r="F23" s="924" t="s">
        <v>131</v>
      </c>
      <c r="G23" s="925"/>
      <c r="H23" s="925"/>
      <c r="I23" s="924" t="s">
        <v>132</v>
      </c>
      <c r="J23" s="925"/>
      <c r="K23" s="925"/>
      <c r="L23" s="164"/>
      <c r="M23" s="128"/>
      <c r="N23" s="128"/>
    </row>
    <row r="24" spans="1:16" ht="15.75" customHeight="1">
      <c r="A24" s="153"/>
      <c r="B24" s="153"/>
      <c r="C24" s="153"/>
      <c r="D24" s="153"/>
      <c r="E24" s="934"/>
      <c r="F24" s="935"/>
      <c r="G24" s="935"/>
      <c r="H24" s="924"/>
      <c r="I24" s="924"/>
      <c r="J24" s="924"/>
      <c r="K24" s="924"/>
      <c r="L24" s="933"/>
      <c r="M24" s="138"/>
      <c r="N24" s="138"/>
    </row>
    <row r="25" spans="1:16" ht="15.75" customHeight="1">
      <c r="A25" s="153"/>
      <c r="B25" s="153"/>
      <c r="C25" s="153"/>
      <c r="D25" s="153"/>
      <c r="E25" s="934"/>
      <c r="F25" s="935"/>
      <c r="G25" s="935"/>
      <c r="H25" s="924"/>
      <c r="I25" s="924"/>
      <c r="J25" s="924"/>
      <c r="K25" s="924"/>
      <c r="L25" s="933"/>
      <c r="M25" s="138"/>
      <c r="N25" s="138"/>
    </row>
    <row r="26" spans="1:16" ht="15.75" customHeight="1">
      <c r="A26" s="153"/>
      <c r="B26" s="153"/>
      <c r="C26" s="153"/>
      <c r="D26" s="153"/>
      <c r="E26" s="934"/>
      <c r="F26" s="935"/>
      <c r="G26" s="935"/>
      <c r="H26" s="924"/>
      <c r="I26" s="924"/>
      <c r="J26" s="924"/>
      <c r="K26" s="924"/>
      <c r="L26" s="933"/>
      <c r="M26" s="138"/>
      <c r="N26" s="138"/>
      <c r="O26" s="138"/>
      <c r="P26" s="138"/>
    </row>
    <row r="27" spans="1:16" ht="15.75" customHeight="1">
      <c r="A27" s="153"/>
      <c r="B27" s="153"/>
      <c r="C27" s="153"/>
      <c r="D27" s="153"/>
      <c r="E27" s="153"/>
      <c r="F27" s="153"/>
      <c r="G27" s="153"/>
      <c r="H27" s="153"/>
      <c r="I27" s="153"/>
      <c r="J27" s="153"/>
      <c r="K27" s="153"/>
      <c r="L27" s="138"/>
      <c r="M27" s="138"/>
      <c r="N27" s="138"/>
      <c r="O27" s="138"/>
      <c r="P27" s="138"/>
    </row>
    <row r="28" spans="1:16" ht="15.75" customHeight="1">
      <c r="A28" s="137"/>
      <c r="B28" s="137"/>
      <c r="C28" s="137"/>
      <c r="D28" s="137"/>
      <c r="E28" s="137"/>
      <c r="F28" s="137"/>
      <c r="G28" s="137"/>
      <c r="H28" s="137"/>
      <c r="I28" s="137"/>
      <c r="J28" s="137"/>
      <c r="K28" s="137"/>
      <c r="L28" s="138"/>
    </row>
    <row r="29" spans="1:16" ht="15.75" customHeight="1">
      <c r="A29" s="137"/>
      <c r="B29" s="137"/>
      <c r="C29" s="137"/>
      <c r="D29" s="137"/>
      <c r="E29" s="137"/>
      <c r="F29" s="137"/>
      <c r="G29" s="137"/>
      <c r="H29" s="137"/>
      <c r="I29" s="137"/>
      <c r="J29" s="137"/>
      <c r="K29" s="137"/>
      <c r="L29" s="138"/>
    </row>
    <row r="30" spans="1:16" ht="15.75" customHeight="1">
      <c r="A30" s="137"/>
      <c r="B30" s="137"/>
      <c r="C30" s="137"/>
      <c r="D30" s="137"/>
      <c r="E30" s="137"/>
      <c r="F30" s="137"/>
      <c r="G30" s="137"/>
      <c r="H30" s="137"/>
      <c r="I30" s="137"/>
      <c r="J30" s="137"/>
      <c r="K30" s="137"/>
      <c r="L30" s="138"/>
    </row>
    <row r="31" spans="1:16" ht="15.75" customHeight="1">
      <c r="A31" s="137"/>
      <c r="B31" s="137"/>
      <c r="C31" s="137"/>
      <c r="D31" s="137"/>
      <c r="E31" s="137"/>
      <c r="F31" s="137"/>
      <c r="G31" s="137"/>
      <c r="H31" s="137"/>
      <c r="I31" s="137"/>
      <c r="J31" s="137"/>
      <c r="K31" s="137"/>
      <c r="L31" s="138"/>
    </row>
    <row r="32" spans="1:16" ht="15.75" customHeight="1">
      <c r="A32" s="137"/>
      <c r="B32" s="137"/>
      <c r="C32" s="137"/>
      <c r="D32" s="137"/>
      <c r="E32" s="137"/>
      <c r="F32" s="137"/>
      <c r="G32" s="137"/>
      <c r="H32" s="137"/>
      <c r="I32" s="137"/>
      <c r="J32" s="137"/>
      <c r="K32" s="137"/>
      <c r="L32" s="138"/>
    </row>
    <row r="33" spans="1:12" ht="15.75" customHeight="1">
      <c r="A33" s="137"/>
      <c r="B33" s="137"/>
      <c r="C33" s="137"/>
      <c r="D33" s="164"/>
      <c r="E33" s="164"/>
      <c r="F33" s="164"/>
      <c r="G33" s="164"/>
      <c r="H33" s="164"/>
      <c r="I33" s="137"/>
      <c r="J33" s="137"/>
      <c r="K33" s="137"/>
      <c r="L33" s="138"/>
    </row>
    <row r="34" spans="1:12" ht="15.75" customHeight="1">
      <c r="A34" s="137"/>
      <c r="B34" s="137"/>
      <c r="C34" s="137"/>
      <c r="D34" s="137"/>
      <c r="E34" s="164"/>
      <c r="F34" s="164"/>
      <c r="G34" s="164"/>
      <c r="H34" s="137"/>
      <c r="I34" s="137"/>
      <c r="J34" s="137"/>
      <c r="K34" s="137"/>
      <c r="L34" s="138"/>
    </row>
    <row r="35" spans="1:12" ht="18" customHeight="1">
      <c r="A35" s="137"/>
      <c r="B35" s="137"/>
      <c r="C35" s="137"/>
      <c r="D35" s="137"/>
      <c r="E35" s="137"/>
      <c r="F35" s="137"/>
      <c r="G35" s="137"/>
      <c r="H35" s="137"/>
      <c r="I35" s="137"/>
      <c r="J35" s="137"/>
      <c r="K35" s="137"/>
      <c r="L35" s="138"/>
    </row>
    <row r="36" spans="1:12" ht="15.75" customHeight="1">
      <c r="A36" s="137"/>
      <c r="B36" s="137"/>
      <c r="C36" s="137"/>
      <c r="D36" s="137"/>
      <c r="E36" s="137"/>
      <c r="F36" s="137"/>
      <c r="G36" s="137"/>
      <c r="H36" s="137"/>
      <c r="I36" s="137"/>
      <c r="J36" s="137"/>
      <c r="K36" s="137"/>
      <c r="L36" s="138"/>
    </row>
    <row r="37" spans="1:12" ht="15.75" customHeight="1">
      <c r="A37" s="137"/>
      <c r="B37" s="137"/>
      <c r="C37" s="137"/>
      <c r="D37" s="164"/>
      <c r="E37" s="164"/>
      <c r="F37" s="164"/>
      <c r="G37" s="164"/>
      <c r="H37" s="164"/>
      <c r="I37" s="137"/>
      <c r="J37" s="137"/>
      <c r="K37" s="137"/>
      <c r="L37" s="138"/>
    </row>
    <row r="38" spans="1:12" ht="15.75" customHeight="1">
      <c r="A38" s="137"/>
      <c r="B38" s="137"/>
      <c r="C38" s="137"/>
      <c r="D38" s="164"/>
      <c r="E38" s="164"/>
      <c r="F38" s="164"/>
      <c r="G38" s="164"/>
      <c r="H38" s="164"/>
      <c r="I38" s="137"/>
      <c r="J38" s="137"/>
      <c r="K38" s="137"/>
      <c r="L38" s="138"/>
    </row>
    <row r="39" spans="1:12" ht="15.75" customHeight="1">
      <c r="A39" s="137"/>
      <c r="B39" s="137" t="s">
        <v>684</v>
      </c>
      <c r="C39" s="137"/>
      <c r="D39" s="164"/>
      <c r="E39" s="164"/>
      <c r="F39" s="164"/>
      <c r="G39" s="164"/>
      <c r="H39" s="164"/>
      <c r="I39" s="137"/>
      <c r="J39" s="137"/>
      <c r="K39" s="137"/>
      <c r="L39" s="138"/>
    </row>
    <row r="40" spans="1:12" ht="15.75" customHeight="1">
      <c r="A40" s="137"/>
      <c r="B40" s="137"/>
      <c r="C40" s="137"/>
      <c r="D40" s="164"/>
      <c r="E40" s="164"/>
      <c r="F40" s="164"/>
      <c r="G40" s="164"/>
      <c r="H40" s="164"/>
      <c r="I40" s="137"/>
      <c r="J40" s="137"/>
      <c r="K40" s="137"/>
      <c r="L40" s="138"/>
    </row>
    <row r="41" spans="1:12" ht="15.75" customHeight="1">
      <c r="A41" s="137"/>
      <c r="B41" s="137"/>
      <c r="C41" s="137"/>
      <c r="D41" s="137"/>
      <c r="E41" s="137"/>
      <c r="F41" s="137"/>
      <c r="G41" s="137"/>
      <c r="H41" s="137"/>
      <c r="I41" s="137"/>
      <c r="J41" s="137"/>
      <c r="K41" s="137"/>
      <c r="L41" s="138"/>
    </row>
    <row r="42" spans="1:12" ht="15.75" customHeight="1">
      <c r="A42" s="137"/>
      <c r="B42" s="137"/>
      <c r="C42" s="137"/>
      <c r="D42" s="137"/>
      <c r="E42" s="137"/>
      <c r="F42" s="137"/>
      <c r="G42" s="137"/>
      <c r="H42" s="137"/>
      <c r="I42" s="137"/>
      <c r="J42" s="137"/>
      <c r="K42" s="137"/>
      <c r="L42" s="138"/>
    </row>
    <row r="43" spans="1:12" ht="15.75" customHeight="1">
      <c r="A43" s="137"/>
      <c r="B43" s="137"/>
      <c r="C43" s="137"/>
      <c r="D43" s="137"/>
      <c r="E43" s="137"/>
      <c r="F43" s="137"/>
      <c r="G43" s="137"/>
      <c r="H43" s="137"/>
      <c r="I43" s="137"/>
      <c r="J43" s="137"/>
      <c r="K43" s="137"/>
      <c r="L43" s="138"/>
    </row>
    <row r="44" spans="1:12" ht="15.75" customHeight="1">
      <c r="A44" s="137"/>
      <c r="B44" s="137"/>
      <c r="C44" s="137"/>
      <c r="D44" s="137"/>
      <c r="E44" s="137"/>
      <c r="F44" s="137"/>
      <c r="G44" s="137"/>
      <c r="H44" s="137"/>
      <c r="I44" s="137"/>
      <c r="J44" s="137"/>
      <c r="K44" s="137"/>
      <c r="L44" s="165"/>
    </row>
  </sheetData>
  <mergeCells count="15">
    <mergeCell ref="K24:K26"/>
    <mergeCell ref="L24:L26"/>
    <mergeCell ref="E24:E26"/>
    <mergeCell ref="F24:F26"/>
    <mergeCell ref="G24:G26"/>
    <mergeCell ref="H24:H26"/>
    <mergeCell ref="I24:I26"/>
    <mergeCell ref="J24:J26"/>
    <mergeCell ref="F23:H23"/>
    <mergeCell ref="I23:K23"/>
    <mergeCell ref="E5:L5"/>
    <mergeCell ref="E9:L9"/>
    <mergeCell ref="E14:L14"/>
    <mergeCell ref="E19:L19"/>
    <mergeCell ref="H20:J20"/>
  </mergeCells>
  <phoneticPr fontId="8"/>
  <dataValidations count="1">
    <dataValidation allowBlank="1" showErrorMessage="1" sqref="E9:L9" xr:uid="{60585897-612A-45FE-AD47-96769B55EA02}"/>
  </dataValidations>
  <printOptions horizontalCentered="1" verticalCentered="1"/>
  <pageMargins left="0.98425196850393704" right="0.59055118110236227" top="0.98425196850393704" bottom="0.78740157480314965" header="0.51181102362204722" footer="0.51181102362204722"/>
  <pageSetup paperSize="9" scale="73"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51"/>
  <sheetViews>
    <sheetView view="pageBreakPreview" topLeftCell="A10" zoomScaleNormal="80" zoomScaleSheetLayoutView="100" workbookViewId="0">
      <selection activeCell="E28" sqref="E28"/>
    </sheetView>
  </sheetViews>
  <sheetFormatPr defaultColWidth="9" defaultRowHeight="14.25"/>
  <cols>
    <col min="1" max="1" width="6.1328125" style="127" customWidth="1"/>
    <col min="2" max="2" width="8.3984375" style="127" customWidth="1"/>
    <col min="3" max="6" width="7.86328125" style="127" customWidth="1"/>
    <col min="7" max="8" width="8.59765625" style="127" customWidth="1"/>
    <col min="9" max="16384" width="9" style="127"/>
  </cols>
  <sheetData>
    <row r="1" spans="1:66" s="128" customFormat="1" ht="20.25" customHeight="1">
      <c r="M1" s="138"/>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c r="BE1" s="127"/>
      <c r="BF1" s="127"/>
      <c r="BG1" s="127"/>
      <c r="BH1" s="127"/>
      <c r="BI1" s="127"/>
      <c r="BJ1" s="127"/>
      <c r="BK1" s="127"/>
      <c r="BL1" s="127"/>
      <c r="BM1" s="127"/>
      <c r="BN1" s="127"/>
    </row>
    <row r="2" spans="1:66" s="128" customFormat="1" ht="18" customHeight="1">
      <c r="M2" s="138"/>
      <c r="N2" s="127"/>
      <c r="O2" s="127"/>
      <c r="P2" s="127"/>
      <c r="Q2" s="127"/>
      <c r="R2" s="127"/>
      <c r="S2" s="127"/>
      <c r="T2" s="127"/>
      <c r="U2" s="127"/>
      <c r="V2" s="127"/>
      <c r="W2" s="127"/>
      <c r="X2" s="127"/>
      <c r="Y2" s="127"/>
      <c r="Z2" s="127"/>
      <c r="AA2" s="127"/>
      <c r="AB2" s="127"/>
      <c r="AC2" s="127"/>
      <c r="AD2" s="127"/>
      <c r="AE2" s="127"/>
      <c r="AF2" s="127"/>
      <c r="AG2" s="127"/>
      <c r="AH2" s="127"/>
      <c r="AI2" s="127"/>
      <c r="AJ2" s="127"/>
      <c r="AK2" s="127"/>
      <c r="AL2" s="127"/>
      <c r="AM2" s="127"/>
      <c r="AN2" s="127"/>
      <c r="AO2" s="127"/>
      <c r="AP2" s="127"/>
      <c r="AQ2" s="127"/>
      <c r="AR2" s="127"/>
      <c r="AS2" s="127"/>
      <c r="AT2" s="127"/>
      <c r="AU2" s="127"/>
      <c r="AV2" s="127"/>
      <c r="AW2" s="127"/>
      <c r="AX2" s="127"/>
      <c r="AY2" s="127"/>
      <c r="AZ2" s="127"/>
      <c r="BA2" s="127"/>
      <c r="BB2" s="127"/>
      <c r="BC2" s="127"/>
      <c r="BD2" s="127"/>
      <c r="BE2" s="127"/>
      <c r="BF2" s="127"/>
      <c r="BG2" s="127"/>
      <c r="BH2" s="127"/>
      <c r="BI2" s="127"/>
      <c r="BJ2" s="127"/>
      <c r="BK2" s="127"/>
      <c r="BL2" s="127"/>
      <c r="BM2" s="127"/>
      <c r="BN2" s="127"/>
    </row>
    <row r="3" spans="1:66" ht="34.5" customHeight="1">
      <c r="A3" s="937" t="s">
        <v>133</v>
      </c>
      <c r="B3" s="937"/>
      <c r="C3" s="937"/>
      <c r="D3" s="937"/>
      <c r="E3" s="937"/>
      <c r="F3" s="937"/>
      <c r="G3" s="937"/>
      <c r="H3" s="937"/>
      <c r="I3" s="937"/>
      <c r="J3" s="937"/>
      <c r="K3" s="937"/>
      <c r="L3" s="937"/>
      <c r="M3" s="937"/>
    </row>
    <row r="4" spans="1:66" ht="20.25" customHeight="1">
      <c r="A4" s="128"/>
      <c r="B4" s="128"/>
      <c r="C4" s="128"/>
      <c r="D4" s="128"/>
      <c r="E4" s="128"/>
      <c r="F4" s="128"/>
      <c r="G4" s="128"/>
      <c r="H4" s="128"/>
      <c r="I4" s="128"/>
      <c r="J4" s="128"/>
      <c r="K4" s="128"/>
      <c r="L4" s="128"/>
      <c r="M4" s="138"/>
    </row>
    <row r="5" spans="1:66" ht="22.5" customHeight="1">
      <c r="A5" s="936" t="s">
        <v>134</v>
      </c>
      <c r="B5" s="936"/>
      <c r="C5" s="936"/>
      <c r="D5" s="936"/>
      <c r="E5" s="936"/>
      <c r="F5" s="936"/>
      <c r="G5" s="936"/>
      <c r="H5" s="936"/>
      <c r="I5" s="936"/>
      <c r="J5" s="936"/>
      <c r="K5" s="936"/>
      <c r="L5" s="936"/>
      <c r="M5" s="936"/>
    </row>
    <row r="6" spans="1:66" ht="15.75" customHeight="1">
      <c r="A6" s="128"/>
      <c r="B6" s="128"/>
      <c r="C6" s="128"/>
      <c r="D6" s="128"/>
      <c r="E6" s="128"/>
      <c r="F6" s="128"/>
      <c r="G6" s="128"/>
      <c r="H6" s="128"/>
      <c r="I6" s="128"/>
      <c r="J6" s="128"/>
      <c r="K6" s="128"/>
      <c r="L6" s="128"/>
      <c r="M6" s="138"/>
    </row>
    <row r="7" spans="1:66" ht="22.5" customHeight="1">
      <c r="A7" s="936" t="s">
        <v>135</v>
      </c>
      <c r="B7" s="936"/>
      <c r="C7" s="936"/>
      <c r="D7" s="936"/>
      <c r="E7" s="936"/>
      <c r="F7" s="936"/>
      <c r="G7" s="936"/>
      <c r="H7" s="936"/>
      <c r="I7" s="936"/>
      <c r="J7" s="936"/>
      <c r="K7" s="936"/>
      <c r="L7" s="936"/>
      <c r="M7" s="936"/>
    </row>
    <row r="8" spans="1:66" ht="15.75" customHeight="1">
      <c r="A8" s="128"/>
      <c r="E8" s="128"/>
      <c r="F8" s="128"/>
      <c r="G8" s="128"/>
      <c r="H8" s="128"/>
      <c r="I8" s="128"/>
      <c r="J8" s="128"/>
      <c r="K8" s="128"/>
      <c r="L8" s="128"/>
      <c r="M8" s="138"/>
    </row>
    <row r="9" spans="1:66" ht="19.5" customHeight="1">
      <c r="A9" s="936" t="s">
        <v>136</v>
      </c>
      <c r="B9" s="936"/>
      <c r="C9" s="936"/>
      <c r="D9" s="936"/>
      <c r="E9" s="936"/>
      <c r="F9" s="936"/>
      <c r="G9" s="936"/>
      <c r="H9" s="936"/>
      <c r="I9" s="936"/>
      <c r="J9" s="936"/>
      <c r="K9" s="936"/>
      <c r="L9" s="936"/>
      <c r="M9" s="936"/>
    </row>
    <row r="10" spans="1:66" ht="15.75" customHeight="1">
      <c r="A10" s="128"/>
      <c r="E10" s="128"/>
      <c r="F10" s="128"/>
      <c r="G10" s="128"/>
      <c r="H10" s="128"/>
      <c r="I10" s="128"/>
      <c r="J10" s="128"/>
      <c r="K10" s="128"/>
      <c r="L10" s="128"/>
      <c r="M10" s="138"/>
    </row>
    <row r="11" spans="1:66" ht="19.5" customHeight="1">
      <c r="A11" s="936" t="s">
        <v>137</v>
      </c>
      <c r="B11" s="936"/>
      <c r="C11" s="936"/>
      <c r="D11" s="936"/>
      <c r="E11" s="936"/>
      <c r="F11" s="936"/>
      <c r="G11" s="936"/>
      <c r="H11" s="936"/>
      <c r="I11" s="936"/>
      <c r="J11" s="936"/>
      <c r="K11" s="936"/>
      <c r="L11" s="128"/>
      <c r="M11" s="138"/>
    </row>
    <row r="12" spans="1:66" ht="18.75" customHeight="1">
      <c r="A12" s="128"/>
      <c r="E12" s="128"/>
      <c r="F12" s="128"/>
      <c r="G12" s="128"/>
      <c r="H12" s="128"/>
      <c r="I12" s="128"/>
      <c r="J12" s="128"/>
      <c r="K12" s="128"/>
      <c r="L12" s="128"/>
      <c r="M12" s="138"/>
    </row>
    <row r="13" spans="1:66" ht="19.5" customHeight="1">
      <c r="A13" s="936" t="s">
        <v>138</v>
      </c>
      <c r="B13" s="936"/>
      <c r="C13" s="936"/>
      <c r="D13" s="936"/>
      <c r="E13" s="936"/>
      <c r="F13" s="936"/>
      <c r="G13" s="936"/>
      <c r="H13" s="936"/>
      <c r="I13" s="936"/>
      <c r="J13" s="936"/>
      <c r="K13" s="936"/>
      <c r="L13" s="128"/>
      <c r="M13" s="138"/>
    </row>
    <row r="14" spans="1:66" ht="18" customHeight="1">
      <c r="A14" s="128"/>
      <c r="E14" s="128"/>
      <c r="F14" s="128"/>
      <c r="G14" s="128"/>
      <c r="H14" s="128"/>
      <c r="I14" s="128"/>
      <c r="J14" s="128"/>
      <c r="K14" s="128"/>
      <c r="L14" s="128"/>
      <c r="M14" s="138"/>
    </row>
    <row r="15" spans="1:66" ht="19.5" customHeight="1">
      <c r="A15" s="936" t="s">
        <v>139</v>
      </c>
      <c r="B15" s="936"/>
      <c r="C15" s="936"/>
      <c r="D15" s="936"/>
      <c r="E15" s="936"/>
      <c r="F15" s="936"/>
      <c r="G15" s="936"/>
      <c r="H15" s="936"/>
      <c r="I15" s="936"/>
      <c r="J15" s="936"/>
      <c r="K15" s="936"/>
      <c r="L15" s="128"/>
      <c r="M15" s="138"/>
      <c r="N15" s="139"/>
      <c r="O15" s="139"/>
      <c r="P15" s="139"/>
      <c r="Q15" s="139"/>
      <c r="R15" s="139"/>
      <c r="S15" s="139"/>
      <c r="T15" s="139"/>
      <c r="U15" s="139"/>
      <c r="V15" s="139"/>
      <c r="W15" s="139"/>
      <c r="X15" s="139"/>
      <c r="Y15" s="139"/>
      <c r="Z15" s="139"/>
    </row>
    <row r="16" spans="1:66" ht="15.75" customHeight="1">
      <c r="A16" s="128"/>
      <c r="E16" s="128"/>
      <c r="F16" s="128"/>
      <c r="G16" s="128"/>
      <c r="H16" s="128"/>
      <c r="I16" s="128"/>
      <c r="J16" s="128"/>
      <c r="K16" s="128"/>
      <c r="L16" s="128"/>
      <c r="M16" s="138"/>
      <c r="N16" s="139"/>
      <c r="O16" s="139"/>
      <c r="P16" s="139"/>
      <c r="Q16" s="139"/>
      <c r="R16" s="139"/>
      <c r="S16" s="139"/>
      <c r="T16" s="139"/>
      <c r="U16" s="139"/>
      <c r="V16" s="139"/>
      <c r="W16" s="139"/>
      <c r="X16" s="139"/>
      <c r="Y16" s="139"/>
      <c r="Z16" s="139"/>
    </row>
    <row r="17" spans="1:26" ht="19.5" customHeight="1">
      <c r="A17" s="936" t="s">
        <v>140</v>
      </c>
      <c r="B17" s="936"/>
      <c r="C17" s="936"/>
      <c r="D17" s="936"/>
      <c r="E17" s="936"/>
      <c r="F17" s="936"/>
      <c r="G17" s="936"/>
      <c r="H17" s="936"/>
      <c r="I17" s="936"/>
      <c r="J17" s="936"/>
      <c r="K17" s="936"/>
      <c r="L17" s="128"/>
      <c r="M17" s="138"/>
      <c r="N17" s="139"/>
      <c r="O17" s="139"/>
      <c r="P17" s="139"/>
      <c r="Q17" s="139"/>
      <c r="R17" s="139"/>
      <c r="S17" s="139"/>
      <c r="T17" s="139"/>
      <c r="U17" s="139"/>
      <c r="V17" s="139"/>
      <c r="W17" s="139"/>
      <c r="X17" s="139"/>
      <c r="Y17" s="139"/>
      <c r="Z17" s="139"/>
    </row>
    <row r="18" spans="1:26" ht="15.75" customHeight="1">
      <c r="A18" s="128"/>
      <c r="D18" s="128"/>
      <c r="E18" s="128"/>
      <c r="F18" s="128"/>
      <c r="G18" s="128"/>
      <c r="H18" s="128"/>
      <c r="I18" s="128"/>
      <c r="J18" s="128"/>
      <c r="K18" s="128"/>
      <c r="L18" s="128"/>
      <c r="M18" s="138"/>
    </row>
    <row r="19" spans="1:26" s="128" customFormat="1" ht="19.5" customHeight="1">
      <c r="A19" s="936" t="s">
        <v>141</v>
      </c>
      <c r="B19" s="936"/>
      <c r="C19" s="936"/>
      <c r="D19" s="936"/>
      <c r="E19" s="936"/>
      <c r="F19" s="936"/>
      <c r="G19" s="936"/>
      <c r="H19" s="936"/>
      <c r="I19" s="936"/>
      <c r="J19" s="936"/>
      <c r="K19" s="936"/>
    </row>
    <row r="20" spans="1:26" ht="15.75" customHeight="1">
      <c r="A20" s="128"/>
      <c r="D20" s="128"/>
      <c r="E20" s="128"/>
      <c r="F20" s="128"/>
      <c r="G20" s="128"/>
      <c r="H20" s="128"/>
      <c r="I20" s="128"/>
      <c r="J20" s="128"/>
      <c r="K20" s="128"/>
      <c r="L20" s="128"/>
      <c r="M20" s="138"/>
    </row>
    <row r="21" spans="1:26" ht="15.75" customHeight="1">
      <c r="A21" s="128"/>
      <c r="D21" s="128"/>
      <c r="E21" s="128"/>
      <c r="F21" s="128"/>
      <c r="G21" s="128"/>
      <c r="H21" s="128"/>
      <c r="I21" s="128"/>
      <c r="J21" s="128"/>
      <c r="K21" s="128"/>
      <c r="L21" s="128"/>
      <c r="M21" s="138"/>
    </row>
    <row r="22" spans="1:26" ht="22.5" customHeight="1">
      <c r="A22" s="936" t="s">
        <v>142</v>
      </c>
      <c r="B22" s="936"/>
      <c r="C22" s="936"/>
      <c r="D22" s="936"/>
      <c r="E22" s="936"/>
      <c r="F22" s="936"/>
      <c r="G22" s="936"/>
      <c r="H22" s="936"/>
      <c r="I22" s="936"/>
      <c r="J22" s="936"/>
      <c r="K22" s="936"/>
      <c r="L22" s="128"/>
      <c r="M22" s="138"/>
    </row>
    <row r="23" spans="1:26" ht="15.75" customHeight="1">
      <c r="A23" s="128"/>
      <c r="B23" s="128"/>
      <c r="C23" s="128"/>
      <c r="D23" s="128"/>
      <c r="E23" s="128"/>
      <c r="F23" s="128"/>
      <c r="G23" s="128"/>
      <c r="H23" s="128"/>
      <c r="I23" s="128"/>
      <c r="J23" s="128"/>
      <c r="K23" s="128"/>
      <c r="L23" s="128"/>
      <c r="M23" s="138"/>
    </row>
    <row r="24" spans="1:26" ht="22.5" customHeight="1">
      <c r="A24" s="936" t="s">
        <v>143</v>
      </c>
      <c r="B24" s="936"/>
      <c r="C24" s="936"/>
      <c r="D24" s="936"/>
      <c r="E24" s="936"/>
      <c r="F24" s="936"/>
      <c r="G24" s="936"/>
      <c r="H24" s="936"/>
      <c r="I24" s="936"/>
      <c r="J24" s="936"/>
      <c r="K24" s="936"/>
      <c r="L24" s="128"/>
      <c r="M24" s="138"/>
    </row>
    <row r="25" spans="1:26" ht="15.75" customHeight="1">
      <c r="A25" s="128"/>
      <c r="B25" s="128"/>
      <c r="C25" s="128"/>
      <c r="D25" s="128"/>
      <c r="E25" s="128"/>
      <c r="F25" s="128"/>
      <c r="G25" s="128"/>
      <c r="H25" s="128"/>
      <c r="I25" s="128"/>
      <c r="J25" s="128"/>
      <c r="K25" s="128"/>
      <c r="L25" s="128"/>
      <c r="M25" s="138"/>
    </row>
    <row r="26" spans="1:26" ht="22.5" customHeight="1">
      <c r="A26" s="936" t="s">
        <v>144</v>
      </c>
      <c r="B26" s="936"/>
      <c r="C26" s="936"/>
      <c r="D26" s="936"/>
      <c r="E26" s="936"/>
      <c r="F26" s="936"/>
      <c r="G26" s="936"/>
      <c r="H26" s="936"/>
      <c r="I26" s="936"/>
      <c r="J26" s="936"/>
      <c r="K26" s="936"/>
      <c r="L26" s="128"/>
      <c r="M26" s="138"/>
    </row>
    <row r="27" spans="1:26" ht="15.75" customHeight="1">
      <c r="A27" s="137"/>
      <c r="B27" s="137"/>
      <c r="C27" s="137"/>
      <c r="D27" s="137"/>
      <c r="E27" s="137"/>
      <c r="F27" s="137"/>
      <c r="G27" s="137"/>
      <c r="H27" s="137"/>
      <c r="I27" s="138"/>
    </row>
    <row r="28" spans="1:26" ht="15.75" customHeight="1">
      <c r="A28" s="137"/>
      <c r="B28" s="137"/>
      <c r="C28" s="137"/>
      <c r="D28" s="137"/>
      <c r="E28" s="137"/>
      <c r="F28" s="137"/>
      <c r="G28" s="137"/>
      <c r="H28" s="137"/>
      <c r="I28" s="138"/>
    </row>
    <row r="29" spans="1:26" ht="15.75" customHeight="1">
      <c r="A29" s="137"/>
      <c r="B29" s="137"/>
      <c r="C29" s="137"/>
      <c r="D29" s="137"/>
      <c r="E29" s="137"/>
      <c r="F29" s="137"/>
      <c r="G29" s="137"/>
      <c r="H29" s="137"/>
      <c r="I29" s="138"/>
    </row>
    <row r="30" spans="1:26" ht="15.75" customHeight="1">
      <c r="A30" s="137"/>
      <c r="B30" s="137"/>
      <c r="C30" s="137"/>
      <c r="D30" s="137"/>
      <c r="E30" s="137"/>
      <c r="F30" s="137"/>
      <c r="G30" s="137"/>
      <c r="H30" s="137"/>
      <c r="I30" s="138"/>
    </row>
    <row r="31" spans="1:26" ht="15.75" customHeight="1">
      <c r="A31" s="137"/>
      <c r="B31" s="137"/>
      <c r="C31" s="137"/>
      <c r="D31" s="137"/>
      <c r="E31" s="137"/>
      <c r="F31" s="137"/>
      <c r="G31" s="137"/>
      <c r="H31" s="137"/>
      <c r="I31" s="138"/>
    </row>
    <row r="32" spans="1:26" ht="15.75" customHeight="1">
      <c r="A32" s="137"/>
      <c r="B32" s="137"/>
      <c r="C32" s="137"/>
      <c r="D32" s="137"/>
      <c r="E32" s="137"/>
      <c r="F32" s="137"/>
      <c r="G32" s="137"/>
      <c r="H32" s="137"/>
      <c r="I32" s="138"/>
    </row>
    <row r="33" spans="1:9" ht="15.75" customHeight="1">
      <c r="A33" s="137"/>
      <c r="B33" s="137"/>
      <c r="C33" s="137"/>
      <c r="D33" s="137"/>
      <c r="E33" s="137"/>
      <c r="F33" s="137"/>
      <c r="G33" s="137"/>
      <c r="H33" s="137"/>
      <c r="I33" s="138"/>
    </row>
    <row r="34" spans="1:9" ht="15.75" customHeight="1">
      <c r="A34" s="137"/>
      <c r="B34" s="137"/>
      <c r="C34" s="137"/>
      <c r="D34" s="137"/>
      <c r="E34" s="137"/>
      <c r="F34" s="137"/>
      <c r="G34" s="137"/>
      <c r="H34" s="137"/>
      <c r="I34" s="138"/>
    </row>
    <row r="35" spans="1:9" ht="15.75" customHeight="1">
      <c r="A35" s="137"/>
      <c r="B35" s="164"/>
      <c r="C35" s="164"/>
      <c r="D35" s="164"/>
      <c r="E35" s="164"/>
      <c r="F35" s="137"/>
      <c r="G35" s="137"/>
      <c r="H35" s="137"/>
      <c r="I35" s="138"/>
    </row>
    <row r="36" spans="1:9" ht="15.75" customHeight="1">
      <c r="A36" s="137"/>
      <c r="B36" s="137"/>
      <c r="C36" s="164"/>
      <c r="D36" s="164"/>
      <c r="E36" s="137"/>
      <c r="F36" s="137"/>
      <c r="G36" s="137"/>
      <c r="H36" s="137"/>
      <c r="I36" s="138"/>
    </row>
    <row r="37" spans="1:9" ht="18" customHeight="1">
      <c r="A37" s="137"/>
      <c r="B37" s="137"/>
      <c r="C37" s="137"/>
      <c r="D37" s="137"/>
      <c r="E37" s="137"/>
      <c r="F37" s="137"/>
      <c r="G37" s="137"/>
      <c r="H37" s="137"/>
      <c r="I37" s="138"/>
    </row>
    <row r="38" spans="1:9" ht="15.75" customHeight="1">
      <c r="A38" s="137"/>
      <c r="B38" s="137"/>
      <c r="C38" s="137"/>
      <c r="D38" s="137"/>
      <c r="E38" s="137"/>
      <c r="F38" s="137"/>
      <c r="G38" s="137"/>
      <c r="H38" s="137"/>
      <c r="I38" s="138"/>
    </row>
    <row r="39" spans="1:9" ht="15.75" customHeight="1">
      <c r="A39" s="137"/>
      <c r="B39" s="164" t="s">
        <v>684</v>
      </c>
      <c r="C39" s="164"/>
      <c r="D39" s="164"/>
      <c r="E39" s="164"/>
      <c r="F39" s="137"/>
      <c r="G39" s="137"/>
      <c r="H39" s="137"/>
      <c r="I39" s="138"/>
    </row>
    <row r="40" spans="1:9" ht="15.75" customHeight="1">
      <c r="A40" s="137"/>
      <c r="B40" s="164"/>
      <c r="C40" s="164"/>
      <c r="D40" s="164"/>
      <c r="E40" s="164"/>
      <c r="F40" s="137"/>
      <c r="G40" s="137"/>
      <c r="H40" s="137"/>
      <c r="I40" s="138"/>
    </row>
    <row r="41" spans="1:9" ht="15.75" customHeight="1">
      <c r="A41" s="137"/>
      <c r="B41" s="164"/>
      <c r="C41" s="164"/>
      <c r="D41" s="164"/>
      <c r="E41" s="164"/>
      <c r="F41" s="137"/>
      <c r="G41" s="137"/>
      <c r="H41" s="137"/>
      <c r="I41" s="138"/>
    </row>
    <row r="42" spans="1:9" ht="15.75" customHeight="1">
      <c r="A42" s="137"/>
      <c r="B42" s="164"/>
      <c r="C42" s="164"/>
      <c r="D42" s="164"/>
      <c r="E42" s="164"/>
      <c r="F42" s="137"/>
      <c r="G42" s="137"/>
      <c r="H42" s="137"/>
      <c r="I42" s="138"/>
    </row>
    <row r="43" spans="1:9" ht="15.75" customHeight="1">
      <c r="A43" s="137"/>
      <c r="B43" s="137"/>
      <c r="C43" s="137"/>
      <c r="D43" s="137"/>
      <c r="E43" s="137"/>
      <c r="F43" s="137"/>
      <c r="G43" s="137"/>
      <c r="H43" s="137"/>
      <c r="I43" s="138"/>
    </row>
    <row r="44" spans="1:9" ht="15.75" customHeight="1">
      <c r="A44" s="137"/>
      <c r="B44" s="137"/>
      <c r="C44" s="137"/>
      <c r="D44" s="137"/>
      <c r="E44" s="137"/>
      <c r="F44" s="137"/>
      <c r="G44" s="137"/>
      <c r="H44" s="137"/>
      <c r="I44" s="138"/>
    </row>
    <row r="45" spans="1:9" ht="15.75" customHeight="1">
      <c r="A45" s="137"/>
      <c r="B45" s="137"/>
      <c r="C45" s="137"/>
      <c r="D45" s="137"/>
      <c r="E45" s="137"/>
      <c r="F45" s="137"/>
      <c r="G45" s="137"/>
      <c r="H45" s="137"/>
      <c r="I45" s="138"/>
    </row>
    <row r="46" spans="1:9" ht="15.75" customHeight="1">
      <c r="A46" s="137"/>
      <c r="B46" s="137"/>
      <c r="C46" s="137"/>
      <c r="D46" s="137"/>
      <c r="E46" s="137"/>
      <c r="F46" s="137"/>
      <c r="G46" s="137"/>
      <c r="H46" s="137"/>
      <c r="I46" s="165"/>
    </row>
    <row r="50" spans="1:1">
      <c r="A50" s="139"/>
    </row>
    <row r="51" spans="1:1">
      <c r="A51" s="139"/>
    </row>
  </sheetData>
  <mergeCells count="12">
    <mergeCell ref="A26:K26"/>
    <mergeCell ref="A15:K15"/>
    <mergeCell ref="A17:K17"/>
    <mergeCell ref="A19:K19"/>
    <mergeCell ref="A22:K22"/>
    <mergeCell ref="A24:K24"/>
    <mergeCell ref="A13:K13"/>
    <mergeCell ref="A3:M3"/>
    <mergeCell ref="A5:M5"/>
    <mergeCell ref="A7:M7"/>
    <mergeCell ref="A9:M9"/>
    <mergeCell ref="A11:K11"/>
  </mergeCells>
  <phoneticPr fontId="8"/>
  <printOptions verticalCentered="1"/>
  <pageMargins left="1.3779527559055118" right="0.59055118110236227" top="0.98425196850393704" bottom="0.78740157480314965" header="0.51181102362204722" footer="0.51181102362204722"/>
  <pageSetup paperSize="9" scale="86"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O39"/>
  <sheetViews>
    <sheetView view="pageBreakPreview" zoomScale="85" zoomScaleNormal="100" zoomScaleSheetLayoutView="85" workbookViewId="0">
      <selection activeCell="B2" sqref="B2:S2"/>
    </sheetView>
  </sheetViews>
  <sheetFormatPr defaultColWidth="9" defaultRowHeight="14.25"/>
  <cols>
    <col min="1" max="1" width="3.59765625" style="127" customWidth="1"/>
    <col min="2" max="2" width="6.1328125" style="127" customWidth="1"/>
    <col min="3" max="3" width="8.3984375" style="127" customWidth="1"/>
    <col min="4" max="7" width="7.86328125" style="127" customWidth="1"/>
    <col min="8" max="9" width="8.59765625" style="127" customWidth="1"/>
    <col min="10" max="19" width="9" style="127"/>
    <col min="20" max="20" width="4.1328125" style="127" customWidth="1"/>
    <col min="21" max="16384" width="9" style="127"/>
  </cols>
  <sheetData>
    <row r="1" spans="1:67" s="128" customFormat="1" ht="20.25" customHeight="1">
      <c r="A1" s="123"/>
      <c r="B1" s="124"/>
      <c r="C1" s="124"/>
      <c r="D1" s="124"/>
      <c r="E1" s="124"/>
      <c r="F1" s="124"/>
      <c r="G1" s="124"/>
      <c r="H1" s="124"/>
      <c r="I1" s="124"/>
      <c r="J1" s="124"/>
      <c r="K1" s="124"/>
      <c r="L1" s="124"/>
      <c r="M1" s="124"/>
      <c r="N1" s="124"/>
      <c r="O1" s="125"/>
      <c r="P1" s="125"/>
      <c r="Q1" s="125"/>
      <c r="R1" s="125"/>
      <c r="S1" s="125"/>
      <c r="T1" s="126"/>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c r="BE1" s="127"/>
      <c r="BF1" s="127"/>
      <c r="BG1" s="127"/>
      <c r="BH1" s="127"/>
      <c r="BI1" s="127"/>
      <c r="BJ1" s="127"/>
      <c r="BK1" s="127"/>
      <c r="BL1" s="127"/>
      <c r="BM1" s="127"/>
      <c r="BN1" s="127"/>
      <c r="BO1" s="127"/>
    </row>
    <row r="2" spans="1:67" ht="34.5" customHeight="1">
      <c r="A2" s="129"/>
      <c r="B2" s="943" t="s">
        <v>766</v>
      </c>
      <c r="C2" s="943"/>
      <c r="D2" s="943"/>
      <c r="E2" s="943"/>
      <c r="F2" s="943"/>
      <c r="G2" s="943"/>
      <c r="H2" s="943"/>
      <c r="I2" s="943"/>
      <c r="J2" s="943"/>
      <c r="K2" s="943"/>
      <c r="L2" s="943"/>
      <c r="M2" s="943"/>
      <c r="N2" s="943"/>
      <c r="O2" s="943"/>
      <c r="P2" s="943"/>
      <c r="Q2" s="943"/>
      <c r="R2" s="943"/>
      <c r="S2" s="943"/>
      <c r="T2" s="130"/>
    </row>
    <row r="3" spans="1:67" ht="29.25" customHeight="1">
      <c r="A3" s="131"/>
      <c r="B3" s="132" t="s">
        <v>126</v>
      </c>
      <c r="C3" s="133"/>
      <c r="D3" s="133"/>
      <c r="E3" s="133"/>
      <c r="F3" s="133"/>
      <c r="G3" s="133"/>
      <c r="H3" s="133"/>
      <c r="I3" s="133"/>
      <c r="J3" s="134"/>
      <c r="K3" s="135"/>
      <c r="L3" s="135"/>
      <c r="M3" s="135"/>
      <c r="N3" s="135"/>
      <c r="O3" s="135"/>
      <c r="P3" s="135"/>
      <c r="Q3" s="135"/>
      <c r="R3" s="135"/>
      <c r="S3" s="135"/>
      <c r="T3" s="136"/>
    </row>
    <row r="4" spans="1:67" ht="19.5" customHeight="1">
      <c r="A4" s="129"/>
      <c r="B4" s="137"/>
      <c r="C4" s="137"/>
      <c r="D4" s="137"/>
      <c r="E4" s="137"/>
      <c r="F4" s="137"/>
      <c r="G4" s="137"/>
      <c r="H4" s="137"/>
      <c r="I4" s="137"/>
      <c r="J4" s="138"/>
      <c r="K4" s="139"/>
      <c r="L4" s="139"/>
      <c r="M4" s="139"/>
      <c r="N4" s="139"/>
      <c r="O4" s="139"/>
      <c r="P4" s="139"/>
      <c r="Q4" s="139"/>
      <c r="R4" s="139"/>
      <c r="S4" s="139"/>
      <c r="T4" s="130"/>
    </row>
    <row r="5" spans="1:67" ht="19.5" customHeight="1">
      <c r="A5" s="129"/>
      <c r="B5" s="140" t="s">
        <v>127</v>
      </c>
      <c r="C5" s="938" t="s">
        <v>236</v>
      </c>
      <c r="D5" s="939"/>
      <c r="E5" s="939"/>
      <c r="F5" s="939"/>
      <c r="G5" s="939"/>
      <c r="H5" s="939"/>
      <c r="I5" s="939"/>
      <c r="J5" s="939"/>
      <c r="K5" s="939"/>
      <c r="L5" s="939"/>
      <c r="M5" s="939"/>
      <c r="N5" s="939"/>
      <c r="O5" s="939"/>
      <c r="P5" s="939"/>
      <c r="Q5" s="939"/>
      <c r="R5" s="939"/>
      <c r="S5" s="939"/>
      <c r="T5" s="940"/>
    </row>
    <row r="6" spans="1:67" ht="19.5" customHeight="1">
      <c r="A6" s="129"/>
      <c r="B6" s="177"/>
      <c r="C6" s="938"/>
      <c r="D6" s="939"/>
      <c r="E6" s="939"/>
      <c r="F6" s="939"/>
      <c r="G6" s="939"/>
      <c r="H6" s="939"/>
      <c r="I6" s="939"/>
      <c r="J6" s="939"/>
      <c r="K6" s="939"/>
      <c r="L6" s="939"/>
      <c r="M6" s="939"/>
      <c r="N6" s="939"/>
      <c r="O6" s="939"/>
      <c r="P6" s="939"/>
      <c r="Q6" s="939"/>
      <c r="R6" s="939"/>
      <c r="S6" s="939"/>
      <c r="T6" s="940"/>
    </row>
    <row r="7" spans="1:67" ht="19.5" customHeight="1">
      <c r="A7" s="129"/>
      <c r="B7" s="140"/>
      <c r="C7" s="939"/>
      <c r="D7" s="939"/>
      <c r="E7" s="939"/>
      <c r="F7" s="939"/>
      <c r="G7" s="939"/>
      <c r="H7" s="939"/>
      <c r="I7" s="939"/>
      <c r="J7" s="939"/>
      <c r="K7" s="939"/>
      <c r="L7" s="939"/>
      <c r="M7" s="939"/>
      <c r="N7" s="939"/>
      <c r="O7" s="939"/>
      <c r="P7" s="939"/>
      <c r="Q7" s="939"/>
      <c r="R7" s="939"/>
      <c r="S7" s="939"/>
      <c r="T7" s="940"/>
    </row>
    <row r="8" spans="1:67" ht="19.5" customHeight="1">
      <c r="A8" s="129"/>
      <c r="B8" s="140"/>
      <c r="C8" s="939"/>
      <c r="D8" s="939"/>
      <c r="E8" s="939"/>
      <c r="F8" s="939"/>
      <c r="G8" s="939"/>
      <c r="H8" s="939"/>
      <c r="I8" s="939"/>
      <c r="J8" s="939"/>
      <c r="K8" s="939"/>
      <c r="L8" s="939"/>
      <c r="M8" s="939"/>
      <c r="N8" s="939"/>
      <c r="O8" s="939"/>
      <c r="P8" s="939"/>
      <c r="Q8" s="939"/>
      <c r="R8" s="939"/>
      <c r="S8" s="939"/>
      <c r="T8" s="940"/>
    </row>
    <row r="9" spans="1:67" ht="19.5" customHeight="1">
      <c r="A9" s="129"/>
      <c r="B9" s="140"/>
      <c r="C9" s="941"/>
      <c r="D9" s="941"/>
      <c r="E9" s="941"/>
      <c r="F9" s="941"/>
      <c r="G9" s="941"/>
      <c r="H9" s="941"/>
      <c r="I9" s="941"/>
      <c r="J9" s="941"/>
      <c r="K9" s="941"/>
      <c r="L9" s="941"/>
      <c r="M9" s="941"/>
      <c r="N9" s="941"/>
      <c r="O9" s="941"/>
      <c r="P9" s="941"/>
      <c r="Q9" s="941"/>
      <c r="R9" s="941"/>
      <c r="S9" s="941"/>
      <c r="T9" s="942"/>
    </row>
    <row r="10" spans="1:67" ht="19.5" customHeight="1">
      <c r="A10" s="129"/>
      <c r="B10" s="139"/>
      <c r="C10" s="941"/>
      <c r="D10" s="941"/>
      <c r="E10" s="941"/>
      <c r="F10" s="941"/>
      <c r="G10" s="941"/>
      <c r="H10" s="941"/>
      <c r="I10" s="941"/>
      <c r="J10" s="941"/>
      <c r="K10" s="941"/>
      <c r="L10" s="941"/>
      <c r="M10" s="941"/>
      <c r="N10" s="941"/>
      <c r="O10" s="941"/>
      <c r="P10" s="941"/>
      <c r="Q10" s="941"/>
      <c r="R10" s="941"/>
      <c r="S10" s="941"/>
      <c r="T10" s="942"/>
    </row>
    <row r="11" spans="1:67" ht="19.5" customHeight="1">
      <c r="A11" s="129"/>
      <c r="B11" s="139"/>
      <c r="C11" s="939"/>
      <c r="D11" s="939"/>
      <c r="E11" s="939"/>
      <c r="F11" s="939"/>
      <c r="G11" s="939"/>
      <c r="H11" s="939"/>
      <c r="I11" s="939"/>
      <c r="J11" s="939"/>
      <c r="K11" s="939"/>
      <c r="L11" s="939"/>
      <c r="M11" s="939"/>
      <c r="N11" s="939"/>
      <c r="O11" s="939"/>
      <c r="P11" s="939"/>
      <c r="Q11" s="939"/>
      <c r="R11" s="939"/>
      <c r="S11" s="939"/>
      <c r="T11" s="940"/>
    </row>
    <row r="12" spans="1:67" ht="20.25" customHeight="1">
      <c r="A12" s="129"/>
      <c r="B12" s="139"/>
      <c r="C12" s="944"/>
      <c r="D12" s="944"/>
      <c r="E12" s="944"/>
      <c r="F12" s="944"/>
      <c r="G12" s="944"/>
      <c r="H12" s="944"/>
      <c r="I12" s="944"/>
      <c r="J12" s="944"/>
      <c r="K12" s="944"/>
      <c r="L12" s="944"/>
      <c r="M12" s="944"/>
      <c r="N12" s="944"/>
      <c r="O12" s="944"/>
      <c r="P12" s="944"/>
      <c r="Q12" s="944"/>
      <c r="R12" s="944"/>
      <c r="S12" s="944"/>
      <c r="T12" s="945"/>
    </row>
    <row r="13" spans="1:67" ht="20.25" customHeight="1">
      <c r="A13" s="129"/>
      <c r="B13" s="137"/>
      <c r="C13" s="939"/>
      <c r="D13" s="939"/>
      <c r="E13" s="939"/>
      <c r="F13" s="939"/>
      <c r="G13" s="939"/>
      <c r="H13" s="939"/>
      <c r="I13" s="939"/>
      <c r="J13" s="939"/>
      <c r="K13" s="939"/>
      <c r="L13" s="939"/>
      <c r="M13" s="939"/>
      <c r="N13" s="939"/>
      <c r="O13" s="939"/>
      <c r="P13" s="939"/>
      <c r="Q13" s="939"/>
      <c r="R13" s="939"/>
      <c r="S13" s="939"/>
      <c r="T13" s="940"/>
    </row>
    <row r="14" spans="1:67" ht="19.5" customHeight="1">
      <c r="A14" s="141"/>
      <c r="B14" s="142"/>
      <c r="C14" s="143"/>
      <c r="D14" s="143"/>
      <c r="E14" s="143"/>
      <c r="F14" s="143"/>
      <c r="G14" s="142"/>
      <c r="H14" s="142"/>
      <c r="I14" s="142"/>
      <c r="J14" s="144"/>
      <c r="K14" s="145"/>
      <c r="L14" s="145"/>
      <c r="M14" s="145"/>
      <c r="N14" s="145"/>
      <c r="O14" s="145"/>
      <c r="P14" s="145"/>
      <c r="Q14" s="145"/>
      <c r="R14" s="145"/>
      <c r="S14" s="145"/>
      <c r="T14" s="146"/>
    </row>
    <row r="15" spans="1:67" ht="29.25" customHeight="1">
      <c r="A15" s="131"/>
      <c r="B15" s="132" t="s">
        <v>128</v>
      </c>
      <c r="C15" s="147"/>
      <c r="D15" s="147"/>
      <c r="E15" s="147"/>
      <c r="F15" s="147"/>
      <c r="G15" s="133"/>
      <c r="H15" s="133"/>
      <c r="I15" s="133"/>
      <c r="J15" s="134"/>
      <c r="K15" s="135"/>
      <c r="L15" s="135"/>
      <c r="M15" s="135"/>
      <c r="N15" s="135"/>
      <c r="O15" s="135"/>
      <c r="P15" s="135"/>
      <c r="Q15" s="135"/>
      <c r="R15" s="135"/>
      <c r="S15" s="135"/>
      <c r="T15" s="136"/>
    </row>
    <row r="16" spans="1:67" ht="20.25" customHeight="1">
      <c r="A16" s="129"/>
      <c r="B16" s="137"/>
      <c r="C16" s="137"/>
      <c r="D16" s="137"/>
      <c r="E16" s="137"/>
      <c r="F16" s="137"/>
      <c r="G16" s="137"/>
      <c r="H16" s="137"/>
      <c r="I16" s="137"/>
      <c r="J16" s="138"/>
      <c r="K16" s="139"/>
      <c r="L16" s="139"/>
      <c r="M16" s="139"/>
      <c r="N16" s="139"/>
      <c r="O16" s="139"/>
      <c r="P16" s="139"/>
      <c r="Q16" s="139"/>
      <c r="R16" s="139"/>
      <c r="S16" s="139"/>
      <c r="T16" s="130"/>
    </row>
    <row r="17" spans="1:20" ht="20.25" customHeight="1">
      <c r="A17" s="129"/>
      <c r="B17" s="137" t="s">
        <v>127</v>
      </c>
      <c r="C17" s="137" t="s">
        <v>227</v>
      </c>
      <c r="D17" s="137"/>
      <c r="E17" s="137"/>
      <c r="F17" s="137"/>
      <c r="G17" s="137"/>
      <c r="H17" s="137"/>
      <c r="I17" s="137"/>
      <c r="J17" s="138"/>
      <c r="K17" s="139"/>
      <c r="L17" s="139"/>
      <c r="M17" s="139"/>
      <c r="N17" s="139"/>
      <c r="O17" s="139"/>
      <c r="P17" s="139"/>
      <c r="Q17" s="139"/>
      <c r="R17" s="139"/>
      <c r="S17" s="139"/>
      <c r="T17" s="130"/>
    </row>
    <row r="18" spans="1:20" ht="20.25" customHeight="1">
      <c r="A18" s="129"/>
      <c r="B18" s="137"/>
      <c r="C18" s="137"/>
      <c r="D18" s="137"/>
      <c r="E18" s="137"/>
      <c r="F18" s="137"/>
      <c r="G18" s="137"/>
      <c r="H18" s="137"/>
      <c r="I18" s="137"/>
      <c r="J18" s="138"/>
      <c r="K18" s="139"/>
      <c r="L18" s="139"/>
      <c r="M18" s="139"/>
      <c r="N18" s="139"/>
      <c r="O18" s="139"/>
      <c r="P18" s="139"/>
      <c r="Q18" s="139"/>
      <c r="R18" s="139"/>
      <c r="S18" s="139"/>
      <c r="T18" s="130"/>
    </row>
    <row r="19" spans="1:20" ht="20.25" customHeight="1">
      <c r="A19" s="141"/>
      <c r="B19" s="145"/>
      <c r="C19" s="145"/>
      <c r="D19" s="145"/>
      <c r="E19" s="145"/>
      <c r="F19" s="145"/>
      <c r="G19" s="145"/>
      <c r="H19" s="145"/>
      <c r="I19" s="145"/>
      <c r="J19" s="145"/>
      <c r="K19" s="145"/>
      <c r="L19" s="145"/>
      <c r="M19" s="145"/>
      <c r="N19" s="145"/>
      <c r="O19" s="145"/>
      <c r="P19" s="145"/>
      <c r="Q19" s="145"/>
      <c r="R19" s="145"/>
      <c r="S19" s="145"/>
      <c r="T19" s="146"/>
    </row>
    <row r="20" spans="1:20" ht="30.75" customHeight="1">
      <c r="A20" s="129"/>
      <c r="B20" s="148" t="s">
        <v>129</v>
      </c>
      <c r="C20" s="139"/>
      <c r="D20" s="139"/>
      <c r="E20" s="139"/>
      <c r="F20" s="139"/>
      <c r="G20" s="139"/>
      <c r="H20" s="139"/>
      <c r="I20" s="139"/>
      <c r="J20" s="139"/>
      <c r="K20" s="139"/>
      <c r="L20" s="139"/>
      <c r="M20" s="139"/>
      <c r="N20" s="139"/>
      <c r="O20" s="139"/>
      <c r="P20" s="139"/>
      <c r="Q20" s="139"/>
      <c r="R20" s="139"/>
      <c r="S20" s="139"/>
      <c r="T20" s="130"/>
    </row>
    <row r="21" spans="1:20" ht="20.25" customHeight="1">
      <c r="A21" s="129"/>
      <c r="B21" s="139"/>
      <c r="C21" s="139"/>
      <c r="D21" s="139"/>
      <c r="E21" s="139"/>
      <c r="F21" s="139"/>
      <c r="G21" s="139"/>
      <c r="H21" s="139"/>
      <c r="I21" s="139"/>
      <c r="J21" s="139"/>
      <c r="K21" s="139"/>
      <c r="L21" s="139"/>
      <c r="M21" s="139"/>
      <c r="N21" s="139"/>
      <c r="O21" s="139"/>
      <c r="P21" s="139"/>
      <c r="Q21" s="139"/>
      <c r="R21" s="139"/>
      <c r="S21" s="139"/>
      <c r="T21" s="130"/>
    </row>
    <row r="22" spans="1:20" ht="20.25" customHeight="1">
      <c r="A22" s="129"/>
      <c r="B22" s="137" t="s">
        <v>127</v>
      </c>
      <c r="C22" s="938" t="s">
        <v>255</v>
      </c>
      <c r="D22" s="939"/>
      <c r="E22" s="939"/>
      <c r="F22" s="939"/>
      <c r="G22" s="939"/>
      <c r="H22" s="939"/>
      <c r="I22" s="939"/>
      <c r="J22" s="939"/>
      <c r="K22" s="939"/>
      <c r="L22" s="939"/>
      <c r="M22" s="939"/>
      <c r="N22" s="939"/>
      <c r="O22" s="939"/>
      <c r="P22" s="939"/>
      <c r="Q22" s="939"/>
      <c r="R22" s="939"/>
      <c r="S22" s="939"/>
      <c r="T22" s="940"/>
    </row>
    <row r="23" spans="1:20" ht="20.25" customHeight="1">
      <c r="A23" s="129"/>
      <c r="B23" s="139"/>
      <c r="C23" s="938"/>
      <c r="D23" s="939"/>
      <c r="E23" s="939"/>
      <c r="F23" s="939"/>
      <c r="G23" s="939"/>
      <c r="H23" s="939"/>
      <c r="I23" s="939"/>
      <c r="J23" s="939"/>
      <c r="K23" s="939"/>
      <c r="L23" s="939"/>
      <c r="M23" s="939"/>
      <c r="N23" s="939"/>
      <c r="O23" s="939"/>
      <c r="P23" s="939"/>
      <c r="Q23" s="939"/>
      <c r="R23" s="939"/>
      <c r="S23" s="939"/>
      <c r="T23" s="940"/>
    </row>
    <row r="24" spans="1:20" ht="20.25" customHeight="1">
      <c r="A24" s="129"/>
      <c r="B24" s="138"/>
      <c r="C24" s="171"/>
      <c r="D24" s="171"/>
      <c r="E24" s="171"/>
      <c r="F24" s="171"/>
      <c r="G24" s="171"/>
      <c r="H24" s="171"/>
      <c r="I24" s="171"/>
      <c r="J24" s="171"/>
      <c r="K24" s="171"/>
      <c r="L24" s="171"/>
      <c r="M24" s="171"/>
      <c r="N24" s="171"/>
      <c r="O24" s="171"/>
      <c r="P24" s="171"/>
      <c r="Q24" s="171"/>
      <c r="R24" s="171"/>
      <c r="S24" s="171"/>
      <c r="T24" s="172"/>
    </row>
    <row r="25" spans="1:20" ht="20.25" customHeight="1">
      <c r="A25" s="129"/>
      <c r="B25" s="138"/>
      <c r="C25" s="171"/>
      <c r="D25" s="171"/>
      <c r="E25" s="171"/>
      <c r="F25" s="171"/>
      <c r="G25" s="171"/>
      <c r="H25" s="171"/>
      <c r="I25" s="171"/>
      <c r="J25" s="171"/>
      <c r="K25" s="171"/>
      <c r="L25" s="171"/>
      <c r="M25" s="171"/>
      <c r="N25" s="171"/>
      <c r="O25" s="171"/>
      <c r="P25" s="171"/>
      <c r="Q25" s="171"/>
      <c r="R25" s="171"/>
      <c r="S25" s="171"/>
      <c r="T25" s="172"/>
    </row>
    <row r="26" spans="1:20" ht="20.25" customHeight="1">
      <c r="A26" s="129"/>
      <c r="B26" s="139"/>
      <c r="C26" s="149"/>
      <c r="D26" s="139"/>
      <c r="E26" s="139"/>
      <c r="F26" s="139"/>
      <c r="G26" s="139"/>
      <c r="H26" s="139"/>
      <c r="I26" s="139"/>
      <c r="J26" s="139"/>
      <c r="K26" s="139"/>
      <c r="L26" s="139"/>
      <c r="M26" s="139"/>
      <c r="N26" s="139"/>
      <c r="O26" s="139"/>
      <c r="P26" s="139"/>
      <c r="Q26" s="139"/>
      <c r="R26" s="139"/>
      <c r="S26" s="139"/>
      <c r="T26" s="130"/>
    </row>
    <row r="27" spans="1:20" ht="20.25" customHeight="1">
      <c r="A27" s="150"/>
      <c r="B27" s="151"/>
      <c r="C27" s="151"/>
      <c r="D27" s="151"/>
      <c r="E27" s="151"/>
      <c r="F27" s="151"/>
      <c r="G27" s="151"/>
      <c r="H27" s="151"/>
      <c r="I27" s="151"/>
      <c r="J27" s="151"/>
      <c r="K27" s="151"/>
      <c r="L27" s="151"/>
      <c r="M27" s="151"/>
      <c r="N27" s="151"/>
      <c r="O27" s="151"/>
      <c r="P27" s="151"/>
      <c r="Q27" s="151"/>
      <c r="R27" s="151"/>
      <c r="S27" s="151"/>
      <c r="T27" s="152"/>
    </row>
    <row r="39" spans="2:2">
      <c r="B39" s="127" t="s">
        <v>684</v>
      </c>
    </row>
  </sheetData>
  <mergeCells count="12">
    <mergeCell ref="C23:T23"/>
    <mergeCell ref="C9:T9"/>
    <mergeCell ref="B2:S2"/>
    <mergeCell ref="C8:T8"/>
    <mergeCell ref="C13:T13"/>
    <mergeCell ref="C22:T22"/>
    <mergeCell ref="C10:T10"/>
    <mergeCell ref="C11:T11"/>
    <mergeCell ref="C12:T12"/>
    <mergeCell ref="C5:T5"/>
    <mergeCell ref="C6:T6"/>
    <mergeCell ref="C7:T7"/>
  </mergeCells>
  <phoneticPr fontId="8"/>
  <pageMargins left="0.63" right="0.47" top="0.82" bottom="0.39370078740157483" header="0.31496062992125984" footer="0.31496062992125984"/>
  <pageSetup paperSize="9" scale="85"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A80"/>
  <sheetViews>
    <sheetView tabSelected="1" view="pageBreakPreview" zoomScaleNormal="80" zoomScaleSheetLayoutView="100" workbookViewId="0">
      <selection activeCell="F45" sqref="F45"/>
    </sheetView>
  </sheetViews>
  <sheetFormatPr defaultColWidth="9" defaultRowHeight="12.75"/>
  <cols>
    <col min="1" max="9" width="9" style="4"/>
    <col min="10" max="10" width="9" style="81"/>
    <col min="11" max="12" width="9" style="4"/>
    <col min="13" max="13" width="9.46484375" style="4" bestFit="1" customWidth="1"/>
    <col min="14" max="21" width="9" style="4"/>
    <col min="22" max="22" width="9" style="81"/>
    <col min="23" max="26" width="9" style="4"/>
    <col min="27" max="27" width="14.59765625" style="4" customWidth="1"/>
    <col min="28" max="16384" width="9" style="4"/>
  </cols>
  <sheetData>
    <row r="1" spans="1:27" ht="23.25" thickBot="1">
      <c r="A1" s="1" t="s">
        <v>19</v>
      </c>
      <c r="B1" s="2"/>
      <c r="C1" s="3"/>
      <c r="D1" s="3"/>
      <c r="E1" s="3"/>
      <c r="F1" s="3"/>
      <c r="G1" s="3"/>
      <c r="H1" s="3"/>
      <c r="I1" s="3"/>
      <c r="J1" s="80"/>
      <c r="K1" s="3"/>
      <c r="L1" s="3"/>
      <c r="M1" s="3"/>
      <c r="N1" s="3"/>
      <c r="O1" s="3"/>
      <c r="P1" s="3"/>
      <c r="Q1" s="3"/>
      <c r="R1" s="3"/>
      <c r="S1" s="3"/>
      <c r="T1" s="3"/>
      <c r="U1" s="3"/>
      <c r="V1" s="80"/>
      <c r="W1" s="3"/>
      <c r="X1" s="3"/>
    </row>
    <row r="2" spans="1:27" ht="17.25" customHeight="1" thickTop="1">
      <c r="A2" s="5"/>
      <c r="B2" s="6"/>
    </row>
    <row r="3" spans="1:27" ht="17.25" customHeight="1">
      <c r="A3" s="5"/>
      <c r="B3" s="6"/>
      <c r="Z3" s="192">
        <v>2023</v>
      </c>
      <c r="AA3" s="193" t="s">
        <v>230</v>
      </c>
    </row>
    <row r="4" spans="1:27" s="7" customFormat="1" ht="18" customHeight="1">
      <c r="A4" s="1009" t="s">
        <v>111</v>
      </c>
      <c r="B4" s="1010"/>
      <c r="C4" s="1010"/>
      <c r="D4" s="1010"/>
      <c r="E4" s="1010"/>
      <c r="F4" s="1011"/>
      <c r="J4" s="11"/>
      <c r="V4" s="11"/>
      <c r="Z4" s="194">
        <v>4</v>
      </c>
      <c r="AA4" s="195">
        <v>44197</v>
      </c>
    </row>
    <row r="5" spans="1:27" s="7" customFormat="1" ht="14.1" customHeight="1">
      <c r="J5" s="11"/>
      <c r="V5" s="11"/>
      <c r="Z5" s="196">
        <v>1</v>
      </c>
      <c r="AA5" s="195">
        <v>44207</v>
      </c>
    </row>
    <row r="6" spans="1:27" s="11" customFormat="1" ht="14.1" customHeight="1">
      <c r="A6" s="8" t="s">
        <v>5</v>
      </c>
      <c r="B6" s="8" t="s">
        <v>6</v>
      </c>
      <c r="C6" s="999" t="s">
        <v>7</v>
      </c>
      <c r="D6" s="1001"/>
      <c r="E6" s="999" t="s">
        <v>8</v>
      </c>
      <c r="F6" s="1000"/>
      <c r="G6" s="1000"/>
      <c r="H6" s="1000"/>
      <c r="I6" s="1001"/>
      <c r="J6" s="12" t="s">
        <v>16</v>
      </c>
      <c r="K6" s="1000" t="s">
        <v>9</v>
      </c>
      <c r="L6" s="1006"/>
      <c r="M6" s="10" t="s">
        <v>5</v>
      </c>
      <c r="N6" s="8" t="s">
        <v>6</v>
      </c>
      <c r="O6" s="999" t="s">
        <v>7</v>
      </c>
      <c r="P6" s="1001"/>
      <c r="Q6" s="999" t="s">
        <v>8</v>
      </c>
      <c r="R6" s="1000"/>
      <c r="S6" s="1000"/>
      <c r="T6" s="1000"/>
      <c r="U6" s="1001"/>
      <c r="V6" s="12" t="s">
        <v>16</v>
      </c>
      <c r="W6" s="1000" t="s">
        <v>9</v>
      </c>
      <c r="X6" s="1001"/>
      <c r="Z6" s="196">
        <v>2</v>
      </c>
      <c r="AA6" s="195">
        <v>44238</v>
      </c>
    </row>
    <row r="7" spans="1:27" s="7" customFormat="1" ht="13.5" customHeight="1">
      <c r="A7" s="1012"/>
      <c r="B7" s="1014"/>
      <c r="C7" s="948"/>
      <c r="D7" s="949"/>
      <c r="E7" s="954"/>
      <c r="F7" s="955"/>
      <c r="G7" s="955"/>
      <c r="H7" s="955"/>
      <c r="I7" s="956"/>
      <c r="J7" s="184"/>
      <c r="K7" s="953"/>
      <c r="L7" s="1007"/>
      <c r="M7" s="1018"/>
      <c r="N7" s="1014"/>
      <c r="O7" s="948"/>
      <c r="P7" s="949"/>
      <c r="Q7" s="954"/>
      <c r="R7" s="955"/>
      <c r="S7" s="955"/>
      <c r="T7" s="955"/>
      <c r="U7" s="956"/>
      <c r="V7" s="184"/>
      <c r="W7" s="998"/>
      <c r="X7" s="949"/>
      <c r="Z7" s="196">
        <v>3</v>
      </c>
      <c r="AA7" s="195">
        <v>44250</v>
      </c>
    </row>
    <row r="8" spans="1:27" s="7" customFormat="1" ht="13.5" customHeight="1">
      <c r="A8" s="1013"/>
      <c r="B8" s="995"/>
      <c r="C8" s="948"/>
      <c r="D8" s="949"/>
      <c r="E8" s="954"/>
      <c r="F8" s="955"/>
      <c r="G8" s="955"/>
      <c r="H8" s="955"/>
      <c r="I8" s="956"/>
      <c r="J8" s="184"/>
      <c r="K8" s="953"/>
      <c r="L8" s="1007"/>
      <c r="M8" s="1019"/>
      <c r="N8" s="979"/>
      <c r="O8" s="948"/>
      <c r="P8" s="949"/>
      <c r="Q8" s="950"/>
      <c r="R8" s="951"/>
      <c r="S8" s="951"/>
      <c r="T8" s="951"/>
      <c r="U8" s="952"/>
      <c r="V8" s="184"/>
      <c r="W8" s="998"/>
      <c r="X8" s="949"/>
      <c r="Z8" s="196">
        <v>4</v>
      </c>
      <c r="AA8" s="195">
        <v>44275</v>
      </c>
    </row>
    <row r="9" spans="1:27" s="7" customFormat="1" ht="13.5" customHeight="1">
      <c r="A9" s="992"/>
      <c r="B9" s="979"/>
      <c r="C9" s="980" t="s">
        <v>363</v>
      </c>
      <c r="D9" s="972"/>
      <c r="E9" s="974" t="s">
        <v>692</v>
      </c>
      <c r="F9" s="975"/>
      <c r="G9" s="975"/>
      <c r="H9" s="975"/>
      <c r="I9" s="976"/>
      <c r="J9" s="910" t="s">
        <v>162</v>
      </c>
      <c r="K9" s="973" t="s">
        <v>693</v>
      </c>
      <c r="L9" s="994"/>
      <c r="M9" s="989"/>
      <c r="N9" s="983"/>
      <c r="O9" s="980"/>
      <c r="P9" s="972"/>
      <c r="Q9" s="985"/>
      <c r="R9" s="986"/>
      <c r="S9" s="986"/>
      <c r="T9" s="986"/>
      <c r="U9" s="987"/>
      <c r="V9" s="910"/>
      <c r="W9" s="971"/>
      <c r="X9" s="972"/>
      <c r="Z9" s="196">
        <v>5</v>
      </c>
      <c r="AA9" s="195">
        <v>44315</v>
      </c>
    </row>
    <row r="10" spans="1:27" s="7" customFormat="1" ht="13.5" customHeight="1">
      <c r="A10" s="993"/>
      <c r="B10" s="979"/>
      <c r="C10" s="980"/>
      <c r="D10" s="972"/>
      <c r="E10" s="974"/>
      <c r="F10" s="975"/>
      <c r="G10" s="975"/>
      <c r="H10" s="975"/>
      <c r="I10" s="976"/>
      <c r="J10" s="910"/>
      <c r="K10" s="1008"/>
      <c r="L10" s="972"/>
      <c r="M10" s="990"/>
      <c r="N10" s="984"/>
      <c r="O10" s="980"/>
      <c r="P10" s="972"/>
      <c r="Q10" s="974"/>
      <c r="R10" s="975"/>
      <c r="S10" s="975"/>
      <c r="T10" s="975"/>
      <c r="U10" s="976"/>
      <c r="V10" s="910"/>
      <c r="W10" s="971"/>
      <c r="X10" s="972"/>
      <c r="Z10" s="196">
        <v>6</v>
      </c>
      <c r="AA10" s="195">
        <v>44319</v>
      </c>
    </row>
    <row r="11" spans="1:27" s="7" customFormat="1" ht="13.5" customHeight="1">
      <c r="A11" s="992"/>
      <c r="B11" s="978"/>
      <c r="C11" s="980" t="s">
        <v>707</v>
      </c>
      <c r="D11" s="972"/>
      <c r="E11" s="974" t="s">
        <v>713</v>
      </c>
      <c r="F11" s="975"/>
      <c r="G11" s="975"/>
      <c r="H11" s="975"/>
      <c r="I11" s="976"/>
      <c r="J11" s="910" t="s">
        <v>714</v>
      </c>
      <c r="K11" s="973" t="s">
        <v>715</v>
      </c>
      <c r="L11" s="994"/>
      <c r="M11" s="989"/>
      <c r="N11" s="983"/>
      <c r="O11" s="980" t="s">
        <v>700</v>
      </c>
      <c r="P11" s="972"/>
      <c r="Q11" s="974" t="s">
        <v>678</v>
      </c>
      <c r="R11" s="975"/>
      <c r="S11" s="975"/>
      <c r="T11" s="975"/>
      <c r="U11" s="976"/>
      <c r="V11" s="910" t="s">
        <v>162</v>
      </c>
      <c r="W11" s="973" t="s">
        <v>679</v>
      </c>
      <c r="X11" s="972"/>
      <c r="Z11" s="196">
        <v>7</v>
      </c>
      <c r="AA11" s="195">
        <v>44320</v>
      </c>
    </row>
    <row r="12" spans="1:27" s="7" customFormat="1" ht="13.5" customHeight="1">
      <c r="A12" s="993"/>
      <c r="B12" s="979"/>
      <c r="C12" s="980"/>
      <c r="D12" s="972"/>
      <c r="E12" s="974"/>
      <c r="F12" s="975"/>
      <c r="G12" s="975"/>
      <c r="H12" s="975"/>
      <c r="I12" s="976"/>
      <c r="J12" s="910"/>
      <c r="K12" s="973"/>
      <c r="L12" s="973"/>
      <c r="M12" s="991"/>
      <c r="N12" s="988"/>
      <c r="O12" s="1004"/>
      <c r="P12" s="1003"/>
      <c r="Q12" s="1015"/>
      <c r="R12" s="1016"/>
      <c r="S12" s="1016"/>
      <c r="T12" s="1016"/>
      <c r="U12" s="1017"/>
      <c r="V12" s="911"/>
      <c r="W12" s="1002"/>
      <c r="X12" s="1003"/>
      <c r="Z12" s="196">
        <v>8</v>
      </c>
      <c r="AA12" s="195">
        <v>44321</v>
      </c>
    </row>
    <row r="13" spans="1:27" s="7" customFormat="1" ht="13.5" customHeight="1">
      <c r="A13" s="992"/>
      <c r="B13" s="978"/>
      <c r="C13" s="980"/>
      <c r="D13" s="972"/>
      <c r="E13" s="974"/>
      <c r="F13" s="975"/>
      <c r="G13" s="975"/>
      <c r="H13" s="975"/>
      <c r="I13" s="976"/>
      <c r="J13" s="910"/>
      <c r="K13" s="971"/>
      <c r="L13" s="972"/>
      <c r="M13" s="989"/>
      <c r="N13" s="983"/>
      <c r="O13" s="980" t="s">
        <v>363</v>
      </c>
      <c r="P13" s="972"/>
      <c r="Q13" s="985" t="s">
        <v>696</v>
      </c>
      <c r="R13" s="986"/>
      <c r="S13" s="986"/>
      <c r="T13" s="986"/>
      <c r="U13" s="987"/>
      <c r="V13" s="910" t="s">
        <v>163</v>
      </c>
      <c r="W13" s="971" t="s">
        <v>691</v>
      </c>
      <c r="X13" s="972"/>
      <c r="Z13" s="196">
        <v>9</v>
      </c>
      <c r="AA13" s="195">
        <v>44399</v>
      </c>
    </row>
    <row r="14" spans="1:27" s="7" customFormat="1" ht="13.5" customHeight="1">
      <c r="A14" s="993"/>
      <c r="B14" s="979"/>
      <c r="C14" s="980"/>
      <c r="D14" s="972"/>
      <c r="E14" s="974"/>
      <c r="F14" s="975"/>
      <c r="G14" s="975"/>
      <c r="H14" s="975"/>
      <c r="I14" s="976"/>
      <c r="J14" s="910"/>
      <c r="K14" s="973"/>
      <c r="L14" s="973"/>
      <c r="M14" s="990"/>
      <c r="N14" s="988"/>
      <c r="O14" s="980" t="s">
        <v>734</v>
      </c>
      <c r="P14" s="972"/>
      <c r="Q14" s="974" t="s">
        <v>735</v>
      </c>
      <c r="R14" s="975"/>
      <c r="S14" s="975"/>
      <c r="T14" s="975"/>
      <c r="U14" s="976"/>
      <c r="V14" s="910" t="s">
        <v>714</v>
      </c>
      <c r="W14" s="973" t="s">
        <v>769</v>
      </c>
      <c r="X14" s="972"/>
      <c r="Z14" s="196">
        <v>10</v>
      </c>
      <c r="AA14" s="195">
        <v>44400</v>
      </c>
    </row>
    <row r="15" spans="1:27" s="7" customFormat="1" ht="13.5" customHeight="1">
      <c r="A15" s="992"/>
      <c r="B15" s="978"/>
      <c r="C15" s="980"/>
      <c r="D15" s="972"/>
      <c r="E15" s="974"/>
      <c r="F15" s="975"/>
      <c r="G15" s="975"/>
      <c r="H15" s="975"/>
      <c r="I15" s="976"/>
      <c r="J15" s="910"/>
      <c r="K15" s="1020"/>
      <c r="L15" s="1021"/>
      <c r="M15" s="989"/>
      <c r="N15" s="983"/>
      <c r="O15" s="980"/>
      <c r="P15" s="972"/>
      <c r="Q15" s="974"/>
      <c r="R15" s="975"/>
      <c r="S15" s="975"/>
      <c r="T15" s="975"/>
      <c r="U15" s="976"/>
      <c r="V15" s="910"/>
      <c r="W15" s="973"/>
      <c r="X15" s="972"/>
      <c r="Z15" s="196">
        <v>11</v>
      </c>
      <c r="AA15" s="195">
        <v>44417</v>
      </c>
    </row>
    <row r="16" spans="1:27" s="7" customFormat="1" ht="13.5" customHeight="1">
      <c r="A16" s="993"/>
      <c r="B16" s="979"/>
      <c r="C16" s="980"/>
      <c r="D16" s="972"/>
      <c r="E16" s="974"/>
      <c r="F16" s="975"/>
      <c r="G16" s="975"/>
      <c r="H16" s="975"/>
      <c r="I16" s="976"/>
      <c r="J16" s="910"/>
      <c r="K16" s="973"/>
      <c r="L16" s="973"/>
      <c r="M16" s="990"/>
      <c r="N16" s="988"/>
      <c r="O16" s="980"/>
      <c r="P16" s="972"/>
      <c r="Q16" s="974"/>
      <c r="R16" s="975"/>
      <c r="S16" s="975"/>
      <c r="T16" s="975"/>
      <c r="U16" s="976"/>
      <c r="V16" s="910"/>
      <c r="W16" s="973"/>
      <c r="X16" s="972"/>
      <c r="Z16" s="196">
        <v>12</v>
      </c>
      <c r="AA16" s="195">
        <v>44459</v>
      </c>
    </row>
    <row r="17" spans="1:27" s="7" customFormat="1" ht="13.5" customHeight="1">
      <c r="A17" s="992"/>
      <c r="B17" s="978"/>
      <c r="C17" s="980"/>
      <c r="D17" s="972"/>
      <c r="E17" s="985"/>
      <c r="F17" s="986"/>
      <c r="G17" s="986"/>
      <c r="H17" s="986"/>
      <c r="I17" s="987"/>
      <c r="J17" s="910"/>
      <c r="K17" s="971"/>
      <c r="L17" s="972"/>
      <c r="M17" s="989"/>
      <c r="N17" s="983"/>
      <c r="O17" s="980"/>
      <c r="P17" s="972"/>
      <c r="Q17" s="985"/>
      <c r="R17" s="986"/>
      <c r="S17" s="986"/>
      <c r="T17" s="986"/>
      <c r="U17" s="987"/>
      <c r="V17" s="910"/>
      <c r="W17" s="971"/>
      <c r="X17" s="972"/>
      <c r="Z17" s="196">
        <v>13</v>
      </c>
      <c r="AA17" s="195">
        <v>44462</v>
      </c>
    </row>
    <row r="18" spans="1:27" s="7" customFormat="1" ht="13.5" customHeight="1">
      <c r="A18" s="993"/>
      <c r="B18" s="979"/>
      <c r="C18" s="980"/>
      <c r="D18" s="972"/>
      <c r="E18" s="974"/>
      <c r="F18" s="975"/>
      <c r="G18" s="975"/>
      <c r="H18" s="975"/>
      <c r="I18" s="976"/>
      <c r="J18" s="910"/>
      <c r="K18" s="973"/>
      <c r="L18" s="973"/>
      <c r="M18" s="990"/>
      <c r="N18" s="988"/>
      <c r="O18" s="980"/>
      <c r="P18" s="972"/>
      <c r="Q18" s="974"/>
      <c r="R18" s="975"/>
      <c r="S18" s="975"/>
      <c r="T18" s="975"/>
      <c r="U18" s="976"/>
      <c r="V18" s="910"/>
      <c r="W18" s="973"/>
      <c r="X18" s="972"/>
      <c r="Z18" s="196">
        <v>14</v>
      </c>
      <c r="AA18" s="195">
        <v>44480</v>
      </c>
    </row>
    <row r="19" spans="1:27" s="7" customFormat="1" ht="13.5" customHeight="1">
      <c r="A19" s="992"/>
      <c r="B19" s="978"/>
      <c r="C19" s="980"/>
      <c r="D19" s="972"/>
      <c r="E19" s="985"/>
      <c r="F19" s="986"/>
      <c r="G19" s="986"/>
      <c r="H19" s="986"/>
      <c r="I19" s="987"/>
      <c r="J19" s="910"/>
      <c r="K19" s="971"/>
      <c r="L19" s="972"/>
      <c r="M19" s="989"/>
      <c r="N19" s="983"/>
      <c r="O19" s="980"/>
      <c r="P19" s="972"/>
      <c r="Q19" s="985"/>
      <c r="R19" s="986"/>
      <c r="S19" s="986"/>
      <c r="T19" s="986"/>
      <c r="U19" s="987"/>
      <c r="V19" s="910"/>
      <c r="W19" s="971"/>
      <c r="X19" s="972"/>
      <c r="Z19" s="196">
        <v>15</v>
      </c>
      <c r="AA19" s="197">
        <v>44503</v>
      </c>
    </row>
    <row r="20" spans="1:27" s="7" customFormat="1" ht="13.5" customHeight="1">
      <c r="A20" s="993"/>
      <c r="B20" s="979"/>
      <c r="C20" s="980"/>
      <c r="D20" s="972"/>
      <c r="E20" s="974"/>
      <c r="F20" s="975"/>
      <c r="G20" s="975"/>
      <c r="H20" s="975"/>
      <c r="I20" s="976"/>
      <c r="J20" s="910"/>
      <c r="K20" s="973"/>
      <c r="L20" s="973"/>
      <c r="M20" s="990"/>
      <c r="N20" s="988"/>
      <c r="O20" s="980"/>
      <c r="P20" s="972"/>
      <c r="Q20" s="974"/>
      <c r="R20" s="975"/>
      <c r="S20" s="975"/>
      <c r="T20" s="975"/>
      <c r="U20" s="976"/>
      <c r="V20" s="910"/>
      <c r="W20" s="973"/>
      <c r="X20" s="972"/>
      <c r="Z20" s="196">
        <v>16</v>
      </c>
      <c r="AA20" s="197">
        <v>44523</v>
      </c>
    </row>
    <row r="21" spans="1:27" s="7" customFormat="1" ht="13.5" customHeight="1">
      <c r="A21" s="992"/>
      <c r="B21" s="978"/>
      <c r="C21" s="980"/>
      <c r="D21" s="972"/>
      <c r="E21" s="974"/>
      <c r="F21" s="975"/>
      <c r="G21" s="975"/>
      <c r="H21" s="975"/>
      <c r="I21" s="976"/>
      <c r="J21" s="910"/>
      <c r="K21" s="973"/>
      <c r="L21" s="994"/>
      <c r="M21" s="989"/>
      <c r="N21" s="983"/>
      <c r="O21" s="980"/>
      <c r="P21" s="972"/>
      <c r="Q21" s="974"/>
      <c r="R21" s="975"/>
      <c r="S21" s="975"/>
      <c r="T21" s="975"/>
      <c r="U21" s="976"/>
      <c r="V21" s="910"/>
      <c r="W21" s="973"/>
      <c r="X21" s="972"/>
      <c r="Z21" s="196">
        <v>17</v>
      </c>
      <c r="AA21" s="197">
        <v>44562</v>
      </c>
    </row>
    <row r="22" spans="1:27" s="7" customFormat="1" ht="13.5" customHeight="1">
      <c r="A22" s="993"/>
      <c r="B22" s="979"/>
      <c r="C22" s="980"/>
      <c r="D22" s="972"/>
      <c r="E22" s="974"/>
      <c r="F22" s="975"/>
      <c r="G22" s="975"/>
      <c r="H22" s="975"/>
      <c r="I22" s="976"/>
      <c r="J22" s="910"/>
      <c r="K22" s="973"/>
      <c r="L22" s="973"/>
      <c r="M22" s="990"/>
      <c r="N22" s="988"/>
      <c r="O22" s="980"/>
      <c r="P22" s="972"/>
      <c r="Q22" s="985"/>
      <c r="R22" s="986"/>
      <c r="S22" s="986"/>
      <c r="T22" s="986"/>
      <c r="U22" s="987"/>
      <c r="V22" s="910"/>
      <c r="W22" s="971"/>
      <c r="X22" s="972"/>
      <c r="Z22" s="196">
        <v>18</v>
      </c>
      <c r="AA22" s="197">
        <v>44571</v>
      </c>
    </row>
    <row r="23" spans="1:27" s="7" customFormat="1" ht="13.5" customHeight="1">
      <c r="A23" s="992"/>
      <c r="B23" s="978"/>
      <c r="C23" s="980"/>
      <c r="D23" s="972"/>
      <c r="E23" s="974"/>
      <c r="F23" s="975"/>
      <c r="G23" s="975"/>
      <c r="H23" s="975"/>
      <c r="I23" s="976"/>
      <c r="J23" s="910"/>
      <c r="K23" s="980"/>
      <c r="L23" s="994"/>
      <c r="M23" s="989"/>
      <c r="N23" s="983"/>
      <c r="O23" s="980" t="s">
        <v>725</v>
      </c>
      <c r="P23" s="972"/>
      <c r="Q23" s="974" t="s">
        <v>739</v>
      </c>
      <c r="R23" s="975"/>
      <c r="S23" s="975"/>
      <c r="T23" s="975"/>
      <c r="U23" s="976"/>
      <c r="V23" s="910" t="s">
        <v>714</v>
      </c>
      <c r="W23" s="980" t="s">
        <v>740</v>
      </c>
      <c r="X23" s="972"/>
      <c r="Z23" s="196">
        <v>19</v>
      </c>
      <c r="AA23" s="197">
        <v>44603</v>
      </c>
    </row>
    <row r="24" spans="1:27" s="7" customFormat="1" ht="13.5" customHeight="1">
      <c r="A24" s="993"/>
      <c r="B24" s="979"/>
      <c r="C24" s="980"/>
      <c r="D24" s="972"/>
      <c r="E24" s="974"/>
      <c r="F24" s="975"/>
      <c r="G24" s="975"/>
      <c r="H24" s="975"/>
      <c r="I24" s="976"/>
      <c r="J24" s="910"/>
      <c r="K24" s="973"/>
      <c r="L24" s="972"/>
      <c r="M24" s="991"/>
      <c r="N24" s="988"/>
      <c r="O24" s="980"/>
      <c r="P24" s="972"/>
      <c r="Q24" s="974"/>
      <c r="R24" s="975"/>
      <c r="S24" s="975"/>
      <c r="T24" s="975"/>
      <c r="U24" s="976"/>
      <c r="V24" s="910"/>
      <c r="W24" s="971"/>
      <c r="X24" s="972"/>
      <c r="Z24" s="196">
        <v>20</v>
      </c>
      <c r="AA24" s="197">
        <v>44615</v>
      </c>
    </row>
    <row r="25" spans="1:27" s="7" customFormat="1" ht="13.5" customHeight="1">
      <c r="A25" s="992"/>
      <c r="B25" s="978"/>
      <c r="C25" s="980"/>
      <c r="D25" s="972"/>
      <c r="E25" s="974"/>
      <c r="F25" s="975"/>
      <c r="G25" s="975"/>
      <c r="H25" s="975"/>
      <c r="I25" s="976"/>
      <c r="J25" s="910"/>
      <c r="K25" s="980"/>
      <c r="L25" s="972"/>
      <c r="M25" s="989"/>
      <c r="N25" s="983"/>
      <c r="O25" s="980"/>
      <c r="P25" s="972"/>
      <c r="Q25" s="974"/>
      <c r="R25" s="975"/>
      <c r="S25" s="975"/>
      <c r="T25" s="975"/>
      <c r="U25" s="976"/>
      <c r="V25" s="910"/>
      <c r="W25" s="973"/>
      <c r="X25" s="972"/>
      <c r="Z25" s="196">
        <v>21</v>
      </c>
      <c r="AA25" s="197">
        <v>44641</v>
      </c>
    </row>
    <row r="26" spans="1:27" s="7" customFormat="1" ht="13.5" customHeight="1">
      <c r="A26" s="993"/>
      <c r="B26" s="979"/>
      <c r="C26" s="980"/>
      <c r="D26" s="972"/>
      <c r="E26" s="974"/>
      <c r="F26" s="975"/>
      <c r="G26" s="975"/>
      <c r="H26" s="975"/>
      <c r="I26" s="976"/>
      <c r="J26" s="910"/>
      <c r="K26" s="980"/>
      <c r="L26" s="994"/>
      <c r="M26" s="990"/>
      <c r="N26" s="988"/>
      <c r="O26" s="980"/>
      <c r="P26" s="972"/>
      <c r="Q26" s="974"/>
      <c r="R26" s="975"/>
      <c r="S26" s="975"/>
      <c r="T26" s="975"/>
      <c r="U26" s="976"/>
      <c r="V26" s="910"/>
      <c r="W26" s="971"/>
      <c r="X26" s="972"/>
      <c r="Z26" s="196">
        <v>22</v>
      </c>
      <c r="AA26" s="197">
        <v>44680</v>
      </c>
    </row>
    <row r="27" spans="1:27" s="7" customFormat="1" ht="13.5" customHeight="1">
      <c r="A27" s="992"/>
      <c r="B27" s="978"/>
      <c r="C27" s="980" t="s">
        <v>364</v>
      </c>
      <c r="D27" s="972"/>
      <c r="E27" s="985" t="s">
        <v>724</v>
      </c>
      <c r="F27" s="986"/>
      <c r="G27" s="986"/>
      <c r="H27" s="986"/>
      <c r="I27" s="987"/>
      <c r="J27" s="910" t="s">
        <v>162</v>
      </c>
      <c r="K27" s="971" t="s">
        <v>695</v>
      </c>
      <c r="L27" s="972"/>
      <c r="M27" s="989"/>
      <c r="N27" s="983"/>
      <c r="O27" s="980" t="s">
        <v>687</v>
      </c>
      <c r="P27" s="972"/>
      <c r="Q27" s="974" t="s">
        <v>694</v>
      </c>
      <c r="R27" s="975"/>
      <c r="S27" s="975"/>
      <c r="T27" s="975"/>
      <c r="U27" s="976"/>
      <c r="V27" s="910" t="s">
        <v>162</v>
      </c>
      <c r="W27" s="971" t="s">
        <v>366</v>
      </c>
      <c r="X27" s="972"/>
      <c r="Z27" s="196">
        <v>23</v>
      </c>
      <c r="AA27" s="197">
        <v>44684</v>
      </c>
    </row>
    <row r="28" spans="1:27" s="7" customFormat="1" ht="13.5" customHeight="1">
      <c r="A28" s="993"/>
      <c r="B28" s="979"/>
      <c r="C28" s="980"/>
      <c r="D28" s="972"/>
      <c r="E28" s="985"/>
      <c r="F28" s="986"/>
      <c r="G28" s="986"/>
      <c r="H28" s="986"/>
      <c r="I28" s="987"/>
      <c r="J28" s="910"/>
      <c r="K28" s="971"/>
      <c r="L28" s="972"/>
      <c r="M28" s="990"/>
      <c r="N28" s="988"/>
      <c r="O28" s="980"/>
      <c r="P28" s="972"/>
      <c r="Q28" s="974"/>
      <c r="R28" s="975"/>
      <c r="S28" s="975"/>
      <c r="T28" s="975"/>
      <c r="U28" s="976"/>
      <c r="V28" s="910"/>
      <c r="W28" s="980"/>
      <c r="X28" s="972"/>
      <c r="Z28" s="196">
        <v>24</v>
      </c>
      <c r="AA28" s="197">
        <v>44685</v>
      </c>
    </row>
    <row r="29" spans="1:27" s="7" customFormat="1" ht="13.5" customHeight="1">
      <c r="A29" s="992"/>
      <c r="B29" s="978"/>
      <c r="C29" s="980"/>
      <c r="D29" s="972"/>
      <c r="E29" s="974"/>
      <c r="F29" s="975"/>
      <c r="G29" s="975"/>
      <c r="H29" s="975"/>
      <c r="I29" s="976"/>
      <c r="J29" s="910"/>
      <c r="K29" s="973"/>
      <c r="L29" s="994"/>
      <c r="M29" s="989"/>
      <c r="N29" s="983"/>
      <c r="O29" s="980"/>
      <c r="P29" s="972"/>
      <c r="Q29" s="974"/>
      <c r="R29" s="975"/>
      <c r="S29" s="975"/>
      <c r="T29" s="975"/>
      <c r="U29" s="976"/>
      <c r="V29" s="910"/>
      <c r="W29" s="971"/>
      <c r="X29" s="972"/>
      <c r="Z29" s="196">
        <v>25</v>
      </c>
      <c r="AA29" s="197">
        <v>44686</v>
      </c>
    </row>
    <row r="30" spans="1:27" s="7" customFormat="1" ht="13.5" customHeight="1">
      <c r="A30" s="993"/>
      <c r="B30" s="979"/>
      <c r="C30" s="980"/>
      <c r="D30" s="972"/>
      <c r="E30" s="974"/>
      <c r="F30" s="975"/>
      <c r="G30" s="975"/>
      <c r="H30" s="975"/>
      <c r="I30" s="976"/>
      <c r="J30" s="910"/>
      <c r="K30" s="1005"/>
      <c r="L30" s="970"/>
      <c r="M30" s="991"/>
      <c r="N30" s="988"/>
      <c r="O30" s="980"/>
      <c r="P30" s="972"/>
      <c r="Q30" s="985"/>
      <c r="R30" s="986"/>
      <c r="S30" s="986"/>
      <c r="T30" s="986"/>
      <c r="U30" s="987"/>
      <c r="V30" s="910"/>
      <c r="W30" s="971"/>
      <c r="X30" s="972"/>
      <c r="Z30" s="196">
        <v>26</v>
      </c>
      <c r="AA30" s="197">
        <v>44760</v>
      </c>
    </row>
    <row r="31" spans="1:27" s="7" customFormat="1" ht="13.5" customHeight="1">
      <c r="A31" s="992"/>
      <c r="B31" s="978"/>
      <c r="C31" s="980"/>
      <c r="D31" s="972"/>
      <c r="E31" s="997"/>
      <c r="F31" s="975"/>
      <c r="G31" s="975"/>
      <c r="H31" s="975"/>
      <c r="I31" s="976"/>
      <c r="J31" s="910"/>
      <c r="K31" s="971"/>
      <c r="L31" s="972"/>
      <c r="M31" s="989"/>
      <c r="N31" s="983"/>
      <c r="O31" s="980" t="s">
        <v>716</v>
      </c>
      <c r="P31" s="972"/>
      <c r="Q31" s="985" t="s">
        <v>743</v>
      </c>
      <c r="R31" s="986"/>
      <c r="S31" s="986"/>
      <c r="T31" s="986"/>
      <c r="U31" s="987"/>
      <c r="V31" s="910" t="s">
        <v>714</v>
      </c>
      <c r="W31" s="971" t="s">
        <v>744</v>
      </c>
      <c r="X31" s="972"/>
      <c r="Z31" s="196">
        <v>27</v>
      </c>
      <c r="AA31" s="197">
        <v>44784</v>
      </c>
    </row>
    <row r="32" spans="1:27" s="7" customFormat="1" ht="13.5" customHeight="1">
      <c r="A32" s="993"/>
      <c r="B32" s="979"/>
      <c r="C32" s="980"/>
      <c r="D32" s="972"/>
      <c r="E32" s="974"/>
      <c r="F32" s="975"/>
      <c r="G32" s="975"/>
      <c r="H32" s="975"/>
      <c r="I32" s="976"/>
      <c r="J32" s="910"/>
      <c r="K32" s="973"/>
      <c r="L32" s="972"/>
      <c r="M32" s="990"/>
      <c r="N32" s="988"/>
      <c r="O32" s="980"/>
      <c r="P32" s="972"/>
      <c r="Q32" s="985"/>
      <c r="R32" s="986"/>
      <c r="S32" s="986"/>
      <c r="T32" s="986"/>
      <c r="U32" s="987"/>
      <c r="V32" s="910"/>
      <c r="W32" s="973"/>
      <c r="X32" s="972"/>
      <c r="Z32" s="196">
        <v>28</v>
      </c>
      <c r="AA32" s="197">
        <v>44823</v>
      </c>
    </row>
    <row r="33" spans="1:27" s="7" customFormat="1" ht="13.5" customHeight="1">
      <c r="A33" s="992"/>
      <c r="B33" s="978"/>
      <c r="C33" s="980"/>
      <c r="D33" s="972"/>
      <c r="E33" s="985"/>
      <c r="F33" s="986"/>
      <c r="G33" s="986"/>
      <c r="H33" s="986"/>
      <c r="I33" s="987"/>
      <c r="J33" s="910"/>
      <c r="K33" s="971"/>
      <c r="L33" s="972"/>
      <c r="M33" s="989"/>
      <c r="N33" s="983"/>
      <c r="O33" s="980" t="s">
        <v>734</v>
      </c>
      <c r="P33" s="972"/>
      <c r="Q33" s="974" t="s">
        <v>745</v>
      </c>
      <c r="R33" s="975"/>
      <c r="S33" s="975"/>
      <c r="T33" s="975"/>
      <c r="U33" s="976"/>
      <c r="V33" s="910" t="s">
        <v>714</v>
      </c>
      <c r="W33" s="971" t="s">
        <v>746</v>
      </c>
      <c r="X33" s="972"/>
      <c r="Z33" s="196">
        <v>29</v>
      </c>
      <c r="AA33" s="197">
        <v>44827</v>
      </c>
    </row>
    <row r="34" spans="1:27" s="7" customFormat="1" ht="13.5" customHeight="1">
      <c r="A34" s="993"/>
      <c r="B34" s="979"/>
      <c r="C34" s="980"/>
      <c r="D34" s="972"/>
      <c r="E34" s="974"/>
      <c r="F34" s="975"/>
      <c r="G34" s="975"/>
      <c r="H34" s="975"/>
      <c r="I34" s="976"/>
      <c r="J34" s="910"/>
      <c r="K34" s="1005"/>
      <c r="L34" s="970"/>
      <c r="M34" s="990"/>
      <c r="N34" s="988"/>
      <c r="O34" s="980" t="s">
        <v>747</v>
      </c>
      <c r="P34" s="972"/>
      <c r="Q34" s="985" t="s">
        <v>748</v>
      </c>
      <c r="R34" s="986"/>
      <c r="S34" s="986"/>
      <c r="T34" s="986"/>
      <c r="U34" s="987"/>
      <c r="V34" s="910" t="s">
        <v>714</v>
      </c>
      <c r="W34" s="969" t="s">
        <v>749</v>
      </c>
      <c r="X34" s="970"/>
      <c r="Z34" s="196">
        <v>30</v>
      </c>
      <c r="AA34" s="197">
        <v>44844</v>
      </c>
    </row>
    <row r="35" spans="1:27" s="7" customFormat="1" ht="13.5" customHeight="1">
      <c r="A35" s="992"/>
      <c r="B35" s="978"/>
      <c r="C35" s="980" t="s">
        <v>725</v>
      </c>
      <c r="D35" s="972"/>
      <c r="E35" s="974" t="s">
        <v>726</v>
      </c>
      <c r="F35" s="975"/>
      <c r="G35" s="975"/>
      <c r="H35" s="975"/>
      <c r="I35" s="976"/>
      <c r="J35" s="910" t="s">
        <v>714</v>
      </c>
      <c r="K35" s="980" t="s">
        <v>727</v>
      </c>
      <c r="L35" s="972"/>
      <c r="M35" s="989"/>
      <c r="N35" s="983"/>
      <c r="O35" s="980" t="s">
        <v>734</v>
      </c>
      <c r="P35" s="972"/>
      <c r="Q35" s="974" t="s">
        <v>745</v>
      </c>
      <c r="R35" s="975"/>
      <c r="S35" s="975"/>
      <c r="T35" s="975"/>
      <c r="U35" s="976"/>
      <c r="V35" s="910" t="s">
        <v>714</v>
      </c>
      <c r="W35" s="971" t="s">
        <v>746</v>
      </c>
      <c r="X35" s="972"/>
      <c r="Z35" s="196">
        <v>31</v>
      </c>
      <c r="AA35" s="197">
        <v>44868</v>
      </c>
    </row>
    <row r="36" spans="1:27" s="7" customFormat="1" ht="13.5" customHeight="1">
      <c r="A36" s="993"/>
      <c r="B36" s="979"/>
      <c r="C36" s="980"/>
      <c r="D36" s="972"/>
      <c r="E36" s="974"/>
      <c r="F36" s="975"/>
      <c r="G36" s="975"/>
      <c r="H36" s="975"/>
      <c r="I36" s="976"/>
      <c r="J36" s="910"/>
      <c r="K36" s="971"/>
      <c r="L36" s="972"/>
      <c r="M36" s="991"/>
      <c r="N36" s="988"/>
      <c r="O36" s="980"/>
      <c r="P36" s="972"/>
      <c r="Q36" s="974"/>
      <c r="R36" s="975"/>
      <c r="S36" s="975"/>
      <c r="T36" s="975"/>
      <c r="U36" s="976"/>
      <c r="V36" s="910"/>
      <c r="W36" s="980"/>
      <c r="X36" s="972"/>
      <c r="AA36" s="197">
        <v>44888</v>
      </c>
    </row>
    <row r="37" spans="1:27" s="7" customFormat="1" ht="13.5" customHeight="1">
      <c r="A37" s="992"/>
      <c r="B37" s="978"/>
      <c r="C37" s="980"/>
      <c r="D37" s="972"/>
      <c r="E37" s="974"/>
      <c r="F37" s="975"/>
      <c r="G37" s="975"/>
      <c r="H37" s="975"/>
      <c r="I37" s="976"/>
      <c r="J37" s="910"/>
      <c r="K37" s="980"/>
      <c r="L37" s="994"/>
      <c r="M37" s="981"/>
      <c r="N37" s="983"/>
      <c r="O37" s="980"/>
      <c r="P37" s="972"/>
      <c r="Q37" s="974"/>
      <c r="R37" s="975"/>
      <c r="S37" s="975"/>
      <c r="T37" s="975"/>
      <c r="U37" s="976"/>
      <c r="V37" s="910"/>
      <c r="W37" s="971"/>
      <c r="X37" s="972"/>
    </row>
    <row r="38" spans="1:27" s="7" customFormat="1" ht="13.5" customHeight="1">
      <c r="A38" s="996"/>
      <c r="B38" s="995"/>
      <c r="C38" s="980"/>
      <c r="D38" s="972"/>
      <c r="E38" s="985"/>
      <c r="F38" s="986"/>
      <c r="G38" s="986"/>
      <c r="H38" s="986"/>
      <c r="I38" s="987"/>
      <c r="J38" s="910"/>
      <c r="K38" s="973"/>
      <c r="L38" s="973"/>
      <c r="M38" s="982"/>
      <c r="N38" s="984"/>
      <c r="O38" s="980"/>
      <c r="P38" s="972"/>
      <c r="Q38" s="974"/>
      <c r="R38" s="975"/>
      <c r="S38" s="975"/>
      <c r="T38" s="975"/>
      <c r="U38" s="976"/>
      <c r="V38" s="910"/>
      <c r="W38" s="973"/>
      <c r="X38" s="972"/>
    </row>
    <row r="39" spans="1:27" s="7" customFormat="1" ht="14.1" customHeight="1">
      <c r="A39" s="82" t="s">
        <v>103</v>
      </c>
      <c r="B39" s="977" t="s">
        <v>684</v>
      </c>
      <c r="C39" s="977"/>
      <c r="D39" s="977"/>
      <c r="E39" s="977"/>
      <c r="F39" s="977"/>
      <c r="G39" s="977"/>
      <c r="H39" s="977"/>
      <c r="I39" s="977"/>
      <c r="J39" s="977"/>
      <c r="K39" s="977"/>
      <c r="L39" s="977"/>
      <c r="M39" s="977"/>
      <c r="N39" s="977"/>
      <c r="O39" s="83"/>
      <c r="P39" s="83"/>
      <c r="Q39" s="83"/>
      <c r="R39" s="83"/>
      <c r="S39" s="83"/>
      <c r="T39" s="83"/>
      <c r="U39" s="83"/>
      <c r="V39" s="83"/>
      <c r="W39" s="83"/>
      <c r="X39" s="84"/>
    </row>
    <row r="40" spans="1:27" s="7" customFormat="1" ht="14.1" customHeight="1">
      <c r="A40" s="946"/>
      <c r="B40" s="947"/>
      <c r="C40" s="947"/>
      <c r="D40" s="947"/>
      <c r="E40" s="947"/>
      <c r="F40" s="947"/>
      <c r="G40" s="947"/>
      <c r="H40" s="947"/>
      <c r="I40" s="947"/>
      <c r="J40" s="947"/>
      <c r="K40" s="947"/>
      <c r="L40" s="947"/>
      <c r="M40" s="947"/>
      <c r="N40" s="947"/>
      <c r="O40" s="86"/>
      <c r="P40" s="86"/>
      <c r="Q40" s="86"/>
      <c r="R40" s="86"/>
      <c r="S40" s="86"/>
      <c r="T40" s="86"/>
      <c r="U40" s="86"/>
      <c r="V40" s="86"/>
      <c r="W40" s="86"/>
      <c r="X40" s="87"/>
    </row>
    <row r="41" spans="1:27" s="7" customFormat="1" ht="14.1" customHeight="1">
      <c r="A41" s="85"/>
      <c r="B41" s="86"/>
      <c r="C41" s="86"/>
      <c r="D41" s="86"/>
      <c r="E41" s="86"/>
      <c r="F41" s="86"/>
      <c r="G41" s="86"/>
      <c r="H41" s="86"/>
      <c r="I41" s="86"/>
      <c r="J41" s="86"/>
      <c r="K41" s="86"/>
      <c r="L41" s="86"/>
      <c r="M41" s="86"/>
      <c r="N41" s="86"/>
      <c r="O41" s="86"/>
      <c r="P41" s="86"/>
      <c r="Q41" s="86"/>
      <c r="R41" s="86"/>
      <c r="S41" s="86"/>
      <c r="T41" s="86"/>
      <c r="U41" s="86"/>
      <c r="V41" s="86"/>
      <c r="W41" s="86"/>
      <c r="X41" s="87"/>
    </row>
    <row r="42" spans="1:27" s="7" customFormat="1" ht="14.1" customHeight="1">
      <c r="A42" s="85"/>
      <c r="B42" s="86"/>
      <c r="C42" s="86"/>
      <c r="D42" s="86"/>
      <c r="E42" s="86"/>
      <c r="F42" s="86"/>
      <c r="G42" s="86"/>
      <c r="H42" s="86"/>
      <c r="I42" s="86"/>
      <c r="J42" s="86"/>
      <c r="K42" s="86"/>
      <c r="L42" s="86"/>
      <c r="M42" s="86"/>
      <c r="N42" s="86"/>
      <c r="O42" s="86"/>
      <c r="P42" s="86"/>
      <c r="Q42" s="86"/>
      <c r="R42" s="86"/>
      <c r="S42" s="86"/>
      <c r="T42" s="86"/>
      <c r="U42" s="86"/>
      <c r="V42" s="86"/>
      <c r="W42" s="86"/>
      <c r="X42" s="87"/>
    </row>
    <row r="43" spans="1:27" s="7" customFormat="1" ht="14.1" customHeight="1">
      <c r="A43" s="85"/>
      <c r="B43" s="86"/>
      <c r="C43" s="86"/>
      <c r="D43" s="86"/>
      <c r="E43" s="86"/>
      <c r="F43" s="86"/>
      <c r="G43" s="86"/>
      <c r="H43" s="86"/>
      <c r="I43" s="86"/>
      <c r="J43" s="86"/>
      <c r="K43" s="86"/>
      <c r="L43" s="86"/>
      <c r="M43" s="86"/>
      <c r="N43" s="86"/>
      <c r="O43" s="86"/>
      <c r="P43" s="86"/>
      <c r="Q43" s="86"/>
      <c r="R43" s="86"/>
      <c r="S43" s="86"/>
      <c r="T43" s="86"/>
      <c r="U43" s="86"/>
      <c r="V43" s="86"/>
      <c r="W43" s="86"/>
      <c r="X43" s="87"/>
    </row>
    <row r="44" spans="1:27" s="7" customFormat="1" ht="14.1" customHeight="1">
      <c r="A44" s="85"/>
      <c r="B44" s="86"/>
      <c r="C44" s="86"/>
      <c r="D44" s="86"/>
      <c r="E44" s="86"/>
      <c r="F44" s="86"/>
      <c r="G44" s="86"/>
      <c r="H44" s="86"/>
      <c r="I44" s="86"/>
      <c r="J44" s="86"/>
      <c r="K44" s="86"/>
      <c r="L44" s="86"/>
      <c r="M44" s="86"/>
      <c r="N44" s="86"/>
      <c r="O44" s="86"/>
      <c r="P44" s="86"/>
      <c r="Q44" s="86"/>
      <c r="R44" s="86"/>
      <c r="S44" s="86"/>
      <c r="T44" s="86"/>
      <c r="U44" s="86"/>
      <c r="V44" s="86"/>
      <c r="W44" s="86"/>
      <c r="X44" s="87"/>
    </row>
    <row r="45" spans="1:27" s="7" customFormat="1" ht="14.1" customHeight="1">
      <c r="A45" s="85"/>
      <c r="B45" s="86"/>
      <c r="C45" s="86"/>
      <c r="D45" s="86"/>
      <c r="E45" s="86"/>
      <c r="F45" s="86"/>
      <c r="G45" s="86"/>
      <c r="H45" s="86"/>
      <c r="I45" s="86"/>
      <c r="J45" s="86"/>
      <c r="K45" s="86"/>
      <c r="L45" s="86"/>
      <c r="M45" s="86"/>
      <c r="N45" s="86"/>
      <c r="O45" s="86"/>
      <c r="P45" s="86"/>
      <c r="Q45" s="86"/>
      <c r="R45" s="86"/>
      <c r="S45" s="86"/>
      <c r="T45" s="86"/>
      <c r="U45" s="86"/>
      <c r="V45" s="86"/>
      <c r="W45" s="86"/>
      <c r="X45" s="87"/>
    </row>
    <row r="46" spans="1:27" s="7" customFormat="1" ht="14.1" customHeight="1">
      <c r="A46" s="85"/>
      <c r="B46" s="86"/>
      <c r="C46" s="86"/>
      <c r="D46" s="86"/>
      <c r="E46" s="86"/>
      <c r="F46" s="86"/>
      <c r="G46" s="86"/>
      <c r="H46" s="86"/>
      <c r="I46" s="86"/>
      <c r="J46" s="86"/>
      <c r="K46" s="86"/>
      <c r="L46" s="86"/>
      <c r="M46" s="86"/>
      <c r="N46" s="86"/>
      <c r="O46" s="86"/>
      <c r="P46" s="86"/>
      <c r="Q46" s="86"/>
      <c r="R46" s="86"/>
      <c r="S46" s="86"/>
      <c r="T46" s="86"/>
      <c r="U46" s="86"/>
      <c r="V46" s="86"/>
      <c r="W46" s="86"/>
      <c r="X46" s="87"/>
    </row>
    <row r="47" spans="1:27" s="7" customFormat="1" ht="14.1" customHeight="1">
      <c r="A47" s="85"/>
      <c r="B47" s="86"/>
      <c r="C47" s="86"/>
      <c r="D47" s="86"/>
      <c r="E47" s="86"/>
      <c r="F47" s="86"/>
      <c r="G47" s="86"/>
      <c r="H47" s="86"/>
      <c r="I47" s="86"/>
      <c r="J47" s="86"/>
      <c r="K47" s="86"/>
      <c r="L47" s="86"/>
      <c r="M47" s="86"/>
      <c r="N47" s="86"/>
      <c r="O47" s="86"/>
      <c r="P47" s="86"/>
      <c r="Q47" s="86"/>
      <c r="R47" s="86"/>
      <c r="S47" s="86"/>
      <c r="T47" s="86"/>
      <c r="U47" s="86"/>
      <c r="V47" s="86"/>
      <c r="W47" s="86"/>
      <c r="X47" s="87"/>
    </row>
    <row r="48" spans="1:27" s="7" customFormat="1" ht="14.1" customHeight="1">
      <c r="A48" s="88"/>
      <c r="B48" s="89"/>
      <c r="C48" s="89"/>
      <c r="D48" s="89"/>
      <c r="E48" s="89"/>
      <c r="F48" s="89"/>
      <c r="G48" s="89"/>
      <c r="H48" s="89"/>
      <c r="I48" s="89"/>
      <c r="J48" s="89"/>
      <c r="K48" s="89"/>
      <c r="L48" s="89"/>
      <c r="M48" s="89"/>
      <c r="N48" s="89"/>
      <c r="O48" s="89"/>
      <c r="P48" s="89"/>
      <c r="Q48" s="89"/>
      <c r="R48" s="89"/>
      <c r="S48" s="89"/>
      <c r="T48" s="89"/>
      <c r="U48" s="89"/>
      <c r="V48" s="89"/>
      <c r="W48" s="89"/>
      <c r="X48" s="90"/>
    </row>
    <row r="49" spans="3:24" s="7" customFormat="1" ht="14.1" customHeight="1">
      <c r="J49" s="81"/>
      <c r="V49" s="81"/>
    </row>
    <row r="50" spans="3:24" s="7" customFormat="1" ht="14.1" customHeight="1">
      <c r="C50" s="948" t="s">
        <v>189</v>
      </c>
      <c r="D50" s="949"/>
      <c r="E50" s="950" t="s">
        <v>176</v>
      </c>
      <c r="F50" s="951"/>
      <c r="G50" s="951"/>
      <c r="H50" s="951"/>
      <c r="I50" s="952"/>
      <c r="J50" s="184" t="s">
        <v>163</v>
      </c>
      <c r="K50" s="960" t="s">
        <v>247</v>
      </c>
      <c r="L50" s="961"/>
      <c r="O50" s="948"/>
      <c r="P50" s="949"/>
      <c r="Q50" s="950"/>
      <c r="R50" s="951"/>
      <c r="S50" s="951"/>
      <c r="T50" s="951"/>
      <c r="U50" s="952"/>
      <c r="V50" s="184"/>
      <c r="W50" s="953"/>
      <c r="X50" s="949"/>
    </row>
    <row r="51" spans="3:24" s="7" customFormat="1" ht="14.1" customHeight="1">
      <c r="C51" s="948" t="s">
        <v>189</v>
      </c>
      <c r="D51" s="949"/>
      <c r="E51" s="957" t="s">
        <v>177</v>
      </c>
      <c r="F51" s="958"/>
      <c r="G51" s="958"/>
      <c r="H51" s="958"/>
      <c r="I51" s="959"/>
      <c r="J51" s="184" t="s">
        <v>163</v>
      </c>
      <c r="K51" s="960" t="s">
        <v>164</v>
      </c>
      <c r="L51" s="961"/>
      <c r="O51" s="948"/>
      <c r="P51" s="949"/>
      <c r="Q51" s="954"/>
      <c r="R51" s="955"/>
      <c r="S51" s="955"/>
      <c r="T51" s="955"/>
      <c r="U51" s="956"/>
      <c r="V51" s="184"/>
      <c r="W51" s="948"/>
      <c r="X51" s="949"/>
    </row>
    <row r="52" spans="3:24" s="7" customFormat="1" ht="14.1" customHeight="1">
      <c r="C52" s="948" t="s">
        <v>189</v>
      </c>
      <c r="D52" s="949"/>
      <c r="E52" s="950" t="s">
        <v>178</v>
      </c>
      <c r="F52" s="951"/>
      <c r="G52" s="951"/>
      <c r="H52" s="951"/>
      <c r="I52" s="952"/>
      <c r="J52" s="184" t="s">
        <v>163</v>
      </c>
      <c r="K52" s="960" t="s">
        <v>106</v>
      </c>
      <c r="L52" s="961"/>
      <c r="O52" s="948"/>
      <c r="P52" s="949"/>
      <c r="Q52" s="950"/>
      <c r="R52" s="951"/>
      <c r="S52" s="951"/>
      <c r="T52" s="951"/>
      <c r="U52" s="952"/>
      <c r="V52" s="184"/>
      <c r="W52" s="953"/>
      <c r="X52" s="949"/>
    </row>
    <row r="53" spans="3:24" s="7" customFormat="1" ht="14.1" customHeight="1">
      <c r="C53" s="948" t="s">
        <v>189</v>
      </c>
      <c r="D53" s="949"/>
      <c r="E53" s="957" t="s">
        <v>179</v>
      </c>
      <c r="F53" s="958"/>
      <c r="G53" s="958"/>
      <c r="H53" s="958"/>
      <c r="I53" s="959"/>
      <c r="J53" s="184" t="s">
        <v>163</v>
      </c>
      <c r="K53" s="960" t="s">
        <v>165</v>
      </c>
      <c r="L53" s="961"/>
      <c r="O53" s="948"/>
      <c r="P53" s="949"/>
      <c r="Q53" s="954"/>
      <c r="R53" s="955"/>
      <c r="S53" s="955"/>
      <c r="T53" s="955"/>
      <c r="U53" s="956"/>
      <c r="V53" s="184"/>
      <c r="W53" s="948"/>
      <c r="X53" s="949"/>
    </row>
    <row r="54" spans="3:24" s="7" customFormat="1" ht="14.1" customHeight="1">
      <c r="C54" s="948" t="s">
        <v>190</v>
      </c>
      <c r="D54" s="949"/>
      <c r="E54" s="950" t="s">
        <v>240</v>
      </c>
      <c r="F54" s="951"/>
      <c r="G54" s="951"/>
      <c r="H54" s="951"/>
      <c r="I54" s="952"/>
      <c r="J54" s="184" t="s">
        <v>163</v>
      </c>
      <c r="K54" s="960" t="s">
        <v>166</v>
      </c>
      <c r="L54" s="961"/>
      <c r="O54" s="948"/>
      <c r="P54" s="949"/>
      <c r="Q54" s="950"/>
      <c r="R54" s="951"/>
      <c r="S54" s="951"/>
      <c r="T54" s="951"/>
      <c r="U54" s="952"/>
      <c r="V54" s="184"/>
      <c r="W54" s="953"/>
      <c r="X54" s="949"/>
    </row>
    <row r="55" spans="3:24" s="7" customFormat="1" ht="14.1" customHeight="1">
      <c r="C55" s="948" t="s">
        <v>190</v>
      </c>
      <c r="D55" s="949"/>
      <c r="E55" s="957" t="s">
        <v>249</v>
      </c>
      <c r="F55" s="958"/>
      <c r="G55" s="958"/>
      <c r="H55" s="958"/>
      <c r="I55" s="959"/>
      <c r="J55" s="184" t="s">
        <v>163</v>
      </c>
      <c r="K55" s="960" t="s">
        <v>167</v>
      </c>
      <c r="L55" s="961"/>
      <c r="O55" s="948"/>
      <c r="P55" s="949"/>
      <c r="Q55" s="954"/>
      <c r="R55" s="955"/>
      <c r="S55" s="955"/>
      <c r="T55" s="955"/>
      <c r="U55" s="956"/>
      <c r="V55" s="184"/>
      <c r="W55" s="948"/>
      <c r="X55" s="949"/>
    </row>
    <row r="56" spans="3:24" s="7" customFormat="1" ht="14.1" customHeight="1">
      <c r="C56" s="948" t="s">
        <v>190</v>
      </c>
      <c r="D56" s="949"/>
      <c r="E56" s="950" t="s">
        <v>180</v>
      </c>
      <c r="F56" s="951"/>
      <c r="G56" s="951"/>
      <c r="H56" s="951"/>
      <c r="I56" s="952"/>
      <c r="J56" s="184" t="s">
        <v>163</v>
      </c>
      <c r="K56" s="960" t="s">
        <v>168</v>
      </c>
      <c r="L56" s="961"/>
      <c r="O56" s="948"/>
      <c r="P56" s="949"/>
      <c r="Q56" s="950"/>
      <c r="R56" s="951"/>
      <c r="S56" s="951"/>
      <c r="T56" s="951"/>
      <c r="U56" s="952"/>
      <c r="V56" s="184"/>
      <c r="W56" s="953"/>
      <c r="X56" s="949"/>
    </row>
    <row r="57" spans="3:24" s="7" customFormat="1" ht="14.1" customHeight="1">
      <c r="C57" s="948" t="s">
        <v>190</v>
      </c>
      <c r="D57" s="949"/>
      <c r="E57" s="957" t="s">
        <v>181</v>
      </c>
      <c r="F57" s="958"/>
      <c r="G57" s="958"/>
      <c r="H57" s="958"/>
      <c r="I57" s="959"/>
      <c r="J57" s="184" t="s">
        <v>163</v>
      </c>
      <c r="K57" s="960" t="s">
        <v>169</v>
      </c>
      <c r="L57" s="961"/>
      <c r="O57" s="948"/>
      <c r="P57" s="949"/>
      <c r="Q57" s="954"/>
      <c r="R57" s="955"/>
      <c r="S57" s="955"/>
      <c r="T57" s="955"/>
      <c r="U57" s="956"/>
      <c r="V57" s="184"/>
      <c r="W57" s="948"/>
      <c r="X57" s="949"/>
    </row>
    <row r="58" spans="3:24" s="7" customFormat="1" ht="14.1" customHeight="1">
      <c r="C58" s="948" t="s">
        <v>191</v>
      </c>
      <c r="D58" s="949"/>
      <c r="E58" s="950" t="s">
        <v>182</v>
      </c>
      <c r="F58" s="951"/>
      <c r="G58" s="951"/>
      <c r="H58" s="951"/>
      <c r="I58" s="952"/>
      <c r="J58" s="184" t="s">
        <v>163</v>
      </c>
      <c r="K58" s="960" t="s">
        <v>170</v>
      </c>
      <c r="L58" s="961"/>
      <c r="O58" s="948"/>
      <c r="P58" s="949"/>
      <c r="Q58" s="950"/>
      <c r="R58" s="951"/>
      <c r="S58" s="951"/>
      <c r="T58" s="951"/>
      <c r="U58" s="952"/>
      <c r="V58" s="184"/>
      <c r="W58" s="953"/>
      <c r="X58" s="949"/>
    </row>
    <row r="59" spans="3:24" s="7" customFormat="1" ht="14.1" customHeight="1">
      <c r="C59" s="948" t="s">
        <v>191</v>
      </c>
      <c r="D59" s="949"/>
      <c r="E59" s="957" t="s">
        <v>256</v>
      </c>
      <c r="F59" s="958"/>
      <c r="G59" s="958"/>
      <c r="H59" s="958"/>
      <c r="I59" s="959"/>
      <c r="J59" s="184" t="s">
        <v>163</v>
      </c>
      <c r="K59" s="960" t="s">
        <v>161</v>
      </c>
      <c r="L59" s="961"/>
      <c r="O59" s="948"/>
      <c r="P59" s="949"/>
      <c r="Q59" s="954"/>
      <c r="R59" s="955"/>
      <c r="S59" s="955"/>
      <c r="T59" s="955"/>
      <c r="U59" s="956"/>
      <c r="V59" s="184"/>
      <c r="W59" s="948"/>
      <c r="X59" s="949"/>
    </row>
    <row r="60" spans="3:24" s="7" customFormat="1" ht="14.1" customHeight="1">
      <c r="C60" s="948" t="s">
        <v>192</v>
      </c>
      <c r="D60" s="949"/>
      <c r="E60" s="950" t="s">
        <v>108</v>
      </c>
      <c r="F60" s="951"/>
      <c r="G60" s="951"/>
      <c r="H60" s="951"/>
      <c r="I60" s="952"/>
      <c r="J60" s="184" t="s">
        <v>163</v>
      </c>
      <c r="K60" s="960" t="s">
        <v>171</v>
      </c>
      <c r="L60" s="961"/>
      <c r="O60" s="948"/>
      <c r="P60" s="949"/>
      <c r="Q60" s="950"/>
      <c r="R60" s="951"/>
      <c r="S60" s="951"/>
      <c r="T60" s="951"/>
      <c r="U60" s="952"/>
      <c r="V60" s="184"/>
      <c r="W60" s="953"/>
      <c r="X60" s="949"/>
    </row>
    <row r="61" spans="3:24" s="7" customFormat="1" ht="14.1" customHeight="1">
      <c r="C61" s="948" t="s">
        <v>192</v>
      </c>
      <c r="D61" s="949"/>
      <c r="E61" s="957" t="s">
        <v>183</v>
      </c>
      <c r="F61" s="958"/>
      <c r="G61" s="958"/>
      <c r="H61" s="958"/>
      <c r="I61" s="959"/>
      <c r="J61" s="184" t="s">
        <v>163</v>
      </c>
      <c r="K61" s="960" t="s">
        <v>169</v>
      </c>
      <c r="L61" s="961"/>
      <c r="O61" s="948"/>
      <c r="P61" s="949"/>
      <c r="Q61" s="954"/>
      <c r="R61" s="955"/>
      <c r="S61" s="955"/>
      <c r="T61" s="955"/>
      <c r="U61" s="956"/>
      <c r="V61" s="184"/>
      <c r="W61" s="948"/>
      <c r="X61" s="949"/>
    </row>
    <row r="62" spans="3:24" s="7" customFormat="1" ht="14.1" customHeight="1">
      <c r="C62" s="948" t="s">
        <v>192</v>
      </c>
      <c r="D62" s="949"/>
      <c r="E62" s="950" t="s">
        <v>184</v>
      </c>
      <c r="F62" s="951"/>
      <c r="G62" s="951"/>
      <c r="H62" s="951"/>
      <c r="I62" s="952"/>
      <c r="J62" s="184" t="s">
        <v>163</v>
      </c>
      <c r="K62" s="960" t="s">
        <v>172</v>
      </c>
      <c r="L62" s="961"/>
      <c r="O62" s="948"/>
      <c r="P62" s="949"/>
      <c r="Q62" s="950"/>
      <c r="R62" s="951"/>
      <c r="S62" s="951"/>
      <c r="T62" s="951"/>
      <c r="U62" s="952"/>
      <c r="V62" s="184"/>
      <c r="W62" s="953"/>
      <c r="X62" s="949"/>
    </row>
    <row r="63" spans="3:24" s="7" customFormat="1" ht="14.1" customHeight="1">
      <c r="C63" s="948" t="s">
        <v>192</v>
      </c>
      <c r="D63" s="949"/>
      <c r="E63" s="957" t="s">
        <v>185</v>
      </c>
      <c r="F63" s="958"/>
      <c r="G63" s="958"/>
      <c r="H63" s="958"/>
      <c r="I63" s="959"/>
      <c r="J63" s="184" t="s">
        <v>163</v>
      </c>
      <c r="K63" s="960" t="s">
        <v>172</v>
      </c>
      <c r="L63" s="961"/>
      <c r="O63" s="948"/>
      <c r="P63" s="949"/>
      <c r="Q63" s="954"/>
      <c r="R63" s="955"/>
      <c r="S63" s="955"/>
      <c r="T63" s="955"/>
      <c r="U63" s="956"/>
      <c r="V63" s="184"/>
      <c r="W63" s="948"/>
      <c r="X63" s="949"/>
    </row>
    <row r="64" spans="3:24" s="7" customFormat="1" ht="14.1" customHeight="1">
      <c r="C64" s="948" t="s">
        <v>193</v>
      </c>
      <c r="D64" s="949"/>
      <c r="E64" s="950" t="s">
        <v>186</v>
      </c>
      <c r="F64" s="951"/>
      <c r="G64" s="951"/>
      <c r="H64" s="951"/>
      <c r="I64" s="952"/>
      <c r="J64" s="184" t="s">
        <v>163</v>
      </c>
      <c r="K64" s="960" t="s">
        <v>173</v>
      </c>
      <c r="L64" s="961"/>
      <c r="O64" s="948"/>
      <c r="P64" s="949"/>
      <c r="Q64" s="950"/>
      <c r="R64" s="951"/>
      <c r="S64" s="951"/>
      <c r="T64" s="951"/>
      <c r="U64" s="952"/>
      <c r="V64" s="184"/>
      <c r="W64" s="953"/>
      <c r="X64" s="949"/>
    </row>
    <row r="65" spans="1:24" s="7" customFormat="1" ht="14.1" customHeight="1">
      <c r="C65" s="948" t="s">
        <v>194</v>
      </c>
      <c r="D65" s="949"/>
      <c r="E65" s="957" t="s">
        <v>187</v>
      </c>
      <c r="F65" s="958"/>
      <c r="G65" s="958"/>
      <c r="H65" s="958"/>
      <c r="I65" s="959"/>
      <c r="J65" s="184" t="s">
        <v>163</v>
      </c>
      <c r="K65" s="960" t="s">
        <v>174</v>
      </c>
      <c r="L65" s="961"/>
      <c r="O65" s="948"/>
      <c r="P65" s="949"/>
      <c r="Q65" s="954"/>
      <c r="R65" s="955"/>
      <c r="S65" s="955"/>
      <c r="T65" s="955"/>
      <c r="U65" s="956"/>
      <c r="V65" s="184"/>
      <c r="W65" s="948"/>
      <c r="X65" s="949"/>
    </row>
    <row r="66" spans="1:24" s="7" customFormat="1" ht="14.1" customHeight="1">
      <c r="C66" s="948" t="s">
        <v>194</v>
      </c>
      <c r="D66" s="949"/>
      <c r="E66" s="950" t="s">
        <v>188</v>
      </c>
      <c r="F66" s="951"/>
      <c r="G66" s="951"/>
      <c r="H66" s="951"/>
      <c r="I66" s="952"/>
      <c r="J66" s="184" t="s">
        <v>163</v>
      </c>
      <c r="K66" s="960" t="s">
        <v>175</v>
      </c>
      <c r="L66" s="961"/>
      <c r="O66" s="948"/>
      <c r="P66" s="949"/>
      <c r="Q66" s="950"/>
      <c r="R66" s="951"/>
      <c r="S66" s="951"/>
      <c r="T66" s="951"/>
      <c r="U66" s="952"/>
      <c r="V66" s="184"/>
      <c r="W66" s="953"/>
      <c r="X66" s="949"/>
    </row>
    <row r="67" spans="1:24" s="7" customFormat="1" ht="14.1" customHeight="1">
      <c r="C67" s="948" t="s">
        <v>191</v>
      </c>
      <c r="D67" s="949"/>
      <c r="E67" s="950" t="s">
        <v>251</v>
      </c>
      <c r="F67" s="951"/>
      <c r="G67" s="951"/>
      <c r="H67" s="951"/>
      <c r="I67" s="952"/>
      <c r="J67" s="184" t="s">
        <v>248</v>
      </c>
      <c r="K67" s="960" t="s">
        <v>250</v>
      </c>
      <c r="L67" s="961"/>
      <c r="O67" s="948"/>
      <c r="P67" s="949"/>
      <c r="Q67" s="954"/>
      <c r="R67" s="955"/>
      <c r="S67" s="955"/>
      <c r="T67" s="955"/>
      <c r="U67" s="956"/>
      <c r="V67" s="184"/>
      <c r="W67" s="948"/>
      <c r="X67" s="949"/>
    </row>
    <row r="68" spans="1:24" s="7" customFormat="1" ht="14.1" customHeight="1">
      <c r="C68" s="948"/>
      <c r="D68" s="949"/>
      <c r="E68" s="950"/>
      <c r="F68" s="951"/>
      <c r="G68" s="951"/>
      <c r="H68" s="951"/>
      <c r="I68" s="952"/>
      <c r="J68" s="184"/>
      <c r="K68" s="960"/>
      <c r="L68" s="961"/>
      <c r="O68" s="948"/>
      <c r="P68" s="949"/>
      <c r="Q68" s="950"/>
      <c r="R68" s="951"/>
      <c r="S68" s="951"/>
      <c r="T68" s="951"/>
      <c r="U68" s="952"/>
      <c r="V68" s="184"/>
      <c r="W68" s="953"/>
      <c r="X68" s="949"/>
    </row>
    <row r="69" spans="1:24">
      <c r="A69" s="7"/>
      <c r="B69" s="7"/>
      <c r="C69" s="948"/>
      <c r="D69" s="949"/>
      <c r="E69" s="957"/>
      <c r="F69" s="958"/>
      <c r="G69" s="958"/>
      <c r="H69" s="958"/>
      <c r="I69" s="959"/>
      <c r="J69" s="184"/>
      <c r="K69" s="960"/>
      <c r="L69" s="961"/>
      <c r="M69" s="7"/>
      <c r="N69" s="7"/>
      <c r="O69" s="948"/>
      <c r="P69" s="949"/>
      <c r="Q69" s="954"/>
      <c r="R69" s="955"/>
      <c r="S69" s="955"/>
      <c r="T69" s="955"/>
      <c r="U69" s="956"/>
      <c r="V69" s="184"/>
      <c r="W69" s="948"/>
      <c r="X69" s="949"/>
    </row>
    <row r="70" spans="1:24">
      <c r="A70" s="7"/>
      <c r="B70" s="7"/>
      <c r="C70" s="948"/>
      <c r="D70" s="949"/>
      <c r="E70" s="950"/>
      <c r="F70" s="951"/>
      <c r="G70" s="951"/>
      <c r="H70" s="951"/>
      <c r="I70" s="952"/>
      <c r="J70" s="184"/>
      <c r="K70" s="960"/>
      <c r="L70" s="961"/>
      <c r="O70" s="948"/>
      <c r="P70" s="949"/>
      <c r="Q70" s="950"/>
      <c r="R70" s="951"/>
      <c r="S70" s="951"/>
      <c r="T70" s="951"/>
      <c r="U70" s="952"/>
      <c r="V70" s="184"/>
      <c r="W70" s="953"/>
      <c r="X70" s="949"/>
    </row>
    <row r="71" spans="1:24">
      <c r="A71" s="7"/>
      <c r="B71" s="7"/>
      <c r="C71" s="948"/>
      <c r="D71" s="949"/>
      <c r="E71" s="957"/>
      <c r="F71" s="958"/>
      <c r="G71" s="958"/>
      <c r="H71" s="958"/>
      <c r="I71" s="959"/>
      <c r="J71" s="184"/>
      <c r="K71" s="960"/>
      <c r="L71" s="961"/>
      <c r="O71" s="948"/>
      <c r="P71" s="949"/>
      <c r="Q71" s="954"/>
      <c r="R71" s="955"/>
      <c r="S71" s="955"/>
      <c r="T71" s="955"/>
      <c r="U71" s="956"/>
      <c r="V71" s="184"/>
      <c r="W71" s="948"/>
      <c r="X71" s="949"/>
    </row>
    <row r="72" spans="1:24">
      <c r="A72" s="7"/>
      <c r="B72" s="7"/>
      <c r="C72" s="948"/>
      <c r="D72" s="949"/>
      <c r="E72" s="950"/>
      <c r="F72" s="951"/>
      <c r="G72" s="951"/>
      <c r="H72" s="951"/>
      <c r="I72" s="952"/>
      <c r="J72" s="184"/>
      <c r="K72" s="960"/>
      <c r="L72" s="961"/>
      <c r="O72" s="948"/>
      <c r="P72" s="949"/>
      <c r="Q72" s="950"/>
      <c r="R72" s="951"/>
      <c r="S72" s="951"/>
      <c r="T72" s="951"/>
      <c r="U72" s="952"/>
      <c r="V72" s="184"/>
      <c r="W72" s="953"/>
      <c r="X72" s="949"/>
    </row>
    <row r="73" spans="1:24">
      <c r="A73" s="7"/>
      <c r="B73" s="7"/>
      <c r="C73" s="948"/>
      <c r="D73" s="949"/>
      <c r="E73" s="957"/>
      <c r="F73" s="958"/>
      <c r="G73" s="958"/>
      <c r="H73" s="958"/>
      <c r="I73" s="959"/>
      <c r="J73" s="184"/>
      <c r="K73" s="960"/>
      <c r="L73" s="961"/>
      <c r="O73" s="948"/>
      <c r="P73" s="949"/>
      <c r="Q73" s="954"/>
      <c r="R73" s="955"/>
      <c r="S73" s="955"/>
      <c r="T73" s="955"/>
      <c r="U73" s="956"/>
      <c r="V73" s="184"/>
      <c r="W73" s="948"/>
      <c r="X73" s="949"/>
    </row>
    <row r="74" spans="1:24">
      <c r="A74" s="7"/>
      <c r="B74" s="7"/>
      <c r="C74" s="948"/>
      <c r="D74" s="949"/>
      <c r="E74" s="950"/>
      <c r="F74" s="951"/>
      <c r="G74" s="951"/>
      <c r="H74" s="951"/>
      <c r="I74" s="952"/>
      <c r="J74" s="184"/>
      <c r="K74" s="960"/>
      <c r="L74" s="961"/>
      <c r="O74" s="948"/>
      <c r="P74" s="949"/>
      <c r="Q74" s="950"/>
      <c r="R74" s="951"/>
      <c r="S74" s="951"/>
      <c r="T74" s="951"/>
      <c r="U74" s="952"/>
      <c r="V74" s="184"/>
      <c r="W74" s="953"/>
      <c r="X74" s="949"/>
    </row>
    <row r="75" spans="1:24">
      <c r="A75" s="7"/>
      <c r="B75" s="7"/>
      <c r="C75" s="948"/>
      <c r="D75" s="949"/>
      <c r="E75" s="957"/>
      <c r="F75" s="958"/>
      <c r="G75" s="958"/>
      <c r="H75" s="958"/>
      <c r="I75" s="959"/>
      <c r="J75" s="184"/>
      <c r="K75" s="960"/>
      <c r="L75" s="961"/>
      <c r="O75" s="948"/>
      <c r="P75" s="949"/>
      <c r="Q75" s="954"/>
      <c r="R75" s="955"/>
      <c r="S75" s="955"/>
      <c r="T75" s="955"/>
      <c r="U75" s="956"/>
      <c r="V75" s="184"/>
      <c r="W75" s="948"/>
      <c r="X75" s="949"/>
    </row>
    <row r="76" spans="1:24">
      <c r="A76" s="7"/>
      <c r="B76" s="7"/>
      <c r="C76" s="948"/>
      <c r="D76" s="949"/>
      <c r="E76" s="950"/>
      <c r="F76" s="951"/>
      <c r="G76" s="951"/>
      <c r="H76" s="951"/>
      <c r="I76" s="952"/>
      <c r="J76" s="184"/>
      <c r="K76" s="960"/>
      <c r="L76" s="961"/>
      <c r="O76" s="948"/>
      <c r="P76" s="949"/>
      <c r="Q76" s="950"/>
      <c r="R76" s="951"/>
      <c r="S76" s="951"/>
      <c r="T76" s="951"/>
      <c r="U76" s="952"/>
      <c r="V76" s="184"/>
      <c r="W76" s="953"/>
      <c r="X76" s="949"/>
    </row>
    <row r="77" spans="1:24">
      <c r="A77" s="7"/>
      <c r="B77" s="7"/>
      <c r="C77" s="948"/>
      <c r="D77" s="949"/>
      <c r="E77" s="957"/>
      <c r="F77" s="958"/>
      <c r="G77" s="958"/>
      <c r="H77" s="958"/>
      <c r="I77" s="959"/>
      <c r="J77" s="184"/>
      <c r="K77" s="960"/>
      <c r="L77" s="961"/>
      <c r="O77" s="948"/>
      <c r="P77" s="949"/>
      <c r="Q77" s="954"/>
      <c r="R77" s="955"/>
      <c r="S77" s="955"/>
      <c r="T77" s="955"/>
      <c r="U77" s="956"/>
      <c r="V77" s="184"/>
      <c r="W77" s="948"/>
      <c r="X77" s="949"/>
    </row>
    <row r="78" spans="1:24">
      <c r="A78" s="7"/>
      <c r="B78" s="7"/>
      <c r="C78" s="948"/>
      <c r="D78" s="949"/>
      <c r="E78" s="950"/>
      <c r="F78" s="951"/>
      <c r="G78" s="951"/>
      <c r="H78" s="951"/>
      <c r="I78" s="952"/>
      <c r="J78" s="184"/>
      <c r="K78" s="960"/>
      <c r="L78" s="961"/>
      <c r="O78" s="948"/>
      <c r="P78" s="949"/>
      <c r="Q78" s="950"/>
      <c r="R78" s="951"/>
      <c r="S78" s="951"/>
      <c r="T78" s="951"/>
      <c r="U78" s="952"/>
      <c r="V78" s="184"/>
      <c r="W78" s="953"/>
      <c r="X78" s="949"/>
    </row>
    <row r="79" spans="1:24">
      <c r="C79" s="948"/>
      <c r="D79" s="949"/>
      <c r="E79" s="957"/>
      <c r="F79" s="958"/>
      <c r="G79" s="958"/>
      <c r="H79" s="958"/>
      <c r="I79" s="959"/>
      <c r="J79" s="184"/>
      <c r="K79" s="960"/>
      <c r="L79" s="961"/>
      <c r="O79" s="948"/>
      <c r="P79" s="949"/>
      <c r="Q79" s="954"/>
      <c r="R79" s="955"/>
      <c r="S79" s="955"/>
      <c r="T79" s="955"/>
      <c r="U79" s="956"/>
      <c r="V79" s="184"/>
      <c r="W79" s="948"/>
      <c r="X79" s="949"/>
    </row>
    <row r="80" spans="1:24">
      <c r="C80" s="962"/>
      <c r="D80" s="963"/>
      <c r="E80" s="964"/>
      <c r="F80" s="965"/>
      <c r="G80" s="965"/>
      <c r="H80" s="965"/>
      <c r="I80" s="966"/>
      <c r="J80" s="890"/>
      <c r="K80" s="967"/>
      <c r="L80" s="968"/>
    </row>
  </sheetData>
  <mergeCells count="448">
    <mergeCell ref="A31:A32"/>
    <mergeCell ref="A27:A28"/>
    <mergeCell ref="E20:I20"/>
    <mergeCell ref="B25:B26"/>
    <mergeCell ref="B27:B28"/>
    <mergeCell ref="B29:B30"/>
    <mergeCell ref="B31:B32"/>
    <mergeCell ref="C28:D28"/>
    <mergeCell ref="C24:D24"/>
    <mergeCell ref="C20:D20"/>
    <mergeCell ref="K20:L20"/>
    <mergeCell ref="K18:L18"/>
    <mergeCell ref="K13:L13"/>
    <mergeCell ref="K14:L14"/>
    <mergeCell ref="K17:L17"/>
    <mergeCell ref="K19:L19"/>
    <mergeCell ref="K9:L9"/>
    <mergeCell ref="M11:M12"/>
    <mergeCell ref="N11:N12"/>
    <mergeCell ref="N13:N14"/>
    <mergeCell ref="M13:M14"/>
    <mergeCell ref="N17:N18"/>
    <mergeCell ref="M17:M18"/>
    <mergeCell ref="W21:X21"/>
    <mergeCell ref="O11:P11"/>
    <mergeCell ref="O9:P9"/>
    <mergeCell ref="M15:M16"/>
    <mergeCell ref="N15:N16"/>
    <mergeCell ref="N19:N20"/>
    <mergeCell ref="M19:M20"/>
    <mergeCell ref="O15:P15"/>
    <mergeCell ref="O8:P8"/>
    <mergeCell ref="O13:P13"/>
    <mergeCell ref="O14:P14"/>
    <mergeCell ref="W14:X14"/>
    <mergeCell ref="Q17:U17"/>
    <mergeCell ref="O19:P19"/>
    <mergeCell ref="Q19:U19"/>
    <mergeCell ref="W10:X10"/>
    <mergeCell ref="W16:X16"/>
    <mergeCell ref="O18:P18"/>
    <mergeCell ref="Q20:U20"/>
    <mergeCell ref="O20:P20"/>
    <mergeCell ref="O17:P17"/>
    <mergeCell ref="M9:M10"/>
    <mergeCell ref="Q16:U16"/>
    <mergeCell ref="Q13:U13"/>
    <mergeCell ref="A15:A16"/>
    <mergeCell ref="A13:A14"/>
    <mergeCell ref="A9:A10"/>
    <mergeCell ref="B7:B8"/>
    <mergeCell ref="E10:I10"/>
    <mergeCell ref="E14:I14"/>
    <mergeCell ref="E13:I13"/>
    <mergeCell ref="Q8:U8"/>
    <mergeCell ref="Q12:U12"/>
    <mergeCell ref="M7:M8"/>
    <mergeCell ref="N7:N8"/>
    <mergeCell ref="N9:N10"/>
    <mergeCell ref="K11:L11"/>
    <mergeCell ref="K15:L15"/>
    <mergeCell ref="K16:L16"/>
    <mergeCell ref="B9:B10"/>
    <mergeCell ref="B15:B16"/>
    <mergeCell ref="B13:B14"/>
    <mergeCell ref="A17:A18"/>
    <mergeCell ref="B17:B18"/>
    <mergeCell ref="A19:A20"/>
    <mergeCell ref="B19:B20"/>
    <mergeCell ref="B21:B22"/>
    <mergeCell ref="C19:D19"/>
    <mergeCell ref="A4:F4"/>
    <mergeCell ref="C12:D12"/>
    <mergeCell ref="C7:D7"/>
    <mergeCell ref="C15:D15"/>
    <mergeCell ref="C11:D11"/>
    <mergeCell ref="E8:I8"/>
    <mergeCell ref="E11:I11"/>
    <mergeCell ref="E6:I6"/>
    <mergeCell ref="C8:D8"/>
    <mergeCell ref="E7:I7"/>
    <mergeCell ref="C6:D6"/>
    <mergeCell ref="A11:A12"/>
    <mergeCell ref="B11:B12"/>
    <mergeCell ref="E15:I15"/>
    <mergeCell ref="E12:I12"/>
    <mergeCell ref="C14:D14"/>
    <mergeCell ref="A7:A8"/>
    <mergeCell ref="C10:D10"/>
    <mergeCell ref="E19:I19"/>
    <mergeCell ref="C13:D13"/>
    <mergeCell ref="C17:D17"/>
    <mergeCell ref="E17:I17"/>
    <mergeCell ref="C18:D18"/>
    <mergeCell ref="E18:I18"/>
    <mergeCell ref="E16:I16"/>
    <mergeCell ref="C9:D9"/>
    <mergeCell ref="K6:L6"/>
    <mergeCell ref="K7:L7"/>
    <mergeCell ref="K12:L12"/>
    <mergeCell ref="K8:L8"/>
    <mergeCell ref="K10:L10"/>
    <mergeCell ref="C16:D16"/>
    <mergeCell ref="E9:I9"/>
    <mergeCell ref="K34:L34"/>
    <mergeCell ref="E29:I29"/>
    <mergeCell ref="K25:L25"/>
    <mergeCell ref="K30:L30"/>
    <mergeCell ref="C27:D27"/>
    <mergeCell ref="K28:L28"/>
    <mergeCell ref="C30:D30"/>
    <mergeCell ref="E30:I30"/>
    <mergeCell ref="K26:L26"/>
    <mergeCell ref="K32:L32"/>
    <mergeCell ref="C25:D25"/>
    <mergeCell ref="C31:D31"/>
    <mergeCell ref="C26:D26"/>
    <mergeCell ref="E26:I26"/>
    <mergeCell ref="C29:D29"/>
    <mergeCell ref="C33:D33"/>
    <mergeCell ref="C34:D34"/>
    <mergeCell ref="E32:I32"/>
    <mergeCell ref="W17:X17"/>
    <mergeCell ref="Q14:U14"/>
    <mergeCell ref="O33:P33"/>
    <mergeCell ref="O34:P34"/>
    <mergeCell ref="Q36:U36"/>
    <mergeCell ref="O35:P35"/>
    <mergeCell ref="Q34:U34"/>
    <mergeCell ref="O21:P21"/>
    <mergeCell ref="W33:X33"/>
    <mergeCell ref="W23:X23"/>
    <mergeCell ref="W24:X24"/>
    <mergeCell ref="Q24:U24"/>
    <mergeCell ref="O24:P24"/>
    <mergeCell ref="W22:X22"/>
    <mergeCell ref="Q22:U22"/>
    <mergeCell ref="W19:X19"/>
    <mergeCell ref="W18:X18"/>
    <mergeCell ref="O23:P23"/>
    <mergeCell ref="Q15:U15"/>
    <mergeCell ref="O29:P29"/>
    <mergeCell ref="W15:X15"/>
    <mergeCell ref="W20:X20"/>
    <mergeCell ref="Q21:U21"/>
    <mergeCell ref="O16:P16"/>
    <mergeCell ref="W8:X8"/>
    <mergeCell ref="W9:X9"/>
    <mergeCell ref="Q6:U6"/>
    <mergeCell ref="W12:X12"/>
    <mergeCell ref="W11:X11"/>
    <mergeCell ref="Q11:U11"/>
    <mergeCell ref="Q9:U9"/>
    <mergeCell ref="O6:P6"/>
    <mergeCell ref="W13:X13"/>
    <mergeCell ref="W6:X6"/>
    <mergeCell ref="W7:X7"/>
    <mergeCell ref="O7:P7"/>
    <mergeCell ref="Q7:U7"/>
    <mergeCell ref="O10:P10"/>
    <mergeCell ref="O12:P12"/>
    <mergeCell ref="Q10:U10"/>
    <mergeCell ref="Q18:U18"/>
    <mergeCell ref="E25:I25"/>
    <mergeCell ref="W25:X25"/>
    <mergeCell ref="W29:X29"/>
    <mergeCell ref="K33:L33"/>
    <mergeCell ref="E34:I34"/>
    <mergeCell ref="E33:I33"/>
    <mergeCell ref="K29:L29"/>
    <mergeCell ref="O27:P27"/>
    <mergeCell ref="E31:I31"/>
    <mergeCell ref="Q27:U27"/>
    <mergeCell ref="Q28:U28"/>
    <mergeCell ref="N29:N30"/>
    <mergeCell ref="N31:N32"/>
    <mergeCell ref="Q23:U23"/>
    <mergeCell ref="O22:P22"/>
    <mergeCell ref="W27:X27"/>
    <mergeCell ref="Q29:U29"/>
    <mergeCell ref="K27:L27"/>
    <mergeCell ref="E28:I28"/>
    <mergeCell ref="W26:X26"/>
    <mergeCell ref="Q26:U26"/>
    <mergeCell ref="K31:L31"/>
    <mergeCell ref="Q33:U33"/>
    <mergeCell ref="A33:A34"/>
    <mergeCell ref="B37:B38"/>
    <mergeCell ref="A35:A36"/>
    <mergeCell ref="W28:X28"/>
    <mergeCell ref="O25:P25"/>
    <mergeCell ref="Q25:U25"/>
    <mergeCell ref="M25:M26"/>
    <mergeCell ref="N25:N26"/>
    <mergeCell ref="O26:P26"/>
    <mergeCell ref="Q31:U31"/>
    <mergeCell ref="M27:M28"/>
    <mergeCell ref="N27:N28"/>
    <mergeCell ref="O28:P28"/>
    <mergeCell ref="A37:A38"/>
    <mergeCell ref="E38:I38"/>
    <mergeCell ref="K38:L38"/>
    <mergeCell ref="C38:D38"/>
    <mergeCell ref="C37:D37"/>
    <mergeCell ref="K35:L35"/>
    <mergeCell ref="K36:L36"/>
    <mergeCell ref="K37:L37"/>
    <mergeCell ref="C32:D32"/>
    <mergeCell ref="W36:X36"/>
    <mergeCell ref="W37:X37"/>
    <mergeCell ref="N23:N24"/>
    <mergeCell ref="M21:M22"/>
    <mergeCell ref="M23:M24"/>
    <mergeCell ref="A25:A26"/>
    <mergeCell ref="M29:M30"/>
    <mergeCell ref="N21:N22"/>
    <mergeCell ref="C23:D23"/>
    <mergeCell ref="E23:I23"/>
    <mergeCell ref="E27:I27"/>
    <mergeCell ref="K24:L24"/>
    <mergeCell ref="A21:A22"/>
    <mergeCell ref="C21:D21"/>
    <mergeCell ref="E21:I21"/>
    <mergeCell ref="K21:L21"/>
    <mergeCell ref="C22:D22"/>
    <mergeCell ref="E22:I22"/>
    <mergeCell ref="K22:L22"/>
    <mergeCell ref="K23:L23"/>
    <mergeCell ref="B23:B24"/>
    <mergeCell ref="E24:I24"/>
    <mergeCell ref="A23:A24"/>
    <mergeCell ref="A29:A30"/>
    <mergeCell ref="M37:M38"/>
    <mergeCell ref="N37:N38"/>
    <mergeCell ref="O37:P37"/>
    <mergeCell ref="Q35:U35"/>
    <mergeCell ref="O38:P38"/>
    <mergeCell ref="Q30:U30"/>
    <mergeCell ref="W32:X32"/>
    <mergeCell ref="O30:P30"/>
    <mergeCell ref="N35:N36"/>
    <mergeCell ref="Q38:U38"/>
    <mergeCell ref="Q37:U37"/>
    <mergeCell ref="W31:X31"/>
    <mergeCell ref="W30:X30"/>
    <mergeCell ref="Q32:U32"/>
    <mergeCell ref="M31:M32"/>
    <mergeCell ref="O31:P31"/>
    <mergeCell ref="O32:P32"/>
    <mergeCell ref="M33:M34"/>
    <mergeCell ref="N33:N34"/>
    <mergeCell ref="M35:M36"/>
    <mergeCell ref="C50:D50"/>
    <mergeCell ref="E50:I50"/>
    <mergeCell ref="K50:L50"/>
    <mergeCell ref="C51:D51"/>
    <mergeCell ref="E51:I51"/>
    <mergeCell ref="K51:L51"/>
    <mergeCell ref="W34:X34"/>
    <mergeCell ref="W35:X35"/>
    <mergeCell ref="W38:X38"/>
    <mergeCell ref="E36:I36"/>
    <mergeCell ref="B39:N39"/>
    <mergeCell ref="E35:I35"/>
    <mergeCell ref="B35:B36"/>
    <mergeCell ref="C36:D36"/>
    <mergeCell ref="O36:P36"/>
    <mergeCell ref="E37:I37"/>
    <mergeCell ref="O50:P50"/>
    <mergeCell ref="Q50:U50"/>
    <mergeCell ref="W50:X50"/>
    <mergeCell ref="O51:P51"/>
    <mergeCell ref="Q51:U51"/>
    <mergeCell ref="W51:X51"/>
    <mergeCell ref="C35:D35"/>
    <mergeCell ref="B33:B34"/>
    <mergeCell ref="C52:D52"/>
    <mergeCell ref="E52:I52"/>
    <mergeCell ref="K52:L52"/>
    <mergeCell ref="C53:D53"/>
    <mergeCell ref="E53:I53"/>
    <mergeCell ref="K53:L53"/>
    <mergeCell ref="C54:D54"/>
    <mergeCell ref="E54:I54"/>
    <mergeCell ref="K54:L54"/>
    <mergeCell ref="C55:D55"/>
    <mergeCell ref="E55:I55"/>
    <mergeCell ref="K55:L55"/>
    <mergeCell ref="C56:D56"/>
    <mergeCell ref="E56:I56"/>
    <mergeCell ref="K56:L56"/>
    <mergeCell ref="C57:D57"/>
    <mergeCell ref="E57:I57"/>
    <mergeCell ref="K57:L57"/>
    <mergeCell ref="C58:D58"/>
    <mergeCell ref="E58:I58"/>
    <mergeCell ref="K58:L58"/>
    <mergeCell ref="C59:D59"/>
    <mergeCell ref="E59:I59"/>
    <mergeCell ref="K59:L59"/>
    <mergeCell ref="C60:D60"/>
    <mergeCell ref="E60:I60"/>
    <mergeCell ref="K60:L60"/>
    <mergeCell ref="C61:D61"/>
    <mergeCell ref="E61:I61"/>
    <mergeCell ref="K61:L61"/>
    <mergeCell ref="C62:D62"/>
    <mergeCell ref="E62:I62"/>
    <mergeCell ref="K62:L62"/>
    <mergeCell ref="C63:D63"/>
    <mergeCell ref="E63:I63"/>
    <mergeCell ref="K63:L63"/>
    <mergeCell ref="C64:D64"/>
    <mergeCell ref="E64:I64"/>
    <mergeCell ref="K64:L64"/>
    <mergeCell ref="C65:D65"/>
    <mergeCell ref="E65:I65"/>
    <mergeCell ref="K65:L65"/>
    <mergeCell ref="C66:D66"/>
    <mergeCell ref="E66:I66"/>
    <mergeCell ref="K66:L66"/>
    <mergeCell ref="C67:D67"/>
    <mergeCell ref="E67:I67"/>
    <mergeCell ref="K67:L67"/>
    <mergeCell ref="C68:D68"/>
    <mergeCell ref="E68:I68"/>
    <mergeCell ref="K68:L68"/>
    <mergeCell ref="C69:D69"/>
    <mergeCell ref="E69:I69"/>
    <mergeCell ref="K69:L69"/>
    <mergeCell ref="C70:D70"/>
    <mergeCell ref="E70:I70"/>
    <mergeCell ref="K70:L70"/>
    <mergeCell ref="C71:D71"/>
    <mergeCell ref="E71:I71"/>
    <mergeCell ref="K71:L71"/>
    <mergeCell ref="C72:D72"/>
    <mergeCell ref="E72:I72"/>
    <mergeCell ref="K72:L72"/>
    <mergeCell ref="C73:D73"/>
    <mergeCell ref="E73:I73"/>
    <mergeCell ref="K73:L73"/>
    <mergeCell ref="C74:D74"/>
    <mergeCell ref="E74:I74"/>
    <mergeCell ref="K74:L74"/>
    <mergeCell ref="C75:D75"/>
    <mergeCell ref="E75:I75"/>
    <mergeCell ref="K75:L75"/>
    <mergeCell ref="C79:D79"/>
    <mergeCell ref="E79:I79"/>
    <mergeCell ref="K79:L79"/>
    <mergeCell ref="C80:D80"/>
    <mergeCell ref="E80:I80"/>
    <mergeCell ref="K80:L80"/>
    <mergeCell ref="C76:D76"/>
    <mergeCell ref="E76:I76"/>
    <mergeCell ref="K76:L76"/>
    <mergeCell ref="C77:D77"/>
    <mergeCell ref="E77:I77"/>
    <mergeCell ref="K77:L77"/>
    <mergeCell ref="C78:D78"/>
    <mergeCell ref="E78:I78"/>
    <mergeCell ref="K78:L78"/>
    <mergeCell ref="O52:P52"/>
    <mergeCell ref="Q52:U52"/>
    <mergeCell ref="W52:X52"/>
    <mergeCell ref="O53:P53"/>
    <mergeCell ref="Q53:U53"/>
    <mergeCell ref="W53:X53"/>
    <mergeCell ref="O54:P54"/>
    <mergeCell ref="Q54:U54"/>
    <mergeCell ref="W54:X54"/>
    <mergeCell ref="O55:P55"/>
    <mergeCell ref="Q55:U55"/>
    <mergeCell ref="W55:X55"/>
    <mergeCell ref="O56:P56"/>
    <mergeCell ref="Q56:U56"/>
    <mergeCell ref="W56:X56"/>
    <mergeCell ref="O57:P57"/>
    <mergeCell ref="Q57:U57"/>
    <mergeCell ref="W57:X57"/>
    <mergeCell ref="Q63:U63"/>
    <mergeCell ref="W63:X63"/>
    <mergeCell ref="O64:P64"/>
    <mergeCell ref="Q64:U64"/>
    <mergeCell ref="W64:X64"/>
    <mergeCell ref="Q69:U69"/>
    <mergeCell ref="W69:X69"/>
    <mergeCell ref="O58:P58"/>
    <mergeCell ref="Q58:U58"/>
    <mergeCell ref="W58:X58"/>
    <mergeCell ref="O59:P59"/>
    <mergeCell ref="Q59:U59"/>
    <mergeCell ref="W59:X59"/>
    <mergeCell ref="O60:P60"/>
    <mergeCell ref="Q60:U60"/>
    <mergeCell ref="W60:X60"/>
    <mergeCell ref="O79:P79"/>
    <mergeCell ref="Q79:U79"/>
    <mergeCell ref="W79:X79"/>
    <mergeCell ref="O74:P74"/>
    <mergeCell ref="Q74:U74"/>
    <mergeCell ref="W74:X74"/>
    <mergeCell ref="O75:P75"/>
    <mergeCell ref="Q75:U75"/>
    <mergeCell ref="W75:X75"/>
    <mergeCell ref="O76:P76"/>
    <mergeCell ref="Q76:U76"/>
    <mergeCell ref="W76:X76"/>
    <mergeCell ref="O77:P77"/>
    <mergeCell ref="Q77:U77"/>
    <mergeCell ref="W77:X77"/>
    <mergeCell ref="O78:P78"/>
    <mergeCell ref="Q78:U78"/>
    <mergeCell ref="W78:X78"/>
    <mergeCell ref="O71:P71"/>
    <mergeCell ref="Q71:U71"/>
    <mergeCell ref="W71:X71"/>
    <mergeCell ref="O72:P72"/>
    <mergeCell ref="Q72:U72"/>
    <mergeCell ref="W72:X72"/>
    <mergeCell ref="O73:P73"/>
    <mergeCell ref="Q73:U73"/>
    <mergeCell ref="W73:X73"/>
    <mergeCell ref="A40:N40"/>
    <mergeCell ref="O70:P70"/>
    <mergeCell ref="Q70:U70"/>
    <mergeCell ref="W70:X70"/>
    <mergeCell ref="O65:P65"/>
    <mergeCell ref="Q65:U65"/>
    <mergeCell ref="W65:X65"/>
    <mergeCell ref="O66:P66"/>
    <mergeCell ref="Q66:U66"/>
    <mergeCell ref="W66:X66"/>
    <mergeCell ref="O67:P67"/>
    <mergeCell ref="Q67:U67"/>
    <mergeCell ref="O61:P61"/>
    <mergeCell ref="Q61:U61"/>
    <mergeCell ref="W61:X61"/>
    <mergeCell ref="W67:X67"/>
    <mergeCell ref="O68:P68"/>
    <mergeCell ref="Q68:U68"/>
    <mergeCell ref="W68:X68"/>
    <mergeCell ref="O69:P69"/>
    <mergeCell ref="O62:P62"/>
    <mergeCell ref="Q62:U62"/>
    <mergeCell ref="W62:X62"/>
    <mergeCell ref="O63:P63"/>
  </mergeCells>
  <phoneticPr fontId="8"/>
  <dataValidations count="1">
    <dataValidation type="list" allowBlank="1" showInputMessage="1" showErrorMessage="1" sqref="B11 B7 B9 B13 B17 B21 B25 B29 B33 B15 B19 B23 B27 B31 B35" xr:uid="{00000000-0002-0000-0300-000000000000}">
      <formula1>"日,月,火,水,木,金,土"</formula1>
    </dataValidation>
  </dataValidations>
  <pageMargins left="0.78740157480314965" right="0.78740157480314965" top="0.98425196850393704" bottom="0.98425196850393704" header="0.51181102362204722" footer="0.51181102362204722"/>
  <pageSetup paperSize="9" scale="57" orientation="landscape" cellComments="asDisplayed"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Z59"/>
  <sheetViews>
    <sheetView view="pageBreakPreview" topLeftCell="C1" zoomScale="80" zoomScaleNormal="70" zoomScaleSheetLayoutView="80" workbookViewId="0">
      <selection activeCell="H42" sqref="H42"/>
    </sheetView>
  </sheetViews>
  <sheetFormatPr defaultColWidth="9" defaultRowHeight="12.75"/>
  <cols>
    <col min="1" max="12" width="9" style="23"/>
    <col min="13" max="13" width="9.46484375" style="23" bestFit="1" customWidth="1"/>
    <col min="14" max="14" width="9" style="23" customWidth="1"/>
    <col min="15" max="16384" width="9" style="23"/>
  </cols>
  <sheetData>
    <row r="1" spans="1:24" ht="23.25" thickBot="1">
      <c r="A1" s="396" t="s">
        <v>145</v>
      </c>
      <c r="B1" s="397"/>
      <c r="C1" s="398"/>
      <c r="D1" s="398"/>
      <c r="E1" s="398"/>
      <c r="F1" s="398"/>
      <c r="G1" s="398"/>
      <c r="H1" s="398"/>
      <c r="I1" s="399"/>
      <c r="J1" s="398"/>
      <c r="K1" s="398"/>
      <c r="L1" s="398"/>
      <c r="M1" s="398"/>
      <c r="N1" s="398"/>
      <c r="O1" s="398"/>
      <c r="P1" s="398"/>
      <c r="Q1" s="398"/>
      <c r="R1" s="398"/>
      <c r="S1" s="398"/>
      <c r="T1" s="398"/>
      <c r="U1" s="398"/>
      <c r="V1" s="398"/>
      <c r="W1" s="398"/>
      <c r="X1" s="400"/>
    </row>
    <row r="2" spans="1:24" ht="17.25" customHeight="1" thickTop="1">
      <c r="A2" s="401"/>
      <c r="B2" s="402"/>
      <c r="C2" s="25"/>
      <c r="D2" s="25"/>
      <c r="E2" s="25"/>
      <c r="F2" s="25"/>
      <c r="G2" s="25"/>
      <c r="H2" s="25"/>
      <c r="I2" s="403"/>
      <c r="J2" s="25"/>
      <c r="K2" s="25"/>
      <c r="L2" s="25"/>
      <c r="M2" s="25"/>
      <c r="N2" s="25"/>
      <c r="O2" s="25"/>
      <c r="P2" s="25"/>
      <c r="Q2" s="25"/>
      <c r="R2" s="25"/>
      <c r="S2" s="25"/>
      <c r="T2" s="25"/>
      <c r="U2" s="25"/>
      <c r="V2" s="25"/>
      <c r="W2" s="25"/>
      <c r="X2" s="404"/>
    </row>
    <row r="3" spans="1:24" ht="17.25" customHeight="1">
      <c r="A3" s="401"/>
      <c r="B3" s="402"/>
      <c r="C3" s="25"/>
      <c r="D3" s="25"/>
      <c r="E3" s="25"/>
      <c r="F3" s="25"/>
      <c r="G3" s="25"/>
      <c r="H3" s="25"/>
      <c r="I3" s="403"/>
      <c r="J3" s="25"/>
      <c r="K3" s="25"/>
      <c r="L3" s="25"/>
      <c r="M3" s="25"/>
      <c r="N3" s="25"/>
      <c r="O3" s="405"/>
      <c r="P3" s="25"/>
      <c r="Q3" s="25"/>
      <c r="R3" s="25"/>
      <c r="S3" s="25"/>
      <c r="T3" s="25"/>
      <c r="U3" s="25"/>
      <c r="V3" s="25"/>
      <c r="W3" s="25"/>
      <c r="X3" s="404"/>
    </row>
    <row r="4" spans="1:24" s="7" customFormat="1" ht="18" customHeight="1">
      <c r="A4" s="1060" t="s">
        <v>117</v>
      </c>
      <c r="B4" s="1061"/>
      <c r="C4" s="1061"/>
      <c r="D4" s="1061"/>
      <c r="E4" s="1061"/>
      <c r="F4" s="1062"/>
      <c r="G4" s="17"/>
      <c r="H4" s="17"/>
      <c r="I4" s="17"/>
      <c r="J4" s="17"/>
      <c r="K4" s="17"/>
      <c r="L4" s="17"/>
      <c r="M4" s="17"/>
      <c r="N4" s="17"/>
      <c r="O4" s="17"/>
      <c r="P4" s="17"/>
      <c r="Q4" s="17"/>
      <c r="R4" s="17"/>
      <c r="S4" s="17"/>
      <c r="T4" s="17"/>
      <c r="U4" s="17"/>
      <c r="V4" s="17"/>
      <c r="W4" s="17"/>
      <c r="X4" s="406"/>
    </row>
    <row r="5" spans="1:24" s="7" customFormat="1" ht="14.1" customHeight="1">
      <c r="A5" s="191"/>
      <c r="B5" s="17"/>
      <c r="C5" s="17"/>
      <c r="D5" s="17"/>
      <c r="E5" s="17"/>
      <c r="F5" s="17"/>
      <c r="G5" s="17"/>
      <c r="H5" s="17"/>
      <c r="I5" s="17"/>
      <c r="J5" s="17"/>
      <c r="K5" s="17"/>
      <c r="L5" s="17"/>
      <c r="M5" s="17"/>
      <c r="N5" s="17"/>
      <c r="O5" s="17"/>
      <c r="P5" s="17"/>
      <c r="Q5" s="17"/>
      <c r="R5" s="17"/>
      <c r="S5" s="17"/>
      <c r="T5" s="17"/>
      <c r="U5" s="17"/>
      <c r="V5" s="17"/>
      <c r="W5" s="17"/>
      <c r="X5" s="406"/>
    </row>
    <row r="6" spans="1:24" s="11" customFormat="1" ht="14.1" customHeight="1">
      <c r="A6" s="407" t="s">
        <v>5</v>
      </c>
      <c r="B6" s="407" t="s">
        <v>6</v>
      </c>
      <c r="C6" s="1056" t="s">
        <v>7</v>
      </c>
      <c r="D6" s="1057"/>
      <c r="E6" s="1056" t="s">
        <v>8</v>
      </c>
      <c r="F6" s="1059"/>
      <c r="G6" s="1059"/>
      <c r="H6" s="1059"/>
      <c r="I6" s="1059"/>
      <c r="J6" s="1057"/>
      <c r="K6" s="1056" t="s">
        <v>9</v>
      </c>
      <c r="L6" s="1063"/>
      <c r="M6" s="408" t="s">
        <v>5</v>
      </c>
      <c r="N6" s="407" t="s">
        <v>6</v>
      </c>
      <c r="O6" s="1056" t="s">
        <v>7</v>
      </c>
      <c r="P6" s="1057"/>
      <c r="Q6" s="1056" t="s">
        <v>8</v>
      </c>
      <c r="R6" s="1059"/>
      <c r="S6" s="1059"/>
      <c r="T6" s="1059"/>
      <c r="U6" s="1059"/>
      <c r="V6" s="1057"/>
      <c r="W6" s="1056" t="s">
        <v>9</v>
      </c>
      <c r="X6" s="1057"/>
    </row>
    <row r="7" spans="1:24" s="7" customFormat="1" ht="13.5" customHeight="1">
      <c r="A7" s="1043"/>
      <c r="B7" s="1045"/>
      <c r="C7" s="1022"/>
      <c r="D7" s="1023"/>
      <c r="E7" s="954"/>
      <c r="F7" s="955"/>
      <c r="G7" s="955"/>
      <c r="H7" s="955"/>
      <c r="I7" s="955"/>
      <c r="J7" s="956"/>
      <c r="K7" s="948"/>
      <c r="L7" s="949"/>
      <c r="M7" s="1018"/>
      <c r="N7" s="1045"/>
      <c r="O7" s="1046"/>
      <c r="P7" s="1047"/>
      <c r="Q7" s="1048"/>
      <c r="R7" s="1049"/>
      <c r="S7" s="1049"/>
      <c r="T7" s="1049"/>
      <c r="U7" s="1049"/>
      <c r="V7" s="1050"/>
      <c r="W7" s="1046"/>
      <c r="X7" s="1047"/>
    </row>
    <row r="8" spans="1:24" s="7" customFormat="1" ht="13.5" customHeight="1">
      <c r="A8" s="1044"/>
      <c r="B8" s="995"/>
      <c r="C8" s="1054"/>
      <c r="D8" s="1058"/>
      <c r="E8" s="1051"/>
      <c r="F8" s="1052"/>
      <c r="G8" s="1052"/>
      <c r="H8" s="1052"/>
      <c r="I8" s="1052"/>
      <c r="J8" s="1053"/>
      <c r="K8" s="1054"/>
      <c r="L8" s="1055"/>
      <c r="M8" s="1035"/>
      <c r="N8" s="995"/>
      <c r="O8" s="948"/>
      <c r="P8" s="949"/>
      <c r="Q8" s="954"/>
      <c r="R8" s="955"/>
      <c r="S8" s="955"/>
      <c r="T8" s="955"/>
      <c r="U8" s="955"/>
      <c r="V8" s="956"/>
      <c r="W8" s="948"/>
      <c r="X8" s="949"/>
    </row>
    <row r="9" spans="1:24" s="7" customFormat="1" ht="13.5" customHeight="1">
      <c r="A9" s="992"/>
      <c r="B9" s="992"/>
      <c r="C9" s="948"/>
      <c r="D9" s="949"/>
      <c r="E9" s="954"/>
      <c r="F9" s="955"/>
      <c r="G9" s="955"/>
      <c r="H9" s="955"/>
      <c r="I9" s="955"/>
      <c r="J9" s="1038"/>
      <c r="K9" s="998"/>
      <c r="L9" s="949"/>
      <c r="M9" s="1024"/>
      <c r="N9" s="978"/>
      <c r="O9" s="948"/>
      <c r="P9" s="1040"/>
      <c r="Q9" s="954"/>
      <c r="R9" s="955"/>
      <c r="S9" s="955"/>
      <c r="T9" s="955"/>
      <c r="U9" s="955"/>
      <c r="V9" s="956"/>
      <c r="W9" s="948"/>
      <c r="X9" s="949"/>
    </row>
    <row r="10" spans="1:24" s="7" customFormat="1" ht="13.5" customHeight="1">
      <c r="A10" s="1066"/>
      <c r="B10" s="1067"/>
      <c r="C10" s="1022"/>
      <c r="D10" s="1023"/>
      <c r="E10" s="954"/>
      <c r="F10" s="955"/>
      <c r="G10" s="955"/>
      <c r="H10" s="955"/>
      <c r="I10" s="955"/>
      <c r="J10" s="956"/>
      <c r="K10" s="948"/>
      <c r="L10" s="949"/>
      <c r="M10" s="1035"/>
      <c r="N10" s="995"/>
      <c r="O10" s="948"/>
      <c r="P10" s="949"/>
      <c r="Q10" s="954"/>
      <c r="R10" s="1036"/>
      <c r="S10" s="1036"/>
      <c r="T10" s="1036"/>
      <c r="U10" s="1036"/>
      <c r="V10" s="1037"/>
      <c r="W10" s="948"/>
      <c r="X10" s="1040"/>
    </row>
    <row r="11" spans="1:24" s="7" customFormat="1" ht="13.5" customHeight="1">
      <c r="A11" s="992"/>
      <c r="B11" s="978"/>
      <c r="C11" s="1022" t="s">
        <v>710</v>
      </c>
      <c r="D11" s="1023"/>
      <c r="E11" s="954" t="s">
        <v>711</v>
      </c>
      <c r="F11" s="955"/>
      <c r="G11" s="955"/>
      <c r="H11" s="955"/>
      <c r="I11" s="955"/>
      <c r="J11" s="956"/>
      <c r="K11" s="948" t="s">
        <v>712</v>
      </c>
      <c r="L11" s="949"/>
      <c r="M11" s="1024"/>
      <c r="N11" s="978"/>
      <c r="O11" s="948"/>
      <c r="P11" s="1040"/>
      <c r="Q11" s="954"/>
      <c r="R11" s="955"/>
      <c r="S11" s="955"/>
      <c r="T11" s="955"/>
      <c r="U11" s="955"/>
      <c r="V11" s="956"/>
      <c r="W11" s="948"/>
      <c r="X11" s="1040"/>
    </row>
    <row r="12" spans="1:24" s="7" customFormat="1" ht="13.5" customHeight="1">
      <c r="A12" s="996"/>
      <c r="B12" s="995"/>
      <c r="C12" s="948" t="s">
        <v>716</v>
      </c>
      <c r="D12" s="949"/>
      <c r="E12" s="954" t="s">
        <v>717</v>
      </c>
      <c r="F12" s="955"/>
      <c r="G12" s="955"/>
      <c r="H12" s="955"/>
      <c r="I12" s="955"/>
      <c r="J12" s="956"/>
      <c r="K12" s="948" t="s">
        <v>712</v>
      </c>
      <c r="L12" s="949"/>
      <c r="M12" s="1035"/>
      <c r="N12" s="995"/>
      <c r="O12" s="948"/>
      <c r="P12" s="949"/>
      <c r="Q12" s="954"/>
      <c r="R12" s="1036"/>
      <c r="S12" s="1036"/>
      <c r="T12" s="1036"/>
      <c r="U12" s="1036"/>
      <c r="V12" s="1037"/>
      <c r="W12" s="948"/>
      <c r="X12" s="1040"/>
    </row>
    <row r="13" spans="1:24" s="7" customFormat="1" ht="13.5" customHeight="1">
      <c r="A13" s="992"/>
      <c r="B13" s="978"/>
      <c r="C13" s="1022"/>
      <c r="D13" s="1023"/>
      <c r="E13" s="954"/>
      <c r="F13" s="955"/>
      <c r="G13" s="955"/>
      <c r="H13" s="955"/>
      <c r="I13" s="955"/>
      <c r="J13" s="956"/>
      <c r="K13" s="948"/>
      <c r="L13" s="949"/>
      <c r="M13" s="1024"/>
      <c r="N13" s="978"/>
      <c r="O13" s="948"/>
      <c r="P13" s="1040"/>
      <c r="Q13" s="954"/>
      <c r="R13" s="955"/>
      <c r="S13" s="955"/>
      <c r="T13" s="955"/>
      <c r="U13" s="955"/>
      <c r="V13" s="956"/>
      <c r="W13" s="948"/>
      <c r="X13" s="949"/>
    </row>
    <row r="14" spans="1:24" s="7" customFormat="1" ht="13.5" customHeight="1">
      <c r="A14" s="996"/>
      <c r="B14" s="995"/>
      <c r="C14" s="1022"/>
      <c r="D14" s="1023"/>
      <c r="E14" s="954"/>
      <c r="F14" s="955"/>
      <c r="G14" s="955"/>
      <c r="H14" s="955"/>
      <c r="I14" s="955"/>
      <c r="J14" s="956"/>
      <c r="K14" s="948"/>
      <c r="L14" s="1007"/>
      <c r="M14" s="1035"/>
      <c r="N14" s="995"/>
      <c r="O14" s="948"/>
      <c r="P14" s="949"/>
      <c r="Q14" s="954"/>
      <c r="R14" s="1036"/>
      <c r="S14" s="1036"/>
      <c r="T14" s="1036"/>
      <c r="U14" s="1036"/>
      <c r="V14" s="1037"/>
      <c r="W14" s="948"/>
      <c r="X14" s="1040"/>
    </row>
    <row r="15" spans="1:24" s="7" customFormat="1" ht="13.5" customHeight="1">
      <c r="A15" s="992"/>
      <c r="B15" s="978"/>
      <c r="C15" s="1022"/>
      <c r="D15" s="1023"/>
      <c r="E15" s="954"/>
      <c r="F15" s="955"/>
      <c r="G15" s="955"/>
      <c r="H15" s="955"/>
      <c r="I15" s="955"/>
      <c r="J15" s="956"/>
      <c r="K15" s="948"/>
      <c r="L15" s="949"/>
      <c r="M15" s="1024"/>
      <c r="N15" s="978"/>
      <c r="O15" s="948"/>
      <c r="P15" s="1040"/>
      <c r="Q15" s="954"/>
      <c r="R15" s="955"/>
      <c r="S15" s="955"/>
      <c r="T15" s="955"/>
      <c r="U15" s="955"/>
      <c r="V15" s="956"/>
      <c r="W15" s="948"/>
      <c r="X15" s="949"/>
    </row>
    <row r="16" spans="1:24" s="7" customFormat="1" ht="13.5" customHeight="1">
      <c r="A16" s="996"/>
      <c r="B16" s="995"/>
      <c r="C16" s="948"/>
      <c r="D16" s="949"/>
      <c r="E16" s="954"/>
      <c r="F16" s="955"/>
      <c r="G16" s="955"/>
      <c r="H16" s="955"/>
      <c r="I16" s="955"/>
      <c r="J16" s="956"/>
      <c r="K16" s="948"/>
      <c r="L16" s="1007"/>
      <c r="M16" s="1035"/>
      <c r="N16" s="995"/>
      <c r="O16" s="948"/>
      <c r="P16" s="949"/>
      <c r="Q16" s="954"/>
      <c r="R16" s="1036"/>
      <c r="S16" s="1036"/>
      <c r="T16" s="1036"/>
      <c r="U16" s="1036"/>
      <c r="V16" s="1037"/>
      <c r="W16" s="948"/>
      <c r="X16" s="1040"/>
    </row>
    <row r="17" spans="1:24" s="7" customFormat="1" ht="13.5" customHeight="1">
      <c r="A17" s="992"/>
      <c r="B17" s="978"/>
      <c r="C17" s="1022"/>
      <c r="D17" s="1023"/>
      <c r="E17" s="954"/>
      <c r="F17" s="955"/>
      <c r="G17" s="955"/>
      <c r="H17" s="955"/>
      <c r="I17" s="955"/>
      <c r="J17" s="956"/>
      <c r="K17" s="948"/>
      <c r="L17" s="949"/>
      <c r="M17" s="1024"/>
      <c r="N17" s="978"/>
      <c r="O17" s="948"/>
      <c r="P17" s="1040"/>
      <c r="Q17" s="954"/>
      <c r="R17" s="955"/>
      <c r="S17" s="955"/>
      <c r="T17" s="955"/>
      <c r="U17" s="955"/>
      <c r="V17" s="956"/>
      <c r="W17" s="948"/>
      <c r="X17" s="1040"/>
    </row>
    <row r="18" spans="1:24" s="7" customFormat="1" ht="13.5" customHeight="1">
      <c r="A18" s="996"/>
      <c r="B18" s="995"/>
      <c r="C18" s="1022"/>
      <c r="D18" s="1023"/>
      <c r="E18" s="950"/>
      <c r="F18" s="951"/>
      <c r="G18" s="951"/>
      <c r="H18" s="951"/>
      <c r="I18" s="951"/>
      <c r="J18" s="952"/>
      <c r="K18" s="948"/>
      <c r="L18" s="1007"/>
      <c r="M18" s="1035"/>
      <c r="N18" s="995"/>
      <c r="O18" s="948"/>
      <c r="P18" s="1040"/>
      <c r="Q18" s="954"/>
      <c r="R18" s="1036"/>
      <c r="S18" s="1036"/>
      <c r="T18" s="1036"/>
      <c r="U18" s="1036"/>
      <c r="V18" s="1037"/>
      <c r="W18" s="948"/>
      <c r="X18" s="1040"/>
    </row>
    <row r="19" spans="1:24" s="7" customFormat="1" ht="13.5" customHeight="1">
      <c r="A19" s="992"/>
      <c r="B19" s="978"/>
      <c r="C19" s="1022"/>
      <c r="D19" s="1023"/>
      <c r="E19" s="954"/>
      <c r="F19" s="955"/>
      <c r="G19" s="955"/>
      <c r="H19" s="955"/>
      <c r="I19" s="955"/>
      <c r="J19" s="956"/>
      <c r="K19" s="948"/>
      <c r="L19" s="949"/>
      <c r="M19" s="1024"/>
      <c r="N19" s="978"/>
      <c r="O19" s="948"/>
      <c r="P19" s="949"/>
      <c r="Q19" s="954"/>
      <c r="R19" s="955"/>
      <c r="S19" s="955"/>
      <c r="T19" s="955"/>
      <c r="U19" s="955"/>
      <c r="V19" s="956"/>
      <c r="W19" s="948"/>
      <c r="X19" s="949"/>
    </row>
    <row r="20" spans="1:24" s="7" customFormat="1" ht="13.5" customHeight="1">
      <c r="A20" s="996"/>
      <c r="B20" s="995"/>
      <c r="C20" s="1022"/>
      <c r="D20" s="1023"/>
      <c r="E20" s="954"/>
      <c r="F20" s="955"/>
      <c r="G20" s="955"/>
      <c r="H20" s="955"/>
      <c r="I20" s="955"/>
      <c r="J20" s="956"/>
      <c r="K20" s="948"/>
      <c r="L20" s="1007"/>
      <c r="M20" s="1035"/>
      <c r="N20" s="995"/>
      <c r="O20" s="948"/>
      <c r="P20" s="949"/>
      <c r="Q20" s="954"/>
      <c r="R20" s="1036"/>
      <c r="S20" s="1036"/>
      <c r="T20" s="1036"/>
      <c r="U20" s="1036"/>
      <c r="V20" s="1037"/>
      <c r="W20" s="948"/>
      <c r="X20" s="1040"/>
    </row>
    <row r="21" spans="1:24" s="7" customFormat="1" ht="13.5" customHeight="1">
      <c r="A21" s="992"/>
      <c r="B21" s="978"/>
      <c r="C21" s="1022"/>
      <c r="D21" s="1023"/>
      <c r="E21" s="954"/>
      <c r="F21" s="955"/>
      <c r="G21" s="955"/>
      <c r="H21" s="955"/>
      <c r="I21" s="955"/>
      <c r="J21" s="956"/>
      <c r="K21" s="948"/>
      <c r="L21" s="949"/>
      <c r="M21" s="1024"/>
      <c r="N21" s="978"/>
      <c r="O21" s="948"/>
      <c r="P21" s="949"/>
      <c r="Q21" s="954"/>
      <c r="R21" s="1036"/>
      <c r="S21" s="1036"/>
      <c r="T21" s="1036"/>
      <c r="U21" s="1036"/>
      <c r="V21" s="1037"/>
      <c r="W21" s="948"/>
      <c r="X21" s="949"/>
    </row>
    <row r="22" spans="1:24" s="7" customFormat="1" ht="13.5" customHeight="1">
      <c r="A22" s="996"/>
      <c r="B22" s="995"/>
      <c r="C22" s="948"/>
      <c r="D22" s="949"/>
      <c r="E22" s="950"/>
      <c r="F22" s="951"/>
      <c r="G22" s="951"/>
      <c r="H22" s="951"/>
      <c r="I22" s="951"/>
      <c r="J22" s="952"/>
      <c r="K22" s="948"/>
      <c r="L22" s="949"/>
      <c r="M22" s="1035"/>
      <c r="N22" s="995"/>
      <c r="O22" s="948"/>
      <c r="P22" s="949"/>
      <c r="Q22" s="954"/>
      <c r="R22" s="1036"/>
      <c r="S22" s="1036"/>
      <c r="T22" s="1036"/>
      <c r="U22" s="1036"/>
      <c r="V22" s="1037"/>
      <c r="W22" s="948"/>
      <c r="X22" s="1040"/>
    </row>
    <row r="23" spans="1:24" s="7" customFormat="1" ht="13.5" customHeight="1">
      <c r="A23" s="992"/>
      <c r="B23" s="978"/>
      <c r="C23" s="1022"/>
      <c r="D23" s="1023"/>
      <c r="E23" s="954"/>
      <c r="F23" s="955"/>
      <c r="G23" s="955"/>
      <c r="H23" s="955"/>
      <c r="I23" s="955"/>
      <c r="J23" s="956"/>
      <c r="K23" s="948"/>
      <c r="L23" s="949"/>
      <c r="M23" s="1024"/>
      <c r="N23" s="978"/>
      <c r="O23" s="948"/>
      <c r="P23" s="949"/>
      <c r="Q23" s="954"/>
      <c r="R23" s="1036"/>
      <c r="S23" s="1036"/>
      <c r="T23" s="1036"/>
      <c r="U23" s="1036"/>
      <c r="V23" s="1037"/>
      <c r="W23" s="948"/>
      <c r="X23" s="949"/>
    </row>
    <row r="24" spans="1:24" s="7" customFormat="1" ht="13.5" customHeight="1">
      <c r="A24" s="996"/>
      <c r="B24" s="995"/>
      <c r="C24" s="948"/>
      <c r="D24" s="949"/>
      <c r="E24" s="950"/>
      <c r="F24" s="951"/>
      <c r="G24" s="951"/>
      <c r="H24" s="951"/>
      <c r="I24" s="951"/>
      <c r="J24" s="952"/>
      <c r="K24" s="948"/>
      <c r="L24" s="1039"/>
      <c r="M24" s="1035"/>
      <c r="N24" s="995"/>
      <c r="O24" s="1022"/>
      <c r="P24" s="1023"/>
      <c r="Q24" s="954"/>
      <c r="R24" s="955"/>
      <c r="S24" s="955"/>
      <c r="T24" s="955"/>
      <c r="U24" s="955"/>
      <c r="V24" s="956"/>
      <c r="W24" s="948"/>
      <c r="X24" s="949"/>
    </row>
    <row r="25" spans="1:24" s="7" customFormat="1" ht="13.5" customHeight="1">
      <c r="A25" s="992"/>
      <c r="B25" s="978"/>
      <c r="C25" s="1022"/>
      <c r="D25" s="1023"/>
      <c r="E25" s="954"/>
      <c r="F25" s="955"/>
      <c r="G25" s="955"/>
      <c r="H25" s="955"/>
      <c r="I25" s="955"/>
      <c r="J25" s="956"/>
      <c r="K25" s="948"/>
      <c r="L25" s="949"/>
      <c r="M25" s="1024"/>
      <c r="N25" s="978"/>
      <c r="O25" s="948"/>
      <c r="P25" s="949"/>
      <c r="Q25" s="954"/>
      <c r="R25" s="1036"/>
      <c r="S25" s="1036"/>
      <c r="T25" s="1036"/>
      <c r="U25" s="1036"/>
      <c r="V25" s="1037"/>
      <c r="W25" s="948"/>
      <c r="X25" s="1040"/>
    </row>
    <row r="26" spans="1:24" s="7" customFormat="1" ht="13.5" customHeight="1">
      <c r="A26" s="996"/>
      <c r="B26" s="995"/>
      <c r="C26" s="948"/>
      <c r="D26" s="949"/>
      <c r="E26" s="954"/>
      <c r="F26" s="955"/>
      <c r="G26" s="955"/>
      <c r="H26" s="955"/>
      <c r="I26" s="955"/>
      <c r="J26" s="956"/>
      <c r="K26" s="948"/>
      <c r="L26" s="1007"/>
      <c r="M26" s="1035"/>
      <c r="N26" s="995"/>
      <c r="O26" s="948"/>
      <c r="P26" s="1040"/>
      <c r="Q26" s="954"/>
      <c r="R26" s="955"/>
      <c r="S26" s="955"/>
      <c r="T26" s="955"/>
      <c r="U26" s="955"/>
      <c r="V26" s="956"/>
      <c r="W26" s="948"/>
      <c r="X26" s="949"/>
    </row>
    <row r="27" spans="1:24" s="7" customFormat="1" ht="13.5" customHeight="1">
      <c r="A27" s="992"/>
      <c r="B27" s="978"/>
      <c r="C27" s="1022"/>
      <c r="D27" s="1023"/>
      <c r="E27" s="954"/>
      <c r="F27" s="955"/>
      <c r="G27" s="955"/>
      <c r="H27" s="955"/>
      <c r="I27" s="955"/>
      <c r="J27" s="956"/>
      <c r="K27" s="948"/>
      <c r="L27" s="949"/>
      <c r="M27" s="1024"/>
      <c r="N27" s="978"/>
      <c r="O27" s="948"/>
      <c r="P27" s="949"/>
      <c r="Q27" s="954"/>
      <c r="R27" s="955"/>
      <c r="S27" s="955"/>
      <c r="T27" s="955"/>
      <c r="U27" s="955"/>
      <c r="V27" s="1038"/>
      <c r="W27" s="998"/>
      <c r="X27" s="949"/>
    </row>
    <row r="28" spans="1:24" s="7" customFormat="1" ht="13.5" customHeight="1">
      <c r="A28" s="996"/>
      <c r="B28" s="995"/>
      <c r="C28" s="948"/>
      <c r="D28" s="949"/>
      <c r="E28" s="954"/>
      <c r="F28" s="955"/>
      <c r="G28" s="955"/>
      <c r="H28" s="955"/>
      <c r="I28" s="955"/>
      <c r="J28" s="956"/>
      <c r="K28" s="948"/>
      <c r="L28" s="949"/>
      <c r="M28" s="1035"/>
      <c r="N28" s="995"/>
      <c r="O28" s="1022"/>
      <c r="P28" s="1023"/>
      <c r="Q28" s="954"/>
      <c r="R28" s="955"/>
      <c r="S28" s="955"/>
      <c r="T28" s="955"/>
      <c r="U28" s="955"/>
      <c r="V28" s="956"/>
      <c r="W28" s="948"/>
      <c r="X28" s="949"/>
    </row>
    <row r="29" spans="1:24" s="7" customFormat="1" ht="13.5" customHeight="1">
      <c r="A29" s="992"/>
      <c r="B29" s="978"/>
      <c r="C29" s="1022"/>
      <c r="D29" s="1023"/>
      <c r="E29" s="954"/>
      <c r="F29" s="955"/>
      <c r="G29" s="955"/>
      <c r="H29" s="955"/>
      <c r="I29" s="955"/>
      <c r="J29" s="956"/>
      <c r="K29" s="948"/>
      <c r="L29" s="949"/>
      <c r="M29" s="1024"/>
      <c r="N29" s="978"/>
      <c r="O29" s="948"/>
      <c r="P29" s="949"/>
      <c r="Q29" s="954"/>
      <c r="R29" s="1036"/>
      <c r="S29" s="1036"/>
      <c r="T29" s="1036"/>
      <c r="U29" s="1036"/>
      <c r="V29" s="1037"/>
      <c r="W29" s="948"/>
      <c r="X29" s="1040"/>
    </row>
    <row r="30" spans="1:24" s="7" customFormat="1" ht="13.5" customHeight="1">
      <c r="A30" s="996"/>
      <c r="B30" s="995"/>
      <c r="C30" s="1022"/>
      <c r="D30" s="1023"/>
      <c r="E30" s="954"/>
      <c r="F30" s="955"/>
      <c r="G30" s="955"/>
      <c r="H30" s="955"/>
      <c r="I30" s="955"/>
      <c r="J30" s="956"/>
      <c r="K30" s="948"/>
      <c r="L30" s="1007"/>
      <c r="M30" s="1035"/>
      <c r="N30" s="995"/>
      <c r="O30" s="948"/>
      <c r="P30" s="1040"/>
      <c r="Q30" s="954"/>
      <c r="R30" s="955"/>
      <c r="S30" s="955"/>
      <c r="T30" s="955"/>
      <c r="U30" s="955"/>
      <c r="V30" s="956"/>
      <c r="W30" s="948"/>
      <c r="X30" s="949"/>
    </row>
    <row r="31" spans="1:24" s="7" customFormat="1" ht="13.5" customHeight="1">
      <c r="A31" s="992"/>
      <c r="B31" s="978"/>
      <c r="C31" s="948"/>
      <c r="D31" s="949"/>
      <c r="E31" s="954"/>
      <c r="F31" s="955"/>
      <c r="G31" s="955"/>
      <c r="H31" s="955"/>
      <c r="I31" s="955"/>
      <c r="J31" s="1038"/>
      <c r="K31" s="998"/>
      <c r="L31" s="949"/>
      <c r="M31" s="1024"/>
      <c r="N31" s="978"/>
      <c r="O31" s="948"/>
      <c r="P31" s="949"/>
      <c r="Q31" s="954"/>
      <c r="R31" s="1036"/>
      <c r="S31" s="1036"/>
      <c r="T31" s="1036"/>
      <c r="U31" s="1036"/>
      <c r="V31" s="1037"/>
      <c r="W31" s="948"/>
      <c r="X31" s="1040"/>
    </row>
    <row r="32" spans="1:24" s="7" customFormat="1" ht="13.5" customHeight="1">
      <c r="A32" s="996"/>
      <c r="B32" s="995"/>
      <c r="C32" s="948"/>
      <c r="D32" s="949"/>
      <c r="E32" s="954"/>
      <c r="F32" s="955"/>
      <c r="G32" s="955"/>
      <c r="H32" s="955"/>
      <c r="I32" s="955"/>
      <c r="J32" s="956"/>
      <c r="K32" s="1064"/>
      <c r="L32" s="1065"/>
      <c r="M32" s="1035"/>
      <c r="N32" s="995"/>
      <c r="O32" s="948"/>
      <c r="P32" s="949"/>
      <c r="Q32" s="954"/>
      <c r="R32" s="955"/>
      <c r="S32" s="955"/>
      <c r="T32" s="955"/>
      <c r="U32" s="955"/>
      <c r="V32" s="956"/>
      <c r="W32" s="948"/>
      <c r="X32" s="949"/>
    </row>
    <row r="33" spans="1:26" s="7" customFormat="1" ht="13.5" customHeight="1">
      <c r="A33" s="992"/>
      <c r="B33" s="978"/>
      <c r="C33" s="1022"/>
      <c r="D33" s="1023"/>
      <c r="E33" s="954"/>
      <c r="F33" s="955"/>
      <c r="G33" s="955"/>
      <c r="H33" s="955"/>
      <c r="I33" s="955"/>
      <c r="J33" s="956"/>
      <c r="K33" s="948"/>
      <c r="L33" s="949"/>
      <c r="M33" s="1024"/>
      <c r="N33" s="978"/>
      <c r="O33" s="948"/>
      <c r="P33" s="949"/>
      <c r="Q33" s="954"/>
      <c r="R33" s="1036"/>
      <c r="S33" s="1036"/>
      <c r="T33" s="1036"/>
      <c r="U33" s="1036"/>
      <c r="V33" s="1037"/>
      <c r="W33" s="948"/>
      <c r="X33" s="1040"/>
    </row>
    <row r="34" spans="1:26" s="7" customFormat="1" ht="13.5" customHeight="1">
      <c r="A34" s="996"/>
      <c r="B34" s="995"/>
      <c r="C34" s="948"/>
      <c r="D34" s="1040"/>
      <c r="E34" s="954"/>
      <c r="F34" s="955"/>
      <c r="G34" s="955"/>
      <c r="H34" s="955"/>
      <c r="I34" s="955"/>
      <c r="J34" s="956"/>
      <c r="K34" s="948"/>
      <c r="L34" s="1007"/>
      <c r="M34" s="1035"/>
      <c r="N34" s="995"/>
      <c r="O34" s="948"/>
      <c r="P34" s="1040"/>
      <c r="Q34" s="954"/>
      <c r="R34" s="955"/>
      <c r="S34" s="955"/>
      <c r="T34" s="955"/>
      <c r="U34" s="955"/>
      <c r="V34" s="956"/>
      <c r="W34" s="948"/>
      <c r="X34" s="949"/>
    </row>
    <row r="35" spans="1:26" s="7" customFormat="1" ht="13.5" customHeight="1">
      <c r="A35" s="992"/>
      <c r="B35" s="978"/>
      <c r="C35" s="948"/>
      <c r="D35" s="1040"/>
      <c r="E35" s="954"/>
      <c r="F35" s="955"/>
      <c r="G35" s="955"/>
      <c r="H35" s="955"/>
      <c r="I35" s="955"/>
      <c r="J35" s="956"/>
      <c r="K35" s="948"/>
      <c r="L35" s="949"/>
      <c r="M35" s="1024"/>
      <c r="N35" s="978"/>
      <c r="O35" s="948"/>
      <c r="P35" s="949"/>
      <c r="Q35" s="954"/>
      <c r="R35" s="1036"/>
      <c r="S35" s="1036"/>
      <c r="T35" s="1036"/>
      <c r="U35" s="1036"/>
      <c r="V35" s="1037"/>
      <c r="W35" s="948"/>
      <c r="X35" s="949"/>
    </row>
    <row r="36" spans="1:26" s="7" customFormat="1" ht="14.1" customHeight="1">
      <c r="A36" s="996"/>
      <c r="B36" s="995"/>
      <c r="C36" s="948"/>
      <c r="D36" s="1040"/>
      <c r="E36" s="954"/>
      <c r="F36" s="955"/>
      <c r="G36" s="955"/>
      <c r="H36" s="955"/>
      <c r="I36" s="955"/>
      <c r="J36" s="956"/>
      <c r="K36" s="948"/>
      <c r="L36" s="1007"/>
      <c r="M36" s="1035"/>
      <c r="N36" s="995"/>
      <c r="O36" s="948"/>
      <c r="P36" s="949"/>
      <c r="Q36" s="954"/>
      <c r="R36" s="955"/>
      <c r="S36" s="955"/>
      <c r="T36" s="955"/>
      <c r="U36" s="955"/>
      <c r="V36" s="956"/>
      <c r="W36" s="948"/>
      <c r="X36" s="949"/>
    </row>
    <row r="37" spans="1:26" s="7" customFormat="1" ht="14.1" customHeight="1">
      <c r="A37" s="886"/>
      <c r="B37" s="897"/>
      <c r="C37" s="887"/>
      <c r="D37" s="899"/>
      <c r="E37" s="104"/>
      <c r="F37" s="104"/>
      <c r="G37" s="104"/>
      <c r="H37" s="104"/>
      <c r="I37" s="104"/>
      <c r="J37" s="104"/>
      <c r="K37" s="887"/>
      <c r="L37" s="889"/>
      <c r="M37" s="1024"/>
      <c r="N37" s="978"/>
      <c r="O37" s="1022"/>
      <c r="P37" s="1027"/>
      <c r="Q37" s="950"/>
      <c r="R37" s="1030"/>
      <c r="S37" s="1030"/>
      <c r="T37" s="1030"/>
      <c r="U37" s="1030"/>
      <c r="V37" s="1031"/>
      <c r="W37" s="1022"/>
      <c r="X37" s="1027"/>
    </row>
    <row r="38" spans="1:26" s="7" customFormat="1" ht="14.1" customHeight="1">
      <c r="A38" s="886"/>
      <c r="B38" s="886"/>
      <c r="C38" s="887"/>
      <c r="D38" s="888"/>
      <c r="E38" s="104"/>
      <c r="F38" s="104"/>
      <c r="G38" s="104"/>
      <c r="H38" s="104"/>
      <c r="I38" s="104"/>
      <c r="J38" s="104"/>
      <c r="K38" s="887"/>
      <c r="L38" s="889"/>
      <c r="M38" s="1025"/>
      <c r="N38" s="1026"/>
      <c r="O38" s="1028"/>
      <c r="P38" s="1029"/>
      <c r="Q38" s="1032"/>
      <c r="R38" s="1033"/>
      <c r="S38" s="1033"/>
      <c r="T38" s="1033"/>
      <c r="U38" s="1033"/>
      <c r="V38" s="1034"/>
      <c r="W38" s="1028"/>
      <c r="X38" s="1029"/>
    </row>
    <row r="39" spans="1:26" s="7" customFormat="1" ht="14.1" customHeight="1">
      <c r="A39" s="430" t="s">
        <v>195</v>
      </c>
      <c r="B39" s="431" t="s">
        <v>684</v>
      </c>
      <c r="C39" s="431"/>
      <c r="D39" s="431"/>
      <c r="E39" s="431"/>
      <c r="F39" s="431"/>
      <c r="G39" s="431"/>
      <c r="H39" s="431"/>
      <c r="I39" s="431"/>
      <c r="J39" s="431"/>
      <c r="K39" s="431"/>
      <c r="L39" s="431"/>
      <c r="M39" s="431"/>
      <c r="N39" s="431"/>
      <c r="O39" s="431"/>
      <c r="P39" s="431"/>
      <c r="Q39" s="431"/>
      <c r="R39" s="431"/>
      <c r="S39" s="431"/>
      <c r="T39" s="431"/>
      <c r="U39" s="431"/>
      <c r="V39" s="431"/>
      <c r="W39" s="431"/>
      <c r="X39" s="432"/>
    </row>
    <row r="40" spans="1:26" s="7" customFormat="1" ht="14.1" customHeight="1">
      <c r="A40" s="191"/>
      <c r="B40" s="17"/>
      <c r="C40" s="17"/>
      <c r="D40" s="17"/>
      <c r="E40" s="17"/>
      <c r="F40" s="17"/>
      <c r="G40" s="17"/>
      <c r="H40" s="17"/>
      <c r="I40" s="17"/>
      <c r="J40" s="17"/>
      <c r="K40" s="17"/>
      <c r="L40" s="17"/>
      <c r="M40" s="17"/>
      <c r="N40" s="17"/>
      <c r="O40" s="17"/>
      <c r="P40" s="17"/>
      <c r="Q40" s="17"/>
      <c r="R40" s="17"/>
      <c r="S40" s="17"/>
      <c r="T40" s="17"/>
      <c r="U40" s="17"/>
      <c r="V40" s="17"/>
      <c r="W40" s="17"/>
      <c r="X40" s="406"/>
      <c r="Y40" s="1041"/>
      <c r="Z40" s="1041"/>
    </row>
    <row r="41" spans="1:26" s="7" customFormat="1" ht="14.1" customHeight="1">
      <c r="A41" s="433"/>
      <c r="B41" s="409"/>
      <c r="C41" s="409"/>
      <c r="D41" s="409"/>
      <c r="E41" s="409"/>
      <c r="F41" s="409"/>
      <c r="G41" s="409"/>
      <c r="H41" s="409"/>
      <c r="I41" s="409"/>
      <c r="J41" s="409"/>
      <c r="K41" s="409"/>
      <c r="L41" s="409"/>
      <c r="M41" s="409"/>
      <c r="N41" s="409"/>
      <c r="O41" s="409"/>
      <c r="P41" s="409"/>
      <c r="Q41" s="409"/>
      <c r="R41" s="409"/>
      <c r="S41" s="409"/>
      <c r="T41" s="409"/>
      <c r="U41" s="409"/>
      <c r="V41" s="409"/>
      <c r="W41" s="409"/>
      <c r="X41" s="410"/>
    </row>
    <row r="42" spans="1:26" s="7" customFormat="1" ht="14.1" customHeight="1">
      <c r="A42" s="119"/>
      <c r="B42" s="119"/>
      <c r="C42" s="119"/>
      <c r="D42" s="119"/>
      <c r="E42" s="119"/>
      <c r="F42" s="119"/>
      <c r="G42" s="119"/>
      <c r="H42" s="119"/>
      <c r="I42" s="119"/>
      <c r="J42" s="119"/>
      <c r="K42" s="119"/>
      <c r="L42" s="119"/>
    </row>
    <row r="43" spans="1:26" s="7" customFormat="1" ht="14.1" customHeight="1">
      <c r="A43" s="119"/>
      <c r="B43" s="119"/>
      <c r="C43" s="119"/>
      <c r="D43" s="119"/>
      <c r="E43" s="119"/>
      <c r="F43" s="119"/>
      <c r="G43" s="119"/>
      <c r="H43" s="119"/>
      <c r="I43" s="119"/>
      <c r="J43" s="119"/>
      <c r="K43" s="119"/>
      <c r="L43" s="119"/>
    </row>
    <row r="44" spans="1:26" s="7" customFormat="1" ht="14.1" customHeight="1">
      <c r="C44" s="1041"/>
      <c r="D44" s="1041"/>
      <c r="E44" s="1042"/>
      <c r="F44" s="1042"/>
      <c r="G44" s="1042"/>
      <c r="H44" s="1042"/>
      <c r="I44" s="1042"/>
      <c r="J44" s="1042"/>
      <c r="K44" s="1041"/>
      <c r="L44" s="1041"/>
    </row>
    <row r="45" spans="1:26" s="7" customFormat="1" ht="14.1" customHeight="1"/>
    <row r="46" spans="1:26" s="7" customFormat="1" ht="14.1" customHeight="1"/>
    <row r="47" spans="1:26" s="7" customFormat="1" ht="14.1" customHeight="1"/>
    <row r="48" spans="1:26" s="7" customFormat="1" ht="14.1" customHeight="1"/>
    <row r="49" spans="1:25" s="7" customFormat="1" ht="14.1" customHeight="1"/>
    <row r="50" spans="1:25" s="7" customFormat="1" ht="14.1" customHeight="1">
      <c r="M50" s="23"/>
      <c r="N50" s="23"/>
      <c r="O50" s="23"/>
      <c r="P50" s="23"/>
      <c r="Q50" s="23"/>
      <c r="R50" s="23"/>
      <c r="S50" s="23"/>
      <c r="T50" s="23"/>
      <c r="U50" s="23"/>
      <c r="V50" s="23"/>
      <c r="W50" s="23"/>
      <c r="X50" s="23"/>
    </row>
    <row r="51" spans="1:25" s="7" customFormat="1" ht="14.1" customHeight="1">
      <c r="M51" s="23"/>
      <c r="N51" s="23"/>
      <c r="O51" s="23"/>
      <c r="P51" s="23"/>
      <c r="Q51" s="23"/>
      <c r="R51" s="23"/>
      <c r="S51" s="23"/>
      <c r="T51" s="23"/>
      <c r="U51" s="23"/>
      <c r="V51" s="23"/>
      <c r="W51" s="23"/>
      <c r="X51" s="23"/>
    </row>
    <row r="52" spans="1:25" s="7" customFormat="1" ht="14.1" customHeight="1">
      <c r="M52" s="23"/>
      <c r="N52" s="23"/>
      <c r="O52" s="23"/>
      <c r="P52" s="23"/>
      <c r="Q52" s="23"/>
      <c r="R52" s="23"/>
      <c r="S52" s="23"/>
      <c r="T52" s="23"/>
      <c r="U52" s="23"/>
      <c r="V52" s="23"/>
      <c r="W52" s="23"/>
      <c r="X52" s="23"/>
    </row>
    <row r="53" spans="1:25" s="7" customFormat="1" ht="14.1" customHeight="1">
      <c r="M53" s="23"/>
      <c r="N53" s="23"/>
      <c r="O53" s="23"/>
      <c r="P53" s="23"/>
      <c r="Q53" s="23"/>
      <c r="R53" s="23"/>
      <c r="S53" s="23"/>
      <c r="T53" s="23"/>
      <c r="U53" s="23"/>
      <c r="V53" s="23"/>
      <c r="W53" s="23"/>
      <c r="X53" s="23"/>
    </row>
    <row r="54" spans="1:25" s="7" customFormat="1" ht="14.1" customHeight="1">
      <c r="M54" s="23"/>
      <c r="N54" s="23"/>
      <c r="O54" s="23"/>
      <c r="P54" s="23"/>
      <c r="Q54" s="23"/>
      <c r="R54" s="23"/>
      <c r="S54" s="23"/>
      <c r="T54" s="23"/>
      <c r="U54" s="23"/>
      <c r="V54" s="23"/>
      <c r="W54" s="23"/>
      <c r="X54" s="23"/>
    </row>
    <row r="55" spans="1:25" s="7" customFormat="1" ht="14.1" customHeight="1">
      <c r="M55" s="23"/>
      <c r="N55" s="23"/>
      <c r="O55" s="23"/>
      <c r="P55" s="23"/>
      <c r="Q55" s="23"/>
      <c r="R55" s="23"/>
      <c r="S55" s="23"/>
      <c r="T55" s="23"/>
      <c r="U55" s="23"/>
      <c r="V55" s="23"/>
      <c r="W55" s="23"/>
      <c r="X55" s="23"/>
    </row>
    <row r="56" spans="1:25" s="7" customFormat="1" ht="14.1" customHeight="1">
      <c r="M56" s="23"/>
      <c r="N56" s="23"/>
      <c r="O56" s="23"/>
      <c r="P56" s="23"/>
      <c r="Q56" s="23"/>
      <c r="R56" s="23"/>
      <c r="S56" s="23"/>
      <c r="T56" s="23"/>
      <c r="U56" s="23"/>
      <c r="V56" s="23"/>
      <c r="W56" s="23"/>
      <c r="X56" s="23"/>
    </row>
    <row r="57" spans="1:25">
      <c r="A57" s="7"/>
      <c r="B57" s="7"/>
      <c r="C57" s="7"/>
      <c r="D57" s="7"/>
      <c r="E57" s="7"/>
      <c r="F57" s="7"/>
      <c r="G57" s="7"/>
      <c r="H57" s="7"/>
      <c r="I57" s="7"/>
      <c r="J57" s="7"/>
      <c r="K57" s="7"/>
      <c r="L57" s="7"/>
      <c r="Y57" s="7"/>
    </row>
    <row r="58" spans="1:25">
      <c r="A58" s="7"/>
      <c r="B58" s="7"/>
      <c r="C58" s="7"/>
      <c r="D58" s="7"/>
      <c r="E58" s="7"/>
      <c r="F58" s="7"/>
      <c r="G58" s="7"/>
      <c r="H58" s="7"/>
      <c r="I58" s="7"/>
      <c r="J58" s="7"/>
      <c r="K58" s="7"/>
      <c r="L58" s="7"/>
      <c r="Y58" s="7"/>
    </row>
    <row r="59" spans="1:25">
      <c r="A59" s="7"/>
      <c r="B59" s="7"/>
      <c r="C59" s="7"/>
      <c r="D59" s="7"/>
      <c r="E59" s="7"/>
      <c r="F59" s="7"/>
      <c r="G59" s="7"/>
      <c r="H59" s="7"/>
      <c r="I59" s="7"/>
      <c r="J59" s="7"/>
      <c r="K59" s="7"/>
      <c r="L59" s="7"/>
    </row>
  </sheetData>
  <mergeCells count="259">
    <mergeCell ref="A9:A10"/>
    <mergeCell ref="B9:B10"/>
    <mergeCell ref="C9:D9"/>
    <mergeCell ref="K9:L9"/>
    <mergeCell ref="E9:J9"/>
    <mergeCell ref="Q19:V19"/>
    <mergeCell ref="N19:N20"/>
    <mergeCell ref="W28:X28"/>
    <mergeCell ref="O34:P34"/>
    <mergeCell ref="W31:X31"/>
    <mergeCell ref="M25:M26"/>
    <mergeCell ref="N25:N26"/>
    <mergeCell ref="M27:M28"/>
    <mergeCell ref="N27:N28"/>
    <mergeCell ref="M29:M30"/>
    <mergeCell ref="N29:N30"/>
    <mergeCell ref="W27:X27"/>
    <mergeCell ref="Q32:V32"/>
    <mergeCell ref="O21:P21"/>
    <mergeCell ref="Q21:V21"/>
    <mergeCell ref="O23:P23"/>
    <mergeCell ref="Q23:V23"/>
    <mergeCell ref="O22:P22"/>
    <mergeCell ref="Q22:V22"/>
    <mergeCell ref="W18:X18"/>
    <mergeCell ref="O18:P18"/>
    <mergeCell ref="Y40:Z40"/>
    <mergeCell ref="E11:J11"/>
    <mergeCell ref="W35:X35"/>
    <mergeCell ref="W36:X36"/>
    <mergeCell ref="W26:X26"/>
    <mergeCell ref="Q30:V30"/>
    <mergeCell ref="W13:X13"/>
    <mergeCell ref="W14:X14"/>
    <mergeCell ref="O20:P20"/>
    <mergeCell ref="Q20:V20"/>
    <mergeCell ref="W15:X15"/>
    <mergeCell ref="W17:X17"/>
    <mergeCell ref="W16:X16"/>
    <mergeCell ref="O17:P17"/>
    <mergeCell ref="Q17:V17"/>
    <mergeCell ref="O16:P16"/>
    <mergeCell ref="Q16:V16"/>
    <mergeCell ref="W34:X34"/>
    <mergeCell ref="W12:X12"/>
    <mergeCell ref="N15:N16"/>
    <mergeCell ref="K22:L22"/>
    <mergeCell ref="E13:J13"/>
    <mergeCell ref="A13:A14"/>
    <mergeCell ref="W9:X9"/>
    <mergeCell ref="W33:X33"/>
    <mergeCell ref="W24:X24"/>
    <mergeCell ref="K21:L21"/>
    <mergeCell ref="O15:P15"/>
    <mergeCell ref="Q15:V15"/>
    <mergeCell ref="Q31:V31"/>
    <mergeCell ref="O32:P32"/>
    <mergeCell ref="M15:M16"/>
    <mergeCell ref="O19:P19"/>
    <mergeCell ref="W19:X19"/>
    <mergeCell ref="K32:L32"/>
    <mergeCell ref="N13:N14"/>
    <mergeCell ref="N11:N12"/>
    <mergeCell ref="K12:L12"/>
    <mergeCell ref="W10:X10"/>
    <mergeCell ref="O26:P26"/>
    <mergeCell ref="W25:X25"/>
    <mergeCell ref="Q26:V26"/>
    <mergeCell ref="Q25:V25"/>
    <mergeCell ref="W30:X30"/>
    <mergeCell ref="W29:X29"/>
    <mergeCell ref="W11:X11"/>
    <mergeCell ref="C13:D13"/>
    <mergeCell ref="A4:F4"/>
    <mergeCell ref="C6:D6"/>
    <mergeCell ref="E6:J6"/>
    <mergeCell ref="K6:L6"/>
    <mergeCell ref="K23:L23"/>
    <mergeCell ref="C21:D21"/>
    <mergeCell ref="A17:A18"/>
    <mergeCell ref="B17:B18"/>
    <mergeCell ref="E17:J17"/>
    <mergeCell ref="K15:L15"/>
    <mergeCell ref="E18:J18"/>
    <mergeCell ref="C23:D23"/>
    <mergeCell ref="K10:L10"/>
    <mergeCell ref="C11:D11"/>
    <mergeCell ref="C12:D12"/>
    <mergeCell ref="K11:L11"/>
    <mergeCell ref="K14:L14"/>
    <mergeCell ref="C22:D22"/>
    <mergeCell ref="A15:A16"/>
    <mergeCell ref="A19:A20"/>
    <mergeCell ref="B15:B16"/>
    <mergeCell ref="E23:J23"/>
    <mergeCell ref="E21:J21"/>
    <mergeCell ref="Q12:V12"/>
    <mergeCell ref="B13:B14"/>
    <mergeCell ref="C10:D10"/>
    <mergeCell ref="A11:A12"/>
    <mergeCell ref="B11:B12"/>
    <mergeCell ref="M11:M12"/>
    <mergeCell ref="C20:D20"/>
    <mergeCell ref="E22:J22"/>
    <mergeCell ref="C15:D15"/>
    <mergeCell ref="K16:L16"/>
    <mergeCell ref="E15:J15"/>
    <mergeCell ref="C17:D17"/>
    <mergeCell ref="K17:L17"/>
    <mergeCell ref="C18:D18"/>
    <mergeCell ref="C16:D16"/>
    <mergeCell ref="E16:J16"/>
    <mergeCell ref="E20:J20"/>
    <mergeCell ref="K20:L20"/>
    <mergeCell ref="E19:J19"/>
    <mergeCell ref="M17:M18"/>
    <mergeCell ref="C14:D14"/>
    <mergeCell ref="E14:J14"/>
    <mergeCell ref="M9:M10"/>
    <mergeCell ref="M13:M14"/>
    <mergeCell ref="O14:P14"/>
    <mergeCell ref="Q13:V13"/>
    <mergeCell ref="Q14:V14"/>
    <mergeCell ref="E8:J8"/>
    <mergeCell ref="K8:L8"/>
    <mergeCell ref="W6:X6"/>
    <mergeCell ref="C7:D7"/>
    <mergeCell ref="E7:J7"/>
    <mergeCell ref="K7:L7"/>
    <mergeCell ref="C8:D8"/>
    <mergeCell ref="K13:L13"/>
    <mergeCell ref="O11:P11"/>
    <mergeCell ref="O12:P12"/>
    <mergeCell ref="E12:J12"/>
    <mergeCell ref="E10:J10"/>
    <mergeCell ref="O6:P6"/>
    <mergeCell ref="Q6:V6"/>
    <mergeCell ref="O9:P9"/>
    <mergeCell ref="N9:N10"/>
    <mergeCell ref="Q10:V10"/>
    <mergeCell ref="Q9:V9"/>
    <mergeCell ref="O10:P10"/>
    <mergeCell ref="O13:P13"/>
    <mergeCell ref="Q11:V11"/>
    <mergeCell ref="A7:A8"/>
    <mergeCell ref="B7:B8"/>
    <mergeCell ref="W7:X7"/>
    <mergeCell ref="O7:P7"/>
    <mergeCell ref="Q7:V7"/>
    <mergeCell ref="M7:M8"/>
    <mergeCell ref="N7:N8"/>
    <mergeCell ref="W8:X8"/>
    <mergeCell ref="O8:P8"/>
    <mergeCell ref="Q8:V8"/>
    <mergeCell ref="C36:D36"/>
    <mergeCell ref="C25:D25"/>
    <mergeCell ref="E25:J25"/>
    <mergeCell ref="K25:L25"/>
    <mergeCell ref="N21:N22"/>
    <mergeCell ref="W20:X20"/>
    <mergeCell ref="W21:X21"/>
    <mergeCell ref="W22:X22"/>
    <mergeCell ref="W23:X23"/>
    <mergeCell ref="M21:M22"/>
    <mergeCell ref="M19:M20"/>
    <mergeCell ref="E30:J30"/>
    <mergeCell ref="K30:L30"/>
    <mergeCell ref="K31:L31"/>
    <mergeCell ref="E33:J33"/>
    <mergeCell ref="E29:J29"/>
    <mergeCell ref="E36:J36"/>
    <mergeCell ref="K36:L36"/>
    <mergeCell ref="Q34:V34"/>
    <mergeCell ref="W37:X37"/>
    <mergeCell ref="O25:P25"/>
    <mergeCell ref="C44:D44"/>
    <mergeCell ref="E44:J44"/>
    <mergeCell ref="K44:L44"/>
    <mergeCell ref="E32:J32"/>
    <mergeCell ref="C32:D32"/>
    <mergeCell ref="C33:D33"/>
    <mergeCell ref="C34:D34"/>
    <mergeCell ref="C30:D30"/>
    <mergeCell ref="C27:D27"/>
    <mergeCell ref="E27:J27"/>
    <mergeCell ref="K27:L27"/>
    <mergeCell ref="C28:D28"/>
    <mergeCell ref="E28:J28"/>
    <mergeCell ref="K28:L28"/>
    <mergeCell ref="C35:D35"/>
    <mergeCell ref="E35:J35"/>
    <mergeCell ref="K35:L35"/>
    <mergeCell ref="W38:X38"/>
    <mergeCell ref="K29:L29"/>
    <mergeCell ref="M33:M34"/>
    <mergeCell ref="W32:X32"/>
    <mergeCell ref="O33:P33"/>
    <mergeCell ref="B33:B34"/>
    <mergeCell ref="N33:N34"/>
    <mergeCell ref="M31:M32"/>
    <mergeCell ref="N31:N32"/>
    <mergeCell ref="M35:M36"/>
    <mergeCell ref="N35:N36"/>
    <mergeCell ref="B35:B36"/>
    <mergeCell ref="K34:L34"/>
    <mergeCell ref="Q18:V18"/>
    <mergeCell ref="Q28:V28"/>
    <mergeCell ref="O27:P27"/>
    <mergeCell ref="O29:P29"/>
    <mergeCell ref="Q29:V29"/>
    <mergeCell ref="O30:P30"/>
    <mergeCell ref="E24:J24"/>
    <mergeCell ref="K18:L18"/>
    <mergeCell ref="O31:P31"/>
    <mergeCell ref="O36:P36"/>
    <mergeCell ref="Q36:V36"/>
    <mergeCell ref="B19:B20"/>
    <mergeCell ref="B29:B30"/>
    <mergeCell ref="C29:D29"/>
    <mergeCell ref="Q35:V35"/>
    <mergeCell ref="E31:J31"/>
    <mergeCell ref="A21:A22"/>
    <mergeCell ref="B21:B22"/>
    <mergeCell ref="A23:A24"/>
    <mergeCell ref="K19:L19"/>
    <mergeCell ref="A27:A28"/>
    <mergeCell ref="B27:B28"/>
    <mergeCell ref="A25:A26"/>
    <mergeCell ref="B25:B26"/>
    <mergeCell ref="C26:D26"/>
    <mergeCell ref="C24:D24"/>
    <mergeCell ref="B23:B24"/>
    <mergeCell ref="K24:L24"/>
    <mergeCell ref="E26:J26"/>
    <mergeCell ref="K26:L26"/>
    <mergeCell ref="A33:A34"/>
    <mergeCell ref="N17:N18"/>
    <mergeCell ref="A29:A30"/>
    <mergeCell ref="C19:D19"/>
    <mergeCell ref="M37:M38"/>
    <mergeCell ref="N37:N38"/>
    <mergeCell ref="O37:P37"/>
    <mergeCell ref="O38:P38"/>
    <mergeCell ref="Q37:V37"/>
    <mergeCell ref="Q38:V38"/>
    <mergeCell ref="O28:P28"/>
    <mergeCell ref="M23:M24"/>
    <mergeCell ref="N23:N24"/>
    <mergeCell ref="Q33:V33"/>
    <mergeCell ref="O35:P35"/>
    <mergeCell ref="K33:L33"/>
    <mergeCell ref="E34:J34"/>
    <mergeCell ref="O24:P24"/>
    <mergeCell ref="Q24:V24"/>
    <mergeCell ref="Q27:V27"/>
    <mergeCell ref="A35:A36"/>
    <mergeCell ref="B31:B32"/>
    <mergeCell ref="A31:A32"/>
    <mergeCell ref="C31:D31"/>
  </mergeCells>
  <phoneticPr fontId="8"/>
  <dataValidations count="1">
    <dataValidation type="list" allowBlank="1" showInputMessage="1" showErrorMessage="1" sqref="B11 B7 N7 B13 B15 B17 B19 B21 B23 B25 B27 B29 B31 B33 B35 N37 N9 N11 N13 N17 N21 N25 N29 N33 N15 N19 N23 N27 N31 N35" xr:uid="{00000000-0002-0000-0400-000000000000}">
      <formula1>"日,月,火,水,木,金,土"</formula1>
    </dataValidation>
  </dataValidations>
  <pageMargins left="0.78740157480314965" right="0.78740157480314965" top="0.98425196850393704" bottom="0.98425196850393704" header="0.51181102362204722" footer="0.51181102362204722"/>
  <pageSetup paperSize="9" scale="55" orientation="landscape" cellComments="asDisplayed"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X67"/>
  <sheetViews>
    <sheetView view="pageBreakPreview" zoomScale="90" zoomScaleNormal="80" zoomScaleSheetLayoutView="90" workbookViewId="0">
      <selection activeCell="L7" activeCellId="1" sqref="A7:B38 L7:M38"/>
    </sheetView>
  </sheetViews>
  <sheetFormatPr defaultColWidth="9" defaultRowHeight="12.75"/>
  <cols>
    <col min="1" max="16384" width="9" style="4"/>
  </cols>
  <sheetData>
    <row r="1" spans="1:23" ht="23.25" thickBot="1">
      <c r="A1" s="1" t="s">
        <v>19</v>
      </c>
      <c r="B1" s="2"/>
      <c r="C1" s="3"/>
      <c r="D1" s="3"/>
      <c r="E1" s="3"/>
      <c r="F1" s="3"/>
      <c r="G1" s="3"/>
      <c r="H1" s="3"/>
      <c r="I1" s="3"/>
      <c r="J1" s="3"/>
      <c r="K1" s="3"/>
      <c r="L1" s="3"/>
      <c r="M1" s="3"/>
      <c r="N1" s="3"/>
      <c r="O1" s="3"/>
      <c r="P1" s="3"/>
      <c r="Q1" s="3"/>
      <c r="R1" s="3"/>
      <c r="S1" s="3"/>
      <c r="T1" s="3"/>
      <c r="U1" s="3"/>
      <c r="V1" s="3"/>
    </row>
    <row r="2" spans="1:23" ht="17.25" customHeight="1" thickTop="1">
      <c r="A2" s="5"/>
      <c r="B2" s="6"/>
    </row>
    <row r="3" spans="1:23" ht="17.25" customHeight="1">
      <c r="A3" s="5"/>
      <c r="B3" s="6"/>
    </row>
    <row r="4" spans="1:23" s="7" customFormat="1" ht="18" customHeight="1">
      <c r="A4" s="1009" t="s">
        <v>114</v>
      </c>
      <c r="B4" s="1010"/>
      <c r="C4" s="1010"/>
      <c r="D4" s="1010"/>
      <c r="E4" s="1010"/>
      <c r="F4" s="1108"/>
    </row>
    <row r="5" spans="1:23" s="7" customFormat="1" ht="14.1" customHeight="1"/>
    <row r="6" spans="1:23" s="7" customFormat="1" ht="14.1" customHeight="1">
      <c r="A6" s="8" t="s">
        <v>10</v>
      </c>
      <c r="B6" s="8" t="s">
        <v>14</v>
      </c>
      <c r="C6" s="999" t="s">
        <v>15</v>
      </c>
      <c r="D6" s="1109"/>
      <c r="E6" s="1109"/>
      <c r="F6" s="1109"/>
      <c r="G6" s="1109"/>
      <c r="H6" s="1109"/>
      <c r="I6" s="1109"/>
      <c r="J6" s="1110"/>
      <c r="K6" s="9" t="s">
        <v>16</v>
      </c>
      <c r="L6" s="10" t="s">
        <v>10</v>
      </c>
      <c r="M6" s="8" t="s">
        <v>14</v>
      </c>
      <c r="N6" s="999"/>
      <c r="O6" s="1109"/>
      <c r="P6" s="1109"/>
      <c r="Q6" s="1109"/>
      <c r="R6" s="1109"/>
      <c r="S6" s="1109"/>
      <c r="T6" s="1109"/>
      <c r="U6" s="1110"/>
      <c r="V6" s="12" t="s">
        <v>16</v>
      </c>
    </row>
    <row r="7" spans="1:23" ht="13.5" customHeight="1">
      <c r="A7" s="1043"/>
      <c r="B7" s="1045"/>
      <c r="C7" s="1104"/>
      <c r="D7" s="1105"/>
      <c r="E7" s="1105"/>
      <c r="F7" s="1105"/>
      <c r="G7" s="1105"/>
      <c r="H7" s="1105"/>
      <c r="I7" s="1105"/>
      <c r="J7" s="1106"/>
      <c r="K7" s="180"/>
      <c r="L7" s="1018"/>
      <c r="M7" s="1045"/>
      <c r="N7" s="1107"/>
      <c r="O7" s="1084"/>
      <c r="P7" s="1084"/>
      <c r="Q7" s="1084"/>
      <c r="R7" s="1084"/>
      <c r="S7" s="1084"/>
      <c r="T7" s="1084"/>
      <c r="U7" s="1085"/>
      <c r="V7" s="893"/>
    </row>
    <row r="8" spans="1:23" ht="13.5" customHeight="1">
      <c r="A8" s="1044"/>
      <c r="B8" s="995"/>
      <c r="C8" s="1083"/>
      <c r="D8" s="1111"/>
      <c r="E8" s="1111"/>
      <c r="F8" s="1111"/>
      <c r="G8" s="1111"/>
      <c r="H8" s="1111"/>
      <c r="I8" s="1111"/>
      <c r="J8" s="1112"/>
      <c r="K8" s="181"/>
      <c r="L8" s="1035"/>
      <c r="M8" s="995"/>
      <c r="N8" s="1068"/>
      <c r="O8" s="1069"/>
      <c r="P8" s="1069"/>
      <c r="Q8" s="1069"/>
      <c r="R8" s="1069"/>
      <c r="S8" s="1069"/>
      <c r="T8" s="1069"/>
      <c r="U8" s="1070"/>
      <c r="V8" s="182"/>
    </row>
    <row r="9" spans="1:23" ht="13.5" customHeight="1">
      <c r="A9" s="992"/>
      <c r="B9" s="978"/>
      <c r="C9" s="1068"/>
      <c r="D9" s="1069"/>
      <c r="E9" s="1069"/>
      <c r="F9" s="1069"/>
      <c r="G9" s="1069"/>
      <c r="H9" s="1069"/>
      <c r="I9" s="1069"/>
      <c r="J9" s="1070"/>
      <c r="K9" s="180"/>
      <c r="L9" s="1024"/>
      <c r="M9" s="978"/>
      <c r="N9" s="1068"/>
      <c r="O9" s="1074"/>
      <c r="P9" s="1074"/>
      <c r="Q9" s="1074"/>
      <c r="R9" s="1074"/>
      <c r="S9" s="1074"/>
      <c r="T9" s="1074"/>
      <c r="U9" s="1075"/>
      <c r="V9" s="186"/>
    </row>
    <row r="10" spans="1:23" ht="13.5" customHeight="1">
      <c r="A10" s="996"/>
      <c r="B10" s="995"/>
      <c r="C10" s="1068"/>
      <c r="D10" s="1069"/>
      <c r="E10" s="1069"/>
      <c r="F10" s="1069"/>
      <c r="G10" s="1069"/>
      <c r="H10" s="1069"/>
      <c r="I10" s="1069"/>
      <c r="J10" s="1070"/>
      <c r="K10" s="180"/>
      <c r="L10" s="1035"/>
      <c r="M10" s="995"/>
      <c r="N10" s="1068"/>
      <c r="O10" s="1074"/>
      <c r="P10" s="1074"/>
      <c r="Q10" s="1074"/>
      <c r="R10" s="1074"/>
      <c r="S10" s="1074"/>
      <c r="T10" s="1074"/>
      <c r="U10" s="1075"/>
      <c r="V10" s="182"/>
    </row>
    <row r="11" spans="1:23" ht="13.5" customHeight="1">
      <c r="A11" s="992"/>
      <c r="B11" s="978"/>
      <c r="C11" s="1068"/>
      <c r="D11" s="1069"/>
      <c r="E11" s="1069"/>
      <c r="F11" s="1069"/>
      <c r="G11" s="1069"/>
      <c r="H11" s="1069"/>
      <c r="I11" s="1069"/>
      <c r="J11" s="1070"/>
      <c r="K11" s="186"/>
      <c r="L11" s="1024"/>
      <c r="M11" s="978"/>
      <c r="N11" s="1068" t="s">
        <v>730</v>
      </c>
      <c r="O11" s="1069"/>
      <c r="P11" s="1069"/>
      <c r="Q11" s="1069"/>
      <c r="R11" s="1069"/>
      <c r="S11" s="1069"/>
      <c r="T11" s="1069"/>
      <c r="U11" s="1070"/>
      <c r="V11" s="182" t="s">
        <v>162</v>
      </c>
      <c r="W11"/>
    </row>
    <row r="12" spans="1:23" ht="13.5" customHeight="1">
      <c r="A12" s="996"/>
      <c r="B12" s="995"/>
      <c r="C12" s="1068"/>
      <c r="D12" s="1069"/>
      <c r="E12" s="1069"/>
      <c r="F12" s="1069"/>
      <c r="G12" s="1069"/>
      <c r="H12" s="1069"/>
      <c r="I12" s="1069"/>
      <c r="J12" s="1070"/>
      <c r="K12" s="180"/>
      <c r="L12" s="1035"/>
      <c r="M12" s="995"/>
      <c r="N12" s="1068"/>
      <c r="O12" s="1069"/>
      <c r="P12" s="1069"/>
      <c r="Q12" s="1069"/>
      <c r="R12" s="1069"/>
      <c r="S12" s="1069"/>
      <c r="T12" s="1069"/>
      <c r="U12" s="1070"/>
      <c r="V12" s="182"/>
      <c r="W12"/>
    </row>
    <row r="13" spans="1:23" ht="13.5" customHeight="1">
      <c r="A13" s="992"/>
      <c r="B13" s="978"/>
      <c r="C13" s="1076"/>
      <c r="D13" s="1077"/>
      <c r="E13" s="1077"/>
      <c r="F13" s="1077"/>
      <c r="G13" s="1077"/>
      <c r="H13" s="1077"/>
      <c r="I13" s="1077"/>
      <c r="J13" s="1078"/>
      <c r="K13" s="186"/>
      <c r="L13" s="1024"/>
      <c r="M13" s="978"/>
      <c r="N13" s="1076" t="s">
        <v>733</v>
      </c>
      <c r="O13" s="1077"/>
      <c r="P13" s="1077"/>
      <c r="Q13" s="1077"/>
      <c r="R13" s="1077"/>
      <c r="S13" s="1077"/>
      <c r="T13" s="1077"/>
      <c r="U13" s="1078"/>
      <c r="V13" s="186" t="s">
        <v>714</v>
      </c>
      <c r="W13"/>
    </row>
    <row r="14" spans="1:23" ht="13.5" customHeight="1">
      <c r="A14" s="996"/>
      <c r="B14" s="995"/>
      <c r="C14" s="1086"/>
      <c r="D14" s="1074"/>
      <c r="E14" s="1074"/>
      <c r="F14" s="1074"/>
      <c r="G14" s="1074"/>
      <c r="H14" s="1074"/>
      <c r="I14" s="1074"/>
      <c r="J14" s="1075"/>
      <c r="K14" s="186"/>
      <c r="L14" s="1035"/>
      <c r="M14" s="995"/>
      <c r="N14" s="1076"/>
      <c r="O14" s="1077"/>
      <c r="P14" s="1077"/>
      <c r="Q14" s="1077"/>
      <c r="R14" s="1077"/>
      <c r="S14" s="1077"/>
      <c r="T14" s="1077"/>
      <c r="U14" s="1078"/>
      <c r="V14" s="186"/>
      <c r="W14"/>
    </row>
    <row r="15" spans="1:23" ht="13.5" customHeight="1">
      <c r="A15" s="992"/>
      <c r="B15" s="978"/>
      <c r="C15" s="1068"/>
      <c r="D15" s="1069"/>
      <c r="E15" s="1069"/>
      <c r="F15" s="1069"/>
      <c r="G15" s="1069"/>
      <c r="H15" s="1069"/>
      <c r="I15" s="1069"/>
      <c r="J15" s="1070"/>
      <c r="K15" s="180"/>
      <c r="L15" s="1024"/>
      <c r="M15" s="978"/>
      <c r="N15" s="1086"/>
      <c r="O15" s="1069"/>
      <c r="P15" s="1069"/>
      <c r="Q15" s="1069"/>
      <c r="R15" s="1069"/>
      <c r="S15" s="1069"/>
      <c r="T15" s="1069"/>
      <c r="U15" s="1070"/>
      <c r="V15" s="182"/>
      <c r="W15"/>
    </row>
    <row r="16" spans="1:23" ht="13.5" customHeight="1">
      <c r="A16" s="996"/>
      <c r="B16" s="995"/>
      <c r="C16" s="1068"/>
      <c r="D16" s="1074"/>
      <c r="E16" s="1074"/>
      <c r="F16" s="1074"/>
      <c r="G16" s="1074"/>
      <c r="H16" s="1074"/>
      <c r="I16" s="1074"/>
      <c r="J16" s="1075"/>
      <c r="K16" s="182"/>
      <c r="L16" s="1035"/>
      <c r="M16" s="995"/>
      <c r="N16" s="1068"/>
      <c r="O16" s="1069"/>
      <c r="P16" s="1069"/>
      <c r="Q16" s="1069"/>
      <c r="R16" s="1069"/>
      <c r="S16" s="1069"/>
      <c r="T16" s="1069"/>
      <c r="U16" s="1070"/>
      <c r="V16" s="182"/>
    </row>
    <row r="17" spans="1:22" ht="13.5" customHeight="1">
      <c r="A17" s="992"/>
      <c r="B17" s="978"/>
      <c r="C17" s="1068"/>
      <c r="D17" s="1069"/>
      <c r="E17" s="1069"/>
      <c r="F17" s="1069"/>
      <c r="G17" s="1069"/>
      <c r="H17" s="1069"/>
      <c r="I17" s="1069"/>
      <c r="J17" s="1070"/>
      <c r="K17" s="186"/>
      <c r="L17" s="1024"/>
      <c r="M17" s="978"/>
      <c r="N17" s="1068"/>
      <c r="O17" s="1074"/>
      <c r="P17" s="1074"/>
      <c r="Q17" s="1074"/>
      <c r="R17" s="1074"/>
      <c r="S17" s="1074"/>
      <c r="T17" s="1074"/>
      <c r="U17" s="1075"/>
      <c r="V17" s="182"/>
    </row>
    <row r="18" spans="1:22" ht="13.5" customHeight="1">
      <c r="A18" s="996"/>
      <c r="B18" s="995"/>
      <c r="C18" s="1068"/>
      <c r="D18" s="1069"/>
      <c r="E18" s="1069"/>
      <c r="F18" s="1069"/>
      <c r="G18" s="1069"/>
      <c r="H18" s="1069"/>
      <c r="I18" s="1069"/>
      <c r="J18" s="1070"/>
      <c r="K18" s="186"/>
      <c r="L18" s="1035"/>
      <c r="M18" s="995"/>
      <c r="N18" s="1068"/>
      <c r="O18" s="1074"/>
      <c r="P18" s="1074"/>
      <c r="Q18" s="1074"/>
      <c r="R18" s="1074"/>
      <c r="S18" s="1074"/>
      <c r="T18" s="1074"/>
      <c r="U18" s="1075"/>
      <c r="V18" s="182"/>
    </row>
    <row r="19" spans="1:22" ht="13.5" customHeight="1">
      <c r="A19" s="992"/>
      <c r="B19" s="978"/>
      <c r="C19" s="1086"/>
      <c r="D19" s="1069"/>
      <c r="E19" s="1069"/>
      <c r="F19" s="1069"/>
      <c r="G19" s="1069"/>
      <c r="H19" s="1069"/>
      <c r="I19" s="1069"/>
      <c r="J19" s="1070"/>
      <c r="K19" s="180"/>
      <c r="L19" s="1024"/>
      <c r="M19" s="978"/>
      <c r="N19" s="1068" t="s">
        <v>767</v>
      </c>
      <c r="O19" s="1069"/>
      <c r="P19" s="1069"/>
      <c r="Q19" s="1069"/>
      <c r="R19" s="1069"/>
      <c r="S19" s="1069"/>
      <c r="T19" s="1069"/>
      <c r="U19" s="1070"/>
      <c r="V19" s="186" t="s">
        <v>162</v>
      </c>
    </row>
    <row r="20" spans="1:22" ht="13.5" customHeight="1">
      <c r="A20" s="996"/>
      <c r="B20" s="995"/>
      <c r="C20" s="1068"/>
      <c r="D20" s="1069"/>
      <c r="E20" s="1069"/>
      <c r="F20" s="1069"/>
      <c r="G20" s="1069"/>
      <c r="H20" s="1069"/>
      <c r="I20" s="1069"/>
      <c r="J20" s="1070"/>
      <c r="K20" s="180"/>
      <c r="L20" s="1035"/>
      <c r="M20" s="995"/>
      <c r="N20" s="1068"/>
      <c r="O20" s="1074"/>
      <c r="P20" s="1074"/>
      <c r="Q20" s="1074"/>
      <c r="R20" s="1074"/>
      <c r="S20" s="1074"/>
      <c r="T20" s="1074"/>
      <c r="U20" s="1075"/>
      <c r="V20" s="182"/>
    </row>
    <row r="21" spans="1:22" ht="13.5" customHeight="1">
      <c r="A21" s="992"/>
      <c r="B21" s="978"/>
      <c r="C21" s="1068"/>
      <c r="D21" s="1074"/>
      <c r="E21" s="1074"/>
      <c r="F21" s="1074"/>
      <c r="G21" s="1074"/>
      <c r="H21" s="1074"/>
      <c r="I21" s="1074"/>
      <c r="J21" s="1075"/>
      <c r="K21" s="182"/>
      <c r="L21" s="1024"/>
      <c r="M21" s="978"/>
      <c r="N21" s="1076"/>
      <c r="O21" s="1077"/>
      <c r="P21" s="1077"/>
      <c r="Q21" s="1077"/>
      <c r="R21" s="1077"/>
      <c r="S21" s="1077"/>
      <c r="T21" s="1077"/>
      <c r="U21" s="1078"/>
      <c r="V21" s="186"/>
    </row>
    <row r="22" spans="1:22" ht="13.5" customHeight="1">
      <c r="A22" s="996"/>
      <c r="B22" s="995"/>
      <c r="C22" s="1068"/>
      <c r="D22" s="1074"/>
      <c r="E22" s="1074"/>
      <c r="F22" s="1074"/>
      <c r="G22" s="1074"/>
      <c r="H22" s="1074"/>
      <c r="I22" s="1074"/>
      <c r="J22" s="1075"/>
      <c r="K22" s="180"/>
      <c r="L22" s="1035"/>
      <c r="M22" s="995"/>
      <c r="N22" s="1068"/>
      <c r="O22" s="1074"/>
      <c r="P22" s="1074"/>
      <c r="Q22" s="1074"/>
      <c r="R22" s="1074"/>
      <c r="S22" s="1074"/>
      <c r="T22" s="1074"/>
      <c r="U22" s="1075"/>
      <c r="V22" s="182"/>
    </row>
    <row r="23" spans="1:22" ht="13.5" customHeight="1">
      <c r="A23" s="992"/>
      <c r="B23" s="978"/>
      <c r="C23" s="1068"/>
      <c r="D23" s="1069"/>
      <c r="E23" s="1069"/>
      <c r="F23" s="1069"/>
      <c r="G23" s="1069"/>
      <c r="H23" s="1069"/>
      <c r="I23" s="1069"/>
      <c r="J23" s="1070"/>
      <c r="K23" s="186"/>
      <c r="L23" s="1024"/>
      <c r="M23" s="978"/>
      <c r="N23" s="1083"/>
      <c r="O23" s="1084"/>
      <c r="P23" s="1084"/>
      <c r="Q23" s="1084"/>
      <c r="R23" s="1084"/>
      <c r="S23" s="1084"/>
      <c r="T23" s="1084"/>
      <c r="U23" s="1085"/>
      <c r="V23" s="182"/>
    </row>
    <row r="24" spans="1:22" ht="13.5" customHeight="1">
      <c r="A24" s="996"/>
      <c r="B24" s="995"/>
      <c r="C24" s="1086"/>
      <c r="D24" s="1074"/>
      <c r="E24" s="1074"/>
      <c r="F24" s="1074"/>
      <c r="G24" s="1074"/>
      <c r="H24" s="1074"/>
      <c r="I24" s="1074"/>
      <c r="J24" s="1075"/>
      <c r="K24" s="186"/>
      <c r="L24" s="1035"/>
      <c r="M24" s="995"/>
      <c r="N24" s="1068"/>
      <c r="O24" s="1069"/>
      <c r="P24" s="1069"/>
      <c r="Q24" s="1069"/>
      <c r="R24" s="1069"/>
      <c r="S24" s="1069"/>
      <c r="T24" s="1069"/>
      <c r="U24" s="1070"/>
      <c r="V24" s="182"/>
    </row>
    <row r="25" spans="1:22" ht="13.5" customHeight="1">
      <c r="A25" s="992"/>
      <c r="B25" s="978"/>
      <c r="C25" s="1107"/>
      <c r="D25" s="1084"/>
      <c r="E25" s="1084"/>
      <c r="F25" s="1084"/>
      <c r="G25" s="1084"/>
      <c r="H25" s="1084"/>
      <c r="I25" s="1084"/>
      <c r="J25" s="1085"/>
      <c r="K25" s="186"/>
      <c r="L25" s="1024"/>
      <c r="M25" s="978"/>
      <c r="N25" s="1068"/>
      <c r="O25" s="1069"/>
      <c r="P25" s="1069"/>
      <c r="Q25" s="1069"/>
      <c r="R25" s="1069"/>
      <c r="S25" s="1069"/>
      <c r="T25" s="1069"/>
      <c r="U25" s="1070"/>
      <c r="V25" s="186"/>
    </row>
    <row r="26" spans="1:22" ht="13.5" customHeight="1">
      <c r="A26" s="996"/>
      <c r="B26" s="995"/>
      <c r="C26" s="1068"/>
      <c r="D26" s="1074"/>
      <c r="E26" s="1074"/>
      <c r="F26" s="1074"/>
      <c r="G26" s="1074"/>
      <c r="H26" s="1074"/>
      <c r="I26" s="1074"/>
      <c r="J26" s="1075"/>
      <c r="K26" s="180"/>
      <c r="L26" s="1035"/>
      <c r="M26" s="995"/>
      <c r="N26" s="1068"/>
      <c r="O26" s="1074"/>
      <c r="P26" s="1074"/>
      <c r="Q26" s="1074"/>
      <c r="R26" s="1074"/>
      <c r="S26" s="1074"/>
      <c r="T26" s="1074"/>
      <c r="U26" s="1075"/>
      <c r="V26" s="182"/>
    </row>
    <row r="27" spans="1:22" ht="13.5" customHeight="1">
      <c r="A27" s="992"/>
      <c r="B27" s="978"/>
      <c r="C27" s="1086" t="s">
        <v>723</v>
      </c>
      <c r="D27" s="1074"/>
      <c r="E27" s="1074"/>
      <c r="F27" s="1074"/>
      <c r="G27" s="1074"/>
      <c r="H27" s="1074"/>
      <c r="I27" s="1074"/>
      <c r="J27" s="1075"/>
      <c r="K27" s="186" t="s">
        <v>714</v>
      </c>
      <c r="L27" s="1024"/>
      <c r="M27" s="978"/>
      <c r="N27" s="1086"/>
      <c r="O27" s="1069"/>
      <c r="P27" s="1069"/>
      <c r="Q27" s="1069"/>
      <c r="R27" s="1069"/>
      <c r="S27" s="1069"/>
      <c r="T27" s="1069"/>
      <c r="U27" s="1070"/>
      <c r="V27" s="182"/>
    </row>
    <row r="28" spans="1:22" ht="13.5" customHeight="1">
      <c r="A28" s="996"/>
      <c r="B28" s="995"/>
      <c r="C28" s="1068"/>
      <c r="D28" s="1069"/>
      <c r="E28" s="1069"/>
      <c r="F28" s="1069"/>
      <c r="G28" s="1069"/>
      <c r="H28" s="1069"/>
      <c r="I28" s="1069"/>
      <c r="J28" s="1070"/>
      <c r="K28" s="180"/>
      <c r="L28" s="1035"/>
      <c r="M28" s="995"/>
      <c r="N28" s="1068"/>
      <c r="O28" s="1074"/>
      <c r="P28" s="1074"/>
      <c r="Q28" s="1074"/>
      <c r="R28" s="1074"/>
      <c r="S28" s="1074"/>
      <c r="T28" s="1074"/>
      <c r="U28" s="1075"/>
      <c r="V28" s="182"/>
    </row>
    <row r="29" spans="1:22" ht="13.5" customHeight="1">
      <c r="A29" s="992"/>
      <c r="B29" s="978"/>
      <c r="C29" s="1083"/>
      <c r="D29" s="1084"/>
      <c r="E29" s="1084"/>
      <c r="F29" s="1084"/>
      <c r="G29" s="1084"/>
      <c r="H29" s="1084"/>
      <c r="I29" s="1084"/>
      <c r="J29" s="1085"/>
      <c r="K29" s="180"/>
      <c r="L29" s="1024"/>
      <c r="M29" s="978"/>
      <c r="N29" s="1068"/>
      <c r="O29" s="1074"/>
      <c r="P29" s="1074"/>
      <c r="Q29" s="1074"/>
      <c r="R29" s="1074"/>
      <c r="S29" s="1074"/>
      <c r="T29" s="1074"/>
      <c r="U29" s="1075"/>
      <c r="V29" s="182"/>
    </row>
    <row r="30" spans="1:22" ht="13.5" customHeight="1">
      <c r="A30" s="996"/>
      <c r="B30" s="995"/>
      <c r="C30" s="1068"/>
      <c r="D30" s="1074"/>
      <c r="E30" s="1074"/>
      <c r="F30" s="1074"/>
      <c r="G30" s="1074"/>
      <c r="H30" s="1074"/>
      <c r="I30" s="1074"/>
      <c r="J30" s="1075"/>
      <c r="K30" s="180"/>
      <c r="L30" s="1035"/>
      <c r="M30" s="995"/>
      <c r="N30" s="1068"/>
      <c r="O30" s="1069"/>
      <c r="P30" s="1069"/>
      <c r="Q30" s="1069"/>
      <c r="R30" s="1069"/>
      <c r="S30" s="1069"/>
      <c r="T30" s="1069"/>
      <c r="U30" s="1070"/>
      <c r="V30" s="182"/>
    </row>
    <row r="31" spans="1:22" ht="13.5" customHeight="1">
      <c r="A31" s="992"/>
      <c r="B31" s="978"/>
      <c r="C31" s="1101"/>
      <c r="D31" s="1102"/>
      <c r="E31" s="1102"/>
      <c r="F31" s="1102"/>
      <c r="G31" s="1102"/>
      <c r="H31" s="1102"/>
      <c r="I31" s="1102"/>
      <c r="J31" s="1103"/>
      <c r="K31" s="180"/>
      <c r="L31" s="1024"/>
      <c r="M31" s="978"/>
      <c r="N31" s="1068"/>
      <c r="O31" s="1069"/>
      <c r="P31" s="1069"/>
      <c r="Q31" s="1069"/>
      <c r="R31" s="1069"/>
      <c r="S31" s="1069"/>
      <c r="T31" s="1069"/>
      <c r="U31" s="1070"/>
      <c r="V31" s="182"/>
    </row>
    <row r="32" spans="1:22" ht="13.5" customHeight="1">
      <c r="A32" s="996"/>
      <c r="B32" s="995"/>
      <c r="C32" s="1068"/>
      <c r="D32" s="1074"/>
      <c r="E32" s="1074"/>
      <c r="F32" s="1074"/>
      <c r="G32" s="1074"/>
      <c r="H32" s="1074"/>
      <c r="I32" s="1074"/>
      <c r="J32" s="1075"/>
      <c r="K32" s="182"/>
      <c r="L32" s="1035"/>
      <c r="M32" s="995"/>
      <c r="N32" s="1068"/>
      <c r="O32" s="1069"/>
      <c r="P32" s="1069"/>
      <c r="Q32" s="1069"/>
      <c r="R32" s="1069"/>
      <c r="S32" s="1069"/>
      <c r="T32" s="1069"/>
      <c r="U32" s="1070"/>
      <c r="V32" s="182"/>
    </row>
    <row r="33" spans="1:24" ht="13.5" customHeight="1">
      <c r="A33" s="992"/>
      <c r="B33" s="978"/>
      <c r="C33" s="1068"/>
      <c r="D33" s="1074"/>
      <c r="E33" s="1074"/>
      <c r="F33" s="1074"/>
      <c r="G33" s="1074"/>
      <c r="H33" s="1074"/>
      <c r="I33" s="1074"/>
      <c r="J33" s="1075"/>
      <c r="K33" s="180"/>
      <c r="L33" s="1024"/>
      <c r="M33" s="978"/>
      <c r="N33" s="1083"/>
      <c r="O33" s="1084"/>
      <c r="P33" s="1084"/>
      <c r="Q33" s="1084"/>
      <c r="R33" s="1084"/>
      <c r="S33" s="1084"/>
      <c r="T33" s="1084"/>
      <c r="U33" s="1085"/>
      <c r="V33" s="182"/>
    </row>
    <row r="34" spans="1:24" ht="13.5" customHeight="1">
      <c r="A34" s="996"/>
      <c r="B34" s="995"/>
      <c r="C34" s="1068"/>
      <c r="D34" s="1069"/>
      <c r="E34" s="1069"/>
      <c r="F34" s="1069"/>
      <c r="G34" s="1069"/>
      <c r="H34" s="1069"/>
      <c r="I34" s="1069"/>
      <c r="J34" s="1070"/>
      <c r="K34" s="180"/>
      <c r="L34" s="1035"/>
      <c r="M34" s="995"/>
      <c r="N34" s="1068"/>
      <c r="O34" s="1074"/>
      <c r="P34" s="1074"/>
      <c r="Q34" s="1074"/>
      <c r="R34" s="1074"/>
      <c r="S34" s="1074"/>
      <c r="T34" s="1074"/>
      <c r="U34" s="1075"/>
      <c r="V34" s="182"/>
    </row>
    <row r="35" spans="1:24" ht="13.5" customHeight="1">
      <c r="A35" s="992"/>
      <c r="B35" s="978"/>
      <c r="C35" s="1068"/>
      <c r="D35" s="1074"/>
      <c r="E35" s="1074"/>
      <c r="F35" s="1074"/>
      <c r="G35" s="1074"/>
      <c r="H35" s="1074"/>
      <c r="I35" s="1074"/>
      <c r="J35" s="1075"/>
      <c r="K35" s="180"/>
      <c r="L35" s="1024"/>
      <c r="M35" s="978"/>
      <c r="N35" s="1083" t="s">
        <v>768</v>
      </c>
      <c r="O35" s="1084"/>
      <c r="P35" s="1084"/>
      <c r="Q35" s="1084"/>
      <c r="R35" s="1084"/>
      <c r="S35" s="1084"/>
      <c r="T35" s="1084"/>
      <c r="U35" s="1085"/>
      <c r="V35" s="182" t="s">
        <v>714</v>
      </c>
    </row>
    <row r="36" spans="1:24" ht="13.5" customHeight="1">
      <c r="A36" s="996"/>
      <c r="B36" s="995"/>
      <c r="C36" s="1068"/>
      <c r="D36" s="1069"/>
      <c r="E36" s="1069"/>
      <c r="F36" s="1069"/>
      <c r="G36" s="1069"/>
      <c r="H36" s="1069"/>
      <c r="I36" s="1069"/>
      <c r="J36" s="1070"/>
      <c r="K36" s="180"/>
      <c r="L36" s="1035"/>
      <c r="M36" s="995"/>
      <c r="N36" s="1068"/>
      <c r="O36" s="1074"/>
      <c r="P36" s="1074"/>
      <c r="Q36" s="1074"/>
      <c r="R36" s="1074"/>
      <c r="S36" s="1074"/>
      <c r="T36" s="1074"/>
      <c r="U36" s="1075"/>
      <c r="V36" s="182"/>
    </row>
    <row r="37" spans="1:24" ht="13.5" customHeight="1">
      <c r="A37" s="1097"/>
      <c r="B37" s="1099"/>
      <c r="C37" s="1068"/>
      <c r="D37" s="1074"/>
      <c r="E37" s="1074"/>
      <c r="F37" s="1074"/>
      <c r="G37" s="1074"/>
      <c r="H37" s="1074"/>
      <c r="I37" s="1074"/>
      <c r="J37" s="1075"/>
      <c r="K37" s="180"/>
      <c r="L37" s="1024"/>
      <c r="M37" s="978"/>
      <c r="N37" s="1086"/>
      <c r="O37" s="1074"/>
      <c r="P37" s="1074"/>
      <c r="Q37" s="1074"/>
      <c r="R37" s="1074"/>
      <c r="S37" s="1074"/>
      <c r="T37" s="1074"/>
      <c r="U37" s="1075"/>
      <c r="V37" s="182"/>
    </row>
    <row r="38" spans="1:24" ht="13.5" customHeight="1">
      <c r="A38" s="1098"/>
      <c r="B38" s="1100"/>
      <c r="C38" s="964"/>
      <c r="D38" s="965"/>
      <c r="E38" s="965"/>
      <c r="F38" s="965"/>
      <c r="G38" s="965"/>
      <c r="H38" s="965"/>
      <c r="I38" s="965"/>
      <c r="J38" s="966"/>
      <c r="K38" s="101"/>
      <c r="L38" s="1025"/>
      <c r="M38" s="1026"/>
      <c r="N38" s="1068"/>
      <c r="O38" s="1074"/>
      <c r="P38" s="1074"/>
      <c r="Q38" s="1074"/>
      <c r="R38" s="1074"/>
      <c r="S38" s="1074"/>
      <c r="T38" s="1074"/>
      <c r="U38" s="1075"/>
      <c r="V38" s="183"/>
    </row>
    <row r="39" spans="1:24">
      <c r="A39" s="1087" t="s">
        <v>231</v>
      </c>
      <c r="B39" s="1088"/>
      <c r="C39" s="1088"/>
      <c r="D39" s="1088"/>
      <c r="E39" s="1088"/>
      <c r="F39" s="1088"/>
      <c r="G39" s="1088"/>
      <c r="H39" s="1088"/>
      <c r="I39" s="1088"/>
      <c r="J39" s="1088"/>
      <c r="K39" s="1088"/>
      <c r="L39" s="1088"/>
      <c r="M39" s="1089"/>
      <c r="N39" s="1089"/>
      <c r="O39" s="1088"/>
      <c r="P39" s="1088"/>
      <c r="Q39" s="1088"/>
      <c r="R39" s="1088"/>
      <c r="S39" s="1088"/>
      <c r="T39" s="1088"/>
      <c r="U39" s="1088"/>
      <c r="V39" s="1090"/>
    </row>
    <row r="40" spans="1:24">
      <c r="A40" s="1091"/>
      <c r="B40" s="1092"/>
      <c r="C40" s="1092"/>
      <c r="D40" s="1092"/>
      <c r="E40" s="1092"/>
      <c r="F40" s="1092"/>
      <c r="G40" s="1092"/>
      <c r="H40" s="1092"/>
      <c r="I40" s="1092"/>
      <c r="J40" s="1092"/>
      <c r="K40" s="1092"/>
      <c r="L40" s="1092"/>
      <c r="M40" s="1092"/>
      <c r="N40" s="1092"/>
      <c r="O40" s="1092"/>
      <c r="P40" s="1092"/>
      <c r="Q40" s="1092"/>
      <c r="R40" s="1092"/>
      <c r="S40" s="1092"/>
      <c r="T40" s="1092"/>
      <c r="U40" s="1092"/>
      <c r="V40" s="1093"/>
    </row>
    <row r="41" spans="1:24">
      <c r="A41" s="1091"/>
      <c r="B41" s="1092"/>
      <c r="C41" s="1092"/>
      <c r="D41" s="1092"/>
      <c r="E41" s="1092"/>
      <c r="F41" s="1092"/>
      <c r="G41" s="1092"/>
      <c r="H41" s="1092"/>
      <c r="I41" s="1092"/>
      <c r="J41" s="1092"/>
      <c r="K41" s="1092"/>
      <c r="L41" s="1092"/>
      <c r="M41" s="1092"/>
      <c r="N41" s="1092"/>
      <c r="O41" s="1092"/>
      <c r="P41" s="1092"/>
      <c r="Q41" s="1092"/>
      <c r="R41" s="1092"/>
      <c r="S41" s="1092"/>
      <c r="T41" s="1092"/>
      <c r="U41" s="1092"/>
      <c r="V41" s="1093"/>
    </row>
    <row r="42" spans="1:24">
      <c r="A42" s="1091"/>
      <c r="B42" s="1092"/>
      <c r="C42" s="1092"/>
      <c r="D42" s="1092"/>
      <c r="E42" s="1092"/>
      <c r="F42" s="1092"/>
      <c r="G42" s="1092"/>
      <c r="H42" s="1092"/>
      <c r="I42" s="1092"/>
      <c r="J42" s="1092"/>
      <c r="K42" s="1092"/>
      <c r="L42" s="1092"/>
      <c r="M42" s="1092"/>
      <c r="N42" s="1092"/>
      <c r="O42" s="1092"/>
      <c r="P42" s="1092"/>
      <c r="Q42" s="1092"/>
      <c r="R42" s="1092"/>
      <c r="S42" s="1092"/>
      <c r="T42" s="1092"/>
      <c r="U42" s="1092"/>
      <c r="V42" s="1093"/>
    </row>
    <row r="43" spans="1:24">
      <c r="A43" s="1091"/>
      <c r="B43" s="1092"/>
      <c r="C43" s="1092"/>
      <c r="D43" s="1092"/>
      <c r="E43" s="1092"/>
      <c r="F43" s="1092"/>
      <c r="G43" s="1092"/>
      <c r="H43" s="1092"/>
      <c r="I43" s="1092"/>
      <c r="J43" s="1092"/>
      <c r="K43" s="1092"/>
      <c r="L43" s="1092"/>
      <c r="M43" s="1092"/>
      <c r="N43" s="1092"/>
      <c r="O43" s="1092"/>
      <c r="P43" s="1092"/>
      <c r="Q43" s="1092"/>
      <c r="R43" s="1092"/>
      <c r="S43" s="1092"/>
      <c r="T43" s="1092"/>
      <c r="U43" s="1092"/>
      <c r="V43" s="1093"/>
    </row>
    <row r="44" spans="1:24">
      <c r="A44" s="1091"/>
      <c r="B44" s="1092"/>
      <c r="C44" s="1092"/>
      <c r="D44" s="1092"/>
      <c r="E44" s="1092"/>
      <c r="F44" s="1092"/>
      <c r="G44" s="1092"/>
      <c r="H44" s="1092"/>
      <c r="I44" s="1092"/>
      <c r="J44" s="1092"/>
      <c r="K44" s="1092"/>
      <c r="L44" s="1092"/>
      <c r="M44" s="1092"/>
      <c r="N44" s="1092"/>
      <c r="O44" s="1092"/>
      <c r="P44" s="1092"/>
      <c r="Q44" s="1092"/>
      <c r="R44" s="1092"/>
      <c r="S44" s="1092"/>
      <c r="T44" s="1092"/>
      <c r="U44" s="1092"/>
      <c r="V44" s="1093"/>
    </row>
    <row r="45" spans="1:24">
      <c r="A45" s="1091"/>
      <c r="B45" s="1092"/>
      <c r="C45" s="1092"/>
      <c r="D45" s="1092"/>
      <c r="E45" s="1092"/>
      <c r="F45" s="1092"/>
      <c r="G45" s="1092"/>
      <c r="H45" s="1092"/>
      <c r="I45" s="1092"/>
      <c r="J45" s="1092"/>
      <c r="K45" s="1092"/>
      <c r="L45" s="1092"/>
      <c r="M45" s="1092"/>
      <c r="N45" s="1092"/>
      <c r="O45" s="1092"/>
      <c r="P45" s="1092"/>
      <c r="Q45" s="1092"/>
      <c r="R45" s="1092"/>
      <c r="S45" s="1092"/>
      <c r="T45" s="1092"/>
      <c r="U45" s="1092"/>
      <c r="V45" s="1093"/>
      <c r="X45"/>
    </row>
    <row r="46" spans="1:24">
      <c r="A46" s="1094"/>
      <c r="B46" s="1095"/>
      <c r="C46" s="1095"/>
      <c r="D46" s="1095"/>
      <c r="E46" s="1095"/>
      <c r="F46" s="1095"/>
      <c r="G46" s="1095"/>
      <c r="H46" s="1095"/>
      <c r="I46" s="1095"/>
      <c r="J46" s="1095"/>
      <c r="K46" s="1095"/>
      <c r="L46" s="1095"/>
      <c r="M46" s="1095"/>
      <c r="N46" s="1095"/>
      <c r="O46" s="1095"/>
      <c r="P46" s="1095"/>
      <c r="Q46" s="1095"/>
      <c r="R46" s="1095"/>
      <c r="S46" s="1095"/>
      <c r="T46" s="1095"/>
      <c r="U46" s="1095"/>
      <c r="V46" s="1096"/>
      <c r="X46" s="45"/>
    </row>
    <row r="47" spans="1:24">
      <c r="X47" s="45"/>
    </row>
    <row r="48" spans="1:24">
      <c r="C48" s="1076" t="s">
        <v>268</v>
      </c>
      <c r="D48" s="1077"/>
      <c r="E48" s="1077"/>
      <c r="F48" s="1077"/>
      <c r="G48" s="1077"/>
      <c r="H48" s="1077"/>
      <c r="I48" s="1077"/>
      <c r="J48" s="1078"/>
      <c r="K48" s="185" t="s">
        <v>162</v>
      </c>
      <c r="N48" s="1076" t="s">
        <v>200</v>
      </c>
      <c r="O48" s="1077"/>
      <c r="P48" s="1077"/>
      <c r="Q48" s="1077"/>
      <c r="R48" s="1077"/>
      <c r="S48" s="1077"/>
      <c r="T48" s="1077"/>
      <c r="U48" s="1078"/>
      <c r="V48" s="186" t="s">
        <v>162</v>
      </c>
      <c r="X48"/>
    </row>
    <row r="49" spans="1:24">
      <c r="A49" s="39"/>
      <c r="B49" s="45"/>
      <c r="C49" s="1071" t="s">
        <v>269</v>
      </c>
      <c r="D49" s="1077"/>
      <c r="E49" s="1077"/>
      <c r="F49" s="1077"/>
      <c r="G49" s="1077"/>
      <c r="H49" s="1077"/>
      <c r="I49" s="1077"/>
      <c r="J49" s="1078"/>
      <c r="K49" s="185" t="s">
        <v>162</v>
      </c>
      <c r="N49" s="1071" t="s">
        <v>267</v>
      </c>
      <c r="O49" s="1077"/>
      <c r="P49" s="1077"/>
      <c r="Q49" s="1077"/>
      <c r="R49" s="1077"/>
      <c r="S49" s="1077"/>
      <c r="T49" s="1077"/>
      <c r="U49" s="1078"/>
      <c r="V49" s="186" t="s">
        <v>162</v>
      </c>
      <c r="X49"/>
    </row>
    <row r="50" spans="1:24">
      <c r="A50" s="39"/>
      <c r="B50" s="45"/>
      <c r="C50" s="1071" t="s">
        <v>270</v>
      </c>
      <c r="D50" s="1077"/>
      <c r="E50" s="1077"/>
      <c r="F50" s="1077"/>
      <c r="G50" s="1077"/>
      <c r="H50" s="1077"/>
      <c r="I50" s="1077"/>
      <c r="J50" s="1078"/>
      <c r="K50" s="185" t="s">
        <v>162</v>
      </c>
      <c r="N50" s="1071" t="s">
        <v>265</v>
      </c>
      <c r="O50" s="1077"/>
      <c r="P50" s="1077"/>
      <c r="Q50" s="1077"/>
      <c r="R50" s="1077"/>
      <c r="S50" s="1077"/>
      <c r="T50" s="1077"/>
      <c r="U50" s="1078"/>
      <c r="V50" s="186" t="s">
        <v>162</v>
      </c>
      <c r="X50"/>
    </row>
    <row r="51" spans="1:24">
      <c r="C51" s="1071"/>
      <c r="D51" s="1077"/>
      <c r="E51" s="1077"/>
      <c r="F51" s="1077"/>
      <c r="G51" s="1077"/>
      <c r="H51" s="1077"/>
      <c r="I51" s="1077"/>
      <c r="J51" s="1078"/>
      <c r="K51" s="185" t="s">
        <v>162</v>
      </c>
      <c r="N51" s="1071"/>
      <c r="O51" s="1072"/>
      <c r="P51" s="1072"/>
      <c r="Q51" s="1072"/>
      <c r="R51" s="1072"/>
      <c r="S51" s="1072"/>
      <c r="T51" s="1072"/>
      <c r="U51" s="1073"/>
      <c r="V51" s="186" t="s">
        <v>162</v>
      </c>
    </row>
    <row r="52" spans="1:24">
      <c r="C52" s="1071"/>
      <c r="D52" s="1077"/>
      <c r="E52" s="1077"/>
      <c r="F52" s="1077"/>
      <c r="G52" s="1077"/>
      <c r="H52" s="1077"/>
      <c r="I52" s="1077"/>
      <c r="J52" s="1078"/>
      <c r="K52" s="185" t="s">
        <v>162</v>
      </c>
      <c r="N52" s="1071"/>
      <c r="O52" s="1072"/>
      <c r="P52" s="1072"/>
      <c r="Q52" s="1072"/>
      <c r="R52" s="1072"/>
      <c r="S52" s="1072"/>
      <c r="T52" s="1072"/>
      <c r="U52" s="1073"/>
      <c r="V52" s="186" t="s">
        <v>162</v>
      </c>
    </row>
    <row r="53" spans="1:24">
      <c r="C53" s="1071" t="s">
        <v>196</v>
      </c>
      <c r="D53" s="1077"/>
      <c r="E53" s="1077"/>
      <c r="F53" s="1077"/>
      <c r="G53" s="1077"/>
      <c r="H53" s="1077"/>
      <c r="I53" s="1077"/>
      <c r="J53" s="1078"/>
      <c r="K53" s="185" t="s">
        <v>162</v>
      </c>
      <c r="N53" s="1079" t="s">
        <v>201</v>
      </c>
      <c r="O53" s="1080"/>
      <c r="P53" s="1080"/>
      <c r="Q53" s="1080"/>
      <c r="R53" s="1080"/>
      <c r="S53" s="1080"/>
      <c r="T53" s="1080"/>
      <c r="U53" s="1081"/>
      <c r="V53" s="186" t="s">
        <v>162</v>
      </c>
    </row>
    <row r="54" spans="1:24">
      <c r="C54" s="1068" t="s">
        <v>197</v>
      </c>
      <c r="D54" s="1074"/>
      <c r="E54" s="1074"/>
      <c r="F54" s="1074"/>
      <c r="G54" s="1074"/>
      <c r="H54" s="1074"/>
      <c r="I54" s="1074"/>
      <c r="J54" s="1075"/>
      <c r="K54" s="185" t="s">
        <v>162</v>
      </c>
      <c r="N54" s="1071" t="s">
        <v>198</v>
      </c>
      <c r="O54" s="1077"/>
      <c r="P54" s="1077"/>
      <c r="Q54" s="1077"/>
      <c r="R54" s="1077"/>
      <c r="S54" s="1077"/>
      <c r="T54" s="1077"/>
      <c r="U54" s="1078"/>
      <c r="V54" s="186" t="s">
        <v>162</v>
      </c>
    </row>
    <row r="55" spans="1:24">
      <c r="C55" s="1068" t="s">
        <v>199</v>
      </c>
      <c r="D55" s="1069"/>
      <c r="E55" s="1069"/>
      <c r="F55" s="1069"/>
      <c r="G55" s="1069"/>
      <c r="H55" s="1069"/>
      <c r="I55" s="1069"/>
      <c r="J55" s="1070"/>
      <c r="K55" s="185" t="s">
        <v>162</v>
      </c>
      <c r="N55" s="1082" t="s">
        <v>273</v>
      </c>
      <c r="O55" s="1080"/>
      <c r="P55" s="1080"/>
      <c r="Q55" s="1080"/>
      <c r="R55" s="1080"/>
      <c r="S55" s="1080"/>
      <c r="T55" s="1080"/>
      <c r="U55" s="1081"/>
      <c r="V55" s="186" t="s">
        <v>162</v>
      </c>
    </row>
    <row r="56" spans="1:24">
      <c r="C56" s="1068" t="s">
        <v>264</v>
      </c>
      <c r="D56" s="1074"/>
      <c r="E56" s="1074"/>
      <c r="F56" s="1074"/>
      <c r="G56" s="1074"/>
      <c r="H56" s="1074"/>
      <c r="I56" s="1074"/>
      <c r="J56" s="1075"/>
      <c r="K56" s="185" t="s">
        <v>162</v>
      </c>
      <c r="N56" s="1071" t="s">
        <v>271</v>
      </c>
      <c r="O56" s="1077"/>
      <c r="P56" s="1077"/>
      <c r="Q56" s="1077"/>
      <c r="R56" s="1077"/>
      <c r="S56" s="1077"/>
      <c r="T56" s="1077"/>
      <c r="U56" s="1078"/>
      <c r="V56" s="186" t="s">
        <v>162</v>
      </c>
    </row>
    <row r="57" spans="1:24">
      <c r="C57" s="1068" t="s">
        <v>263</v>
      </c>
      <c r="D57" s="1069"/>
      <c r="E57" s="1069"/>
      <c r="F57" s="1069"/>
      <c r="G57" s="1069"/>
      <c r="H57" s="1069"/>
      <c r="I57" s="1069"/>
      <c r="J57" s="1070"/>
      <c r="K57" s="185" t="s">
        <v>162</v>
      </c>
      <c r="N57" s="1071" t="s">
        <v>272</v>
      </c>
      <c r="O57" s="1072"/>
      <c r="P57" s="1072"/>
      <c r="Q57" s="1072"/>
      <c r="R57" s="1072"/>
      <c r="S57" s="1072"/>
      <c r="T57" s="1072"/>
      <c r="U57" s="1073"/>
      <c r="V57" s="186" t="s">
        <v>162</v>
      </c>
    </row>
    <row r="58" spans="1:24">
      <c r="C58" s="1068"/>
      <c r="D58" s="1074"/>
      <c r="E58" s="1074"/>
      <c r="F58" s="1074"/>
      <c r="G58" s="1074"/>
      <c r="H58" s="1074"/>
      <c r="I58" s="1074"/>
      <c r="J58" s="1075"/>
      <c r="K58" s="180"/>
      <c r="N58" s="1068" t="s">
        <v>262</v>
      </c>
      <c r="O58" s="1069"/>
      <c r="P58" s="1069"/>
      <c r="Q58" s="1069"/>
      <c r="R58" s="1069"/>
      <c r="S58" s="1069"/>
      <c r="T58" s="1069"/>
      <c r="U58" s="1070"/>
      <c r="V58" s="186" t="s">
        <v>162</v>
      </c>
    </row>
    <row r="59" spans="1:24">
      <c r="C59" s="1068"/>
      <c r="D59" s="1069"/>
      <c r="E59" s="1069"/>
      <c r="F59" s="1069"/>
      <c r="G59" s="1069"/>
      <c r="H59" s="1069"/>
      <c r="I59" s="1069"/>
      <c r="J59" s="1070"/>
      <c r="K59" s="180"/>
      <c r="N59" s="1068" t="s">
        <v>266</v>
      </c>
      <c r="O59" s="1069"/>
      <c r="P59" s="1069"/>
      <c r="Q59" s="1069"/>
      <c r="R59" s="1069"/>
      <c r="S59" s="1069"/>
      <c r="T59" s="1069"/>
      <c r="U59" s="1070"/>
      <c r="V59" s="182" t="s">
        <v>239</v>
      </c>
    </row>
    <row r="60" spans="1:24">
      <c r="C60" s="1068"/>
      <c r="D60" s="1074"/>
      <c r="E60" s="1074"/>
      <c r="F60" s="1074"/>
      <c r="G60" s="1074"/>
      <c r="H60" s="1074"/>
      <c r="I60" s="1074"/>
      <c r="J60" s="1075"/>
      <c r="K60" s="180"/>
      <c r="N60" s="1068" t="s">
        <v>241</v>
      </c>
      <c r="O60" s="1074"/>
      <c r="P60" s="1074"/>
      <c r="Q60" s="1074"/>
      <c r="R60" s="1074"/>
      <c r="S60" s="1074"/>
      <c r="T60" s="1074"/>
      <c r="U60" s="1075"/>
      <c r="V60" s="182" t="s">
        <v>239</v>
      </c>
    </row>
    <row r="61" spans="1:24">
      <c r="C61" s="1068"/>
      <c r="D61" s="1069"/>
      <c r="E61" s="1069"/>
      <c r="F61" s="1069"/>
      <c r="G61" s="1069"/>
      <c r="H61" s="1069"/>
      <c r="I61" s="1069"/>
      <c r="J61" s="1070"/>
      <c r="K61" s="180"/>
      <c r="N61" s="1068" t="s">
        <v>261</v>
      </c>
      <c r="O61" s="1069"/>
      <c r="P61" s="1069"/>
      <c r="Q61" s="1069"/>
      <c r="R61" s="1069"/>
      <c r="S61" s="1069"/>
      <c r="T61" s="1069"/>
      <c r="U61" s="1070"/>
      <c r="V61" s="182" t="s">
        <v>162</v>
      </c>
    </row>
    <row r="62" spans="1:24">
      <c r="C62" s="1068"/>
      <c r="D62" s="1074"/>
      <c r="E62" s="1074"/>
      <c r="F62" s="1074"/>
      <c r="G62" s="1074"/>
      <c r="H62" s="1074"/>
      <c r="I62" s="1074"/>
      <c r="J62" s="1075"/>
      <c r="K62" s="180"/>
      <c r="N62" s="1068"/>
      <c r="O62" s="1069"/>
      <c r="P62" s="1069"/>
      <c r="Q62" s="1069"/>
      <c r="R62" s="1069"/>
      <c r="S62" s="1069"/>
      <c r="T62" s="1069"/>
      <c r="U62" s="1070"/>
      <c r="V62" s="182"/>
    </row>
    <row r="63" spans="1:24">
      <c r="C63" s="1068"/>
      <c r="D63" s="1069"/>
      <c r="E63" s="1069"/>
      <c r="F63" s="1069"/>
      <c r="G63" s="1069"/>
      <c r="H63" s="1069"/>
      <c r="I63" s="1069"/>
      <c r="J63" s="1070"/>
      <c r="K63" s="180"/>
      <c r="N63" s="1068"/>
      <c r="O63" s="1069"/>
      <c r="P63" s="1069"/>
      <c r="Q63" s="1069"/>
      <c r="R63" s="1069"/>
      <c r="S63" s="1069"/>
      <c r="T63" s="1069"/>
      <c r="U63" s="1070"/>
      <c r="V63" s="182"/>
    </row>
    <row r="64" spans="1:24">
      <c r="C64" s="1068"/>
      <c r="D64" s="1074"/>
      <c r="E64" s="1074"/>
      <c r="F64" s="1074"/>
      <c r="G64" s="1074"/>
      <c r="H64" s="1074"/>
      <c r="I64" s="1074"/>
      <c r="J64" s="1075"/>
      <c r="K64" s="180"/>
      <c r="N64" s="1068"/>
      <c r="O64" s="1074"/>
      <c r="P64" s="1074"/>
      <c r="Q64" s="1074"/>
      <c r="R64" s="1074"/>
      <c r="S64" s="1074"/>
      <c r="T64" s="1074"/>
      <c r="U64" s="1075"/>
      <c r="V64" s="182"/>
    </row>
    <row r="65" spans="3:22">
      <c r="C65" s="1068"/>
      <c r="D65" s="1069"/>
      <c r="E65" s="1069"/>
      <c r="F65" s="1069"/>
      <c r="G65" s="1069"/>
      <c r="H65" s="1069"/>
      <c r="I65" s="1069"/>
      <c r="J65" s="1070"/>
      <c r="K65" s="180"/>
      <c r="N65" s="1068"/>
      <c r="O65" s="1069"/>
      <c r="P65" s="1069"/>
      <c r="Q65" s="1069"/>
      <c r="R65" s="1069"/>
      <c r="S65" s="1069"/>
      <c r="T65" s="1069"/>
      <c r="U65" s="1070"/>
      <c r="V65" s="182"/>
    </row>
    <row r="66" spans="3:22">
      <c r="N66" s="1068"/>
      <c r="O66" s="1069"/>
      <c r="P66" s="1069"/>
      <c r="Q66" s="1069"/>
      <c r="R66" s="1069"/>
      <c r="S66" s="1069"/>
      <c r="T66" s="1069"/>
      <c r="U66" s="1070"/>
      <c r="V66" s="182"/>
    </row>
    <row r="67" spans="3:22">
      <c r="N67" s="1068"/>
      <c r="O67" s="1069"/>
      <c r="P67" s="1069"/>
      <c r="Q67" s="1069"/>
      <c r="R67" s="1069"/>
      <c r="S67" s="1069"/>
      <c r="T67" s="1069"/>
      <c r="U67" s="1070"/>
      <c r="V67" s="182"/>
    </row>
  </sheetData>
  <mergeCells count="170">
    <mergeCell ref="A4:F4"/>
    <mergeCell ref="A7:A8"/>
    <mergeCell ref="N6:U6"/>
    <mergeCell ref="C6:J6"/>
    <mergeCell ref="L7:L8"/>
    <mergeCell ref="B7:B8"/>
    <mergeCell ref="M7:M8"/>
    <mergeCell ref="N7:U7"/>
    <mergeCell ref="C8:J8"/>
    <mergeCell ref="B29:B30"/>
    <mergeCell ref="C31:J31"/>
    <mergeCell ref="C32:J32"/>
    <mergeCell ref="C27:J27"/>
    <mergeCell ref="C28:J28"/>
    <mergeCell ref="N8:U8"/>
    <mergeCell ref="C7:J7"/>
    <mergeCell ref="N9:U9"/>
    <mergeCell ref="M13:M14"/>
    <mergeCell ref="C25:J25"/>
    <mergeCell ref="C23:J23"/>
    <mergeCell ref="B21:B22"/>
    <mergeCell ref="L15:L16"/>
    <mergeCell ref="N11:U11"/>
    <mergeCell ref="L17:L18"/>
    <mergeCell ref="M19:M20"/>
    <mergeCell ref="M17:M18"/>
    <mergeCell ref="L19:L20"/>
    <mergeCell ref="M15:M16"/>
    <mergeCell ref="L11:L12"/>
    <mergeCell ref="L13:L14"/>
    <mergeCell ref="N13:U13"/>
    <mergeCell ref="M9:M10"/>
    <mergeCell ref="N14:U14"/>
    <mergeCell ref="N24:U24"/>
    <mergeCell ref="C21:J21"/>
    <mergeCell ref="L21:L22"/>
    <mergeCell ref="L25:L26"/>
    <mergeCell ref="M23:M24"/>
    <mergeCell ref="L23:L24"/>
    <mergeCell ref="M21:M22"/>
    <mergeCell ref="N21:U21"/>
    <mergeCell ref="N22:U22"/>
    <mergeCell ref="A21:A22"/>
    <mergeCell ref="B13:B14"/>
    <mergeCell ref="A23:A24"/>
    <mergeCell ref="C22:J22"/>
    <mergeCell ref="B23:B24"/>
    <mergeCell ref="B25:B26"/>
    <mergeCell ref="C26:J26"/>
    <mergeCell ref="A25:A26"/>
    <mergeCell ref="C24:J24"/>
    <mergeCell ref="A9:A10"/>
    <mergeCell ref="C13:J13"/>
    <mergeCell ref="C18:J18"/>
    <mergeCell ref="C16:J16"/>
    <mergeCell ref="A15:A16"/>
    <mergeCell ref="B15:B16"/>
    <mergeCell ref="A13:A14"/>
    <mergeCell ref="B11:B12"/>
    <mergeCell ref="C15:J15"/>
    <mergeCell ref="A17:A18"/>
    <mergeCell ref="B17:B18"/>
    <mergeCell ref="C11:J11"/>
    <mergeCell ref="C12:J12"/>
    <mergeCell ref="C10:J10"/>
    <mergeCell ref="C17:J17"/>
    <mergeCell ref="B9:B10"/>
    <mergeCell ref="C9:J9"/>
    <mergeCell ref="N16:U16"/>
    <mergeCell ref="N20:U20"/>
    <mergeCell ref="N18:U18"/>
    <mergeCell ref="N19:U19"/>
    <mergeCell ref="N17:U17"/>
    <mergeCell ref="N12:U12"/>
    <mergeCell ref="A19:A20"/>
    <mergeCell ref="B19:B20"/>
    <mergeCell ref="C20:J20"/>
    <mergeCell ref="C19:J19"/>
    <mergeCell ref="A11:A12"/>
    <mergeCell ref="C14:J14"/>
    <mergeCell ref="L9:L10"/>
    <mergeCell ref="M25:M26"/>
    <mergeCell ref="N25:U25"/>
    <mergeCell ref="N26:U26"/>
    <mergeCell ref="N23:U23"/>
    <mergeCell ref="A39:V46"/>
    <mergeCell ref="L27:L28"/>
    <mergeCell ref="L29:L30"/>
    <mergeCell ref="C38:J38"/>
    <mergeCell ref="A37:A38"/>
    <mergeCell ref="B37:B38"/>
    <mergeCell ref="C35:J35"/>
    <mergeCell ref="C37:J37"/>
    <mergeCell ref="C34:J34"/>
    <mergeCell ref="C33:J33"/>
    <mergeCell ref="C36:J36"/>
    <mergeCell ref="M37:M38"/>
    <mergeCell ref="M35:M36"/>
    <mergeCell ref="A27:A28"/>
    <mergeCell ref="A31:A32"/>
    <mergeCell ref="C30:J30"/>
    <mergeCell ref="N10:U10"/>
    <mergeCell ref="M11:M12"/>
    <mergeCell ref="N15:U15"/>
    <mergeCell ref="N30:U30"/>
    <mergeCell ref="A29:A30"/>
    <mergeCell ref="B27:B28"/>
    <mergeCell ref="B31:B32"/>
    <mergeCell ref="C29:J29"/>
    <mergeCell ref="N38:U38"/>
    <mergeCell ref="N35:U35"/>
    <mergeCell ref="N31:U31"/>
    <mergeCell ref="N37:U37"/>
    <mergeCell ref="N32:U32"/>
    <mergeCell ref="L31:L32"/>
    <mergeCell ref="L37:L38"/>
    <mergeCell ref="L35:L36"/>
    <mergeCell ref="L33:L34"/>
    <mergeCell ref="N36:U36"/>
    <mergeCell ref="N27:U27"/>
    <mergeCell ref="N28:U28"/>
    <mergeCell ref="N33:U33"/>
    <mergeCell ref="M27:M28"/>
    <mergeCell ref="M33:M34"/>
    <mergeCell ref="M31:M32"/>
    <mergeCell ref="N34:U34"/>
    <mergeCell ref="M29:M30"/>
    <mergeCell ref="N29:U29"/>
    <mergeCell ref="C48:J48"/>
    <mergeCell ref="C49:J49"/>
    <mergeCell ref="C50:J50"/>
    <mergeCell ref="C51:J51"/>
    <mergeCell ref="C52:J52"/>
    <mergeCell ref="C53:J53"/>
    <mergeCell ref="C54:J54"/>
    <mergeCell ref="C55:J55"/>
    <mergeCell ref="C56:J56"/>
    <mergeCell ref="C57:J57"/>
    <mergeCell ref="C58:J58"/>
    <mergeCell ref="C59:J59"/>
    <mergeCell ref="C60:J60"/>
    <mergeCell ref="C61:J61"/>
    <mergeCell ref="C62:J62"/>
    <mergeCell ref="C63:J63"/>
    <mergeCell ref="C64:J64"/>
    <mergeCell ref="C65:J65"/>
    <mergeCell ref="A33:A34"/>
    <mergeCell ref="B33:B34"/>
    <mergeCell ref="A35:A36"/>
    <mergeCell ref="B35:B36"/>
    <mergeCell ref="N66:U66"/>
    <mergeCell ref="N67:U67"/>
    <mergeCell ref="N57:U57"/>
    <mergeCell ref="N58:U58"/>
    <mergeCell ref="N59:U59"/>
    <mergeCell ref="N60:U60"/>
    <mergeCell ref="N61:U61"/>
    <mergeCell ref="N62:U62"/>
    <mergeCell ref="N63:U63"/>
    <mergeCell ref="N64:U64"/>
    <mergeCell ref="N65:U65"/>
    <mergeCell ref="N48:U48"/>
    <mergeCell ref="N49:U49"/>
    <mergeCell ref="N50:U50"/>
    <mergeCell ref="N51:U51"/>
    <mergeCell ref="N52:U52"/>
    <mergeCell ref="N53:U53"/>
    <mergeCell ref="N54:U54"/>
    <mergeCell ref="N55:U55"/>
    <mergeCell ref="N56:U56"/>
  </mergeCells>
  <phoneticPr fontId="8"/>
  <dataValidations count="1">
    <dataValidation type="list" allowBlank="1" showInputMessage="1" showErrorMessage="1" sqref="B35 B11 B7 B9 B13 B15 B17 B19 B21 B23 B25 B27 B29 B31 B33 M37 M9 M11 M7 M13 M17 M21 M25 M29 M33 M15 M19 M23 M27 M31 M35" xr:uid="{00000000-0002-0000-0500-000000000000}">
      <formula1>"日,月,火,水,木,金,土"</formula1>
    </dataValidation>
  </dataValidations>
  <pageMargins left="0.78740157480314965" right="0.78740157480314965" top="0.98425196850393704" bottom="0.6692913385826772" header="0.51181102362204722" footer="0.51181102362204722"/>
  <pageSetup paperSize="9" scale="65"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V50"/>
  <sheetViews>
    <sheetView view="pageBreakPreview" zoomScale="80" zoomScaleNormal="80" zoomScaleSheetLayoutView="80" workbookViewId="0">
      <selection activeCell="C24" sqref="C24:J24"/>
    </sheetView>
  </sheetViews>
  <sheetFormatPr defaultColWidth="9" defaultRowHeight="12.75"/>
  <cols>
    <col min="1" max="16384" width="9" style="23"/>
  </cols>
  <sheetData>
    <row r="1" spans="1:22" ht="23.25" thickBot="1">
      <c r="A1" s="1" t="s">
        <v>19</v>
      </c>
      <c r="B1" s="2"/>
      <c r="C1" s="173"/>
      <c r="D1" s="173"/>
      <c r="E1" s="79"/>
      <c r="F1" s="79"/>
      <c r="G1" s="79"/>
      <c r="H1" s="79"/>
      <c r="I1" s="79"/>
      <c r="J1" s="79"/>
      <c r="K1" s="79"/>
      <c r="L1" s="79"/>
      <c r="M1" s="79"/>
      <c r="N1" s="79"/>
      <c r="O1" s="79"/>
      <c r="P1" s="79"/>
      <c r="Q1" s="79"/>
      <c r="R1" s="79"/>
      <c r="S1" s="79"/>
      <c r="T1" s="79"/>
      <c r="U1" s="79"/>
      <c r="V1" s="79"/>
    </row>
    <row r="2" spans="1:22" ht="17.25" customHeight="1" thickTop="1">
      <c r="A2" s="5"/>
      <c r="B2" s="6"/>
    </row>
    <row r="3" spans="1:22" ht="17.25" customHeight="1">
      <c r="A3" s="5"/>
      <c r="B3" s="6"/>
    </row>
    <row r="4" spans="1:22" s="7" customFormat="1" ht="18" customHeight="1">
      <c r="A4" s="1113" t="s">
        <v>102</v>
      </c>
      <c r="B4" s="1114"/>
      <c r="C4" s="1114"/>
      <c r="D4" s="1114"/>
      <c r="E4" s="1114"/>
      <c r="F4" s="1115"/>
    </row>
    <row r="5" spans="1:22" s="7" customFormat="1" ht="14.1" customHeight="1"/>
    <row r="6" spans="1:22" s="7" customFormat="1" ht="14.1" customHeight="1">
      <c r="A6" s="8" t="s">
        <v>10</v>
      </c>
      <c r="B6" s="8" t="s">
        <v>14</v>
      </c>
      <c r="C6" s="999" t="s">
        <v>15</v>
      </c>
      <c r="D6" s="1109"/>
      <c r="E6" s="1109"/>
      <c r="F6" s="1109"/>
      <c r="G6" s="1109"/>
      <c r="H6" s="1109"/>
      <c r="I6" s="1109"/>
      <c r="J6" s="1110"/>
      <c r="K6" s="9" t="s">
        <v>16</v>
      </c>
      <c r="L6" s="10" t="s">
        <v>10</v>
      </c>
      <c r="M6" s="8" t="s">
        <v>14</v>
      </c>
      <c r="N6" s="999" t="s">
        <v>15</v>
      </c>
      <c r="O6" s="1109"/>
      <c r="P6" s="1109"/>
      <c r="Q6" s="1109"/>
      <c r="R6" s="1109"/>
      <c r="S6" s="1109"/>
      <c r="T6" s="1109"/>
      <c r="U6" s="1110"/>
      <c r="V6" s="12" t="s">
        <v>16</v>
      </c>
    </row>
    <row r="7" spans="1:22" ht="13.5" customHeight="1">
      <c r="A7" s="1043">
        <f>①業者定期!$A$7</f>
        <v>0</v>
      </c>
      <c r="B7" s="1045">
        <f>IF(A7="","",WEEKDAY(A7))</f>
        <v>7</v>
      </c>
      <c r="C7" s="957"/>
      <c r="D7" s="958"/>
      <c r="E7" s="958"/>
      <c r="F7" s="958"/>
      <c r="G7" s="958"/>
      <c r="H7" s="958"/>
      <c r="I7" s="958"/>
      <c r="J7" s="959"/>
      <c r="K7" s="1116"/>
      <c r="L7" s="1018">
        <f>①業者定期!M7</f>
        <v>0</v>
      </c>
      <c r="M7" s="1014">
        <f>IF(L7="","",WEEKDAY(L7))</f>
        <v>7</v>
      </c>
      <c r="N7" s="957"/>
      <c r="O7" s="958"/>
      <c r="P7" s="958"/>
      <c r="Q7" s="958"/>
      <c r="R7" s="958"/>
      <c r="S7" s="958"/>
      <c r="T7" s="958"/>
      <c r="U7" s="959"/>
      <c r="V7" s="1118"/>
    </row>
    <row r="8" spans="1:22" ht="13.5" customHeight="1">
      <c r="A8" s="1044"/>
      <c r="B8" s="995"/>
      <c r="C8" s="957"/>
      <c r="D8" s="958"/>
      <c r="E8" s="958"/>
      <c r="F8" s="958"/>
      <c r="G8" s="958"/>
      <c r="H8" s="958"/>
      <c r="I8" s="958"/>
      <c r="J8" s="959"/>
      <c r="K8" s="1117"/>
      <c r="L8" s="1019"/>
      <c r="M8" s="979"/>
      <c r="N8" s="957"/>
      <c r="O8" s="958"/>
      <c r="P8" s="958"/>
      <c r="Q8" s="958"/>
      <c r="R8" s="958"/>
      <c r="S8" s="958"/>
      <c r="T8" s="958"/>
      <c r="U8" s="959"/>
      <c r="V8" s="1119"/>
    </row>
    <row r="9" spans="1:22" ht="13.5" customHeight="1">
      <c r="A9" s="992">
        <f>①業者定期!$A$9</f>
        <v>0</v>
      </c>
      <c r="B9" s="978">
        <f t="shared" ref="B9" si="0">IF(A9="","",WEEKDAY(A9))</f>
        <v>7</v>
      </c>
      <c r="C9" s="957" t="s">
        <v>686</v>
      </c>
      <c r="D9" s="958"/>
      <c r="E9" s="958"/>
      <c r="F9" s="958"/>
      <c r="G9" s="958"/>
      <c r="H9" s="958"/>
      <c r="I9" s="958"/>
      <c r="J9" s="959"/>
      <c r="K9" s="1116" t="s">
        <v>162</v>
      </c>
      <c r="L9" s="1024">
        <f>①業者定期!M9</f>
        <v>0</v>
      </c>
      <c r="M9" s="978">
        <f t="shared" ref="M9" si="1">IF(L9="","",WEEKDAY(L9))</f>
        <v>7</v>
      </c>
      <c r="N9" s="957" t="s">
        <v>362</v>
      </c>
      <c r="O9" s="958"/>
      <c r="P9" s="958"/>
      <c r="Q9" s="958"/>
      <c r="R9" s="958"/>
      <c r="S9" s="958"/>
      <c r="T9" s="958"/>
      <c r="U9" s="959"/>
      <c r="V9" s="1118" t="s">
        <v>162</v>
      </c>
    </row>
    <row r="10" spans="1:22" ht="13.5" customHeight="1">
      <c r="A10" s="996"/>
      <c r="B10" s="995"/>
      <c r="C10" s="957"/>
      <c r="D10" s="958"/>
      <c r="E10" s="958"/>
      <c r="F10" s="958"/>
      <c r="G10" s="958"/>
      <c r="H10" s="958"/>
      <c r="I10" s="958"/>
      <c r="J10" s="959"/>
      <c r="K10" s="1117"/>
      <c r="L10" s="1019"/>
      <c r="M10" s="979"/>
      <c r="N10" s="957" t="s">
        <v>681</v>
      </c>
      <c r="O10" s="958"/>
      <c r="P10" s="958"/>
      <c r="Q10" s="958"/>
      <c r="R10" s="958"/>
      <c r="S10" s="958"/>
      <c r="T10" s="958"/>
      <c r="U10" s="959"/>
      <c r="V10" s="1119"/>
    </row>
    <row r="11" spans="1:22" ht="13.5" customHeight="1">
      <c r="A11" s="992">
        <f>①業者定期!$A$11</f>
        <v>0</v>
      </c>
      <c r="B11" s="978">
        <f t="shared" ref="B11" si="2">IF(A11="","",WEEKDAY(A11))</f>
        <v>7</v>
      </c>
      <c r="C11" s="957" t="s">
        <v>362</v>
      </c>
      <c r="D11" s="958"/>
      <c r="E11" s="958"/>
      <c r="F11" s="958"/>
      <c r="G11" s="958"/>
      <c r="H11" s="958"/>
      <c r="I11" s="958"/>
      <c r="J11" s="959"/>
      <c r="K11" s="1116" t="s">
        <v>162</v>
      </c>
      <c r="L11" s="1024">
        <f>①業者定期!M11</f>
        <v>0</v>
      </c>
      <c r="M11" s="978">
        <f t="shared" ref="M11" si="3">IF(L11="","",WEEKDAY(L11))</f>
        <v>7</v>
      </c>
      <c r="N11" s="957" t="s">
        <v>362</v>
      </c>
      <c r="O11" s="958"/>
      <c r="P11" s="958"/>
      <c r="Q11" s="958"/>
      <c r="R11" s="958"/>
      <c r="S11" s="958"/>
      <c r="T11" s="958"/>
      <c r="U11" s="959"/>
      <c r="V11" s="1118" t="s">
        <v>162</v>
      </c>
    </row>
    <row r="12" spans="1:22" ht="13.5" customHeight="1">
      <c r="A12" s="996"/>
      <c r="B12" s="995"/>
      <c r="C12" s="957" t="s">
        <v>681</v>
      </c>
      <c r="D12" s="958"/>
      <c r="E12" s="958"/>
      <c r="F12" s="958"/>
      <c r="G12" s="958"/>
      <c r="H12" s="958"/>
      <c r="I12" s="958"/>
      <c r="J12" s="959"/>
      <c r="K12" s="1117"/>
      <c r="L12" s="1019"/>
      <c r="M12" s="979"/>
      <c r="N12" s="957" t="s">
        <v>681</v>
      </c>
      <c r="O12" s="958"/>
      <c r="P12" s="958"/>
      <c r="Q12" s="958"/>
      <c r="R12" s="958"/>
      <c r="S12" s="958"/>
      <c r="T12" s="958"/>
      <c r="U12" s="959"/>
      <c r="V12" s="1119"/>
    </row>
    <row r="13" spans="1:22" ht="13.5" customHeight="1">
      <c r="A13" s="992">
        <f>①業者定期!$A$13</f>
        <v>0</v>
      </c>
      <c r="B13" s="978">
        <f t="shared" ref="B13" si="4">IF(A13="","",WEEKDAY(A13))</f>
        <v>7</v>
      </c>
      <c r="C13" s="957" t="s">
        <v>362</v>
      </c>
      <c r="D13" s="958"/>
      <c r="E13" s="958"/>
      <c r="F13" s="958"/>
      <c r="G13" s="958"/>
      <c r="H13" s="958"/>
      <c r="I13" s="958"/>
      <c r="J13" s="959"/>
      <c r="K13" s="1116" t="s">
        <v>162</v>
      </c>
      <c r="L13" s="1024">
        <f>①業者定期!M13</f>
        <v>0</v>
      </c>
      <c r="M13" s="978">
        <f t="shared" ref="M13" si="5">IF(L13="","",WEEKDAY(L13))</f>
        <v>7</v>
      </c>
      <c r="N13" s="957" t="s">
        <v>362</v>
      </c>
      <c r="O13" s="958"/>
      <c r="P13" s="958"/>
      <c r="Q13" s="958"/>
      <c r="R13" s="958"/>
      <c r="S13" s="958"/>
      <c r="T13" s="958"/>
      <c r="U13" s="959"/>
      <c r="V13" s="1118" t="s">
        <v>162</v>
      </c>
    </row>
    <row r="14" spans="1:22" ht="13.5" customHeight="1">
      <c r="A14" s="996"/>
      <c r="B14" s="995"/>
      <c r="C14" s="957" t="s">
        <v>681</v>
      </c>
      <c r="D14" s="958"/>
      <c r="E14" s="958"/>
      <c r="F14" s="958"/>
      <c r="G14" s="958"/>
      <c r="H14" s="958"/>
      <c r="I14" s="958"/>
      <c r="J14" s="959"/>
      <c r="K14" s="1117"/>
      <c r="L14" s="1019"/>
      <c r="M14" s="979"/>
      <c r="N14" s="957" t="s">
        <v>681</v>
      </c>
      <c r="O14" s="958"/>
      <c r="P14" s="958"/>
      <c r="Q14" s="958"/>
      <c r="R14" s="958"/>
      <c r="S14" s="958"/>
      <c r="T14" s="958"/>
      <c r="U14" s="959"/>
      <c r="V14" s="1119"/>
    </row>
    <row r="15" spans="1:22" ht="13.5" customHeight="1">
      <c r="A15" s="992">
        <f>①業者定期!$A$15</f>
        <v>0</v>
      </c>
      <c r="B15" s="978">
        <f t="shared" ref="B15" si="6">IF(A15="","",WEEKDAY(A15))</f>
        <v>7</v>
      </c>
      <c r="C15" s="957" t="s">
        <v>362</v>
      </c>
      <c r="D15" s="958"/>
      <c r="E15" s="958"/>
      <c r="F15" s="958"/>
      <c r="G15" s="958"/>
      <c r="H15" s="958"/>
      <c r="I15" s="958"/>
      <c r="J15" s="959"/>
      <c r="K15" s="1116" t="s">
        <v>697</v>
      </c>
      <c r="L15" s="1024">
        <f>①業者定期!M15</f>
        <v>0</v>
      </c>
      <c r="M15" s="978">
        <f t="shared" ref="M15" si="7">IF(L15="","",WEEKDAY(L15))</f>
        <v>7</v>
      </c>
      <c r="N15" s="957" t="s">
        <v>362</v>
      </c>
      <c r="O15" s="958"/>
      <c r="P15" s="958"/>
      <c r="Q15" s="958"/>
      <c r="R15" s="958"/>
      <c r="S15" s="958"/>
      <c r="T15" s="958"/>
      <c r="U15" s="959"/>
      <c r="V15" s="1118" t="s">
        <v>162</v>
      </c>
    </row>
    <row r="16" spans="1:22" ht="13.5" customHeight="1">
      <c r="A16" s="996"/>
      <c r="B16" s="995"/>
      <c r="C16" s="957" t="s">
        <v>681</v>
      </c>
      <c r="D16" s="958"/>
      <c r="E16" s="958"/>
      <c r="F16" s="958"/>
      <c r="G16" s="958"/>
      <c r="H16" s="958"/>
      <c r="I16" s="958"/>
      <c r="J16" s="959"/>
      <c r="K16" s="1117"/>
      <c r="L16" s="1019"/>
      <c r="M16" s="979"/>
      <c r="N16" s="957" t="s">
        <v>681</v>
      </c>
      <c r="O16" s="958"/>
      <c r="P16" s="958"/>
      <c r="Q16" s="958"/>
      <c r="R16" s="958"/>
      <c r="S16" s="958"/>
      <c r="T16" s="958"/>
      <c r="U16" s="959"/>
      <c r="V16" s="1119"/>
    </row>
    <row r="17" spans="1:22" ht="13.5" customHeight="1">
      <c r="A17" s="992">
        <f>①業者定期!$A$17</f>
        <v>0</v>
      </c>
      <c r="B17" s="978">
        <f t="shared" ref="B17" si="8">IF(A17="","",WEEKDAY(A17))</f>
        <v>7</v>
      </c>
      <c r="C17" s="957" t="s">
        <v>362</v>
      </c>
      <c r="D17" s="958"/>
      <c r="E17" s="958"/>
      <c r="F17" s="958"/>
      <c r="G17" s="958"/>
      <c r="H17" s="958"/>
      <c r="I17" s="958"/>
      <c r="J17" s="959"/>
      <c r="K17" s="1116" t="s">
        <v>162</v>
      </c>
      <c r="L17" s="1024">
        <f>①業者定期!M17</f>
        <v>0</v>
      </c>
      <c r="M17" s="978">
        <f t="shared" ref="M17" si="9">IF(L17="","",WEEKDAY(L17))</f>
        <v>7</v>
      </c>
      <c r="N17" s="957" t="s">
        <v>362</v>
      </c>
      <c r="O17" s="958"/>
      <c r="P17" s="958"/>
      <c r="Q17" s="958"/>
      <c r="R17" s="958"/>
      <c r="S17" s="958"/>
      <c r="T17" s="958"/>
      <c r="U17" s="959"/>
      <c r="V17" s="1118" t="s">
        <v>162</v>
      </c>
    </row>
    <row r="18" spans="1:22" ht="13.5" customHeight="1">
      <c r="A18" s="996"/>
      <c r="B18" s="995"/>
      <c r="C18" s="957" t="s">
        <v>681</v>
      </c>
      <c r="D18" s="958"/>
      <c r="E18" s="958"/>
      <c r="F18" s="958"/>
      <c r="G18" s="958"/>
      <c r="H18" s="958"/>
      <c r="I18" s="958"/>
      <c r="J18" s="959"/>
      <c r="K18" s="1117"/>
      <c r="L18" s="1019"/>
      <c r="M18" s="979"/>
      <c r="N18" s="957" t="s">
        <v>681</v>
      </c>
      <c r="O18" s="958"/>
      <c r="P18" s="958"/>
      <c r="Q18" s="958"/>
      <c r="R18" s="958"/>
      <c r="S18" s="958"/>
      <c r="T18" s="958"/>
      <c r="U18" s="959"/>
      <c r="V18" s="1119"/>
    </row>
    <row r="19" spans="1:22" ht="13.5" customHeight="1">
      <c r="A19" s="992">
        <f>①業者定期!$A$19</f>
        <v>0</v>
      </c>
      <c r="B19" s="978">
        <f t="shared" ref="B19" si="10">IF(A19="","",WEEKDAY(A19))</f>
        <v>7</v>
      </c>
      <c r="C19" s="957" t="s">
        <v>362</v>
      </c>
      <c r="D19" s="958"/>
      <c r="E19" s="958"/>
      <c r="F19" s="958"/>
      <c r="G19" s="958"/>
      <c r="H19" s="958"/>
      <c r="I19" s="958"/>
      <c r="J19" s="959"/>
      <c r="K19" s="1116" t="s">
        <v>162</v>
      </c>
      <c r="L19" s="1024">
        <f>①業者定期!M19</f>
        <v>0</v>
      </c>
      <c r="M19" s="978">
        <f t="shared" ref="M19" si="11">IF(L19="","",WEEKDAY(L19))</f>
        <v>7</v>
      </c>
      <c r="N19" s="957"/>
      <c r="O19" s="958"/>
      <c r="P19" s="958"/>
      <c r="Q19" s="958"/>
      <c r="R19" s="958"/>
      <c r="S19" s="958"/>
      <c r="T19" s="958"/>
      <c r="U19" s="959"/>
      <c r="V19" s="1118"/>
    </row>
    <row r="20" spans="1:22" ht="13.5" customHeight="1">
      <c r="A20" s="996"/>
      <c r="B20" s="995"/>
      <c r="C20" s="957" t="s">
        <v>681</v>
      </c>
      <c r="D20" s="958"/>
      <c r="E20" s="958"/>
      <c r="F20" s="958"/>
      <c r="G20" s="958"/>
      <c r="H20" s="958"/>
      <c r="I20" s="958"/>
      <c r="J20" s="959"/>
      <c r="K20" s="1117"/>
      <c r="L20" s="1019"/>
      <c r="M20" s="979"/>
      <c r="N20" s="957"/>
      <c r="O20" s="958"/>
      <c r="P20" s="958"/>
      <c r="Q20" s="958"/>
      <c r="R20" s="958"/>
      <c r="S20" s="958"/>
      <c r="T20" s="958"/>
      <c r="U20" s="959"/>
      <c r="V20" s="1119"/>
    </row>
    <row r="21" spans="1:22" ht="13.5" customHeight="1">
      <c r="A21" s="992">
        <f>①業者定期!$A$21</f>
        <v>0</v>
      </c>
      <c r="B21" s="978">
        <f t="shared" ref="B21" si="12">IF(A21="","",WEEKDAY(A21))</f>
        <v>7</v>
      </c>
      <c r="C21" s="957"/>
      <c r="D21" s="958"/>
      <c r="E21" s="958"/>
      <c r="F21" s="958"/>
      <c r="G21" s="958"/>
      <c r="H21" s="958"/>
      <c r="I21" s="958"/>
      <c r="J21" s="959"/>
      <c r="K21" s="1116"/>
      <c r="L21" s="1024">
        <f>①業者定期!M21</f>
        <v>0</v>
      </c>
      <c r="M21" s="978">
        <f t="shared" ref="M21" si="13">IF(L21="","",WEEKDAY(L21))</f>
        <v>7</v>
      </c>
      <c r="N21" s="957"/>
      <c r="O21" s="958"/>
      <c r="P21" s="958"/>
      <c r="Q21" s="958"/>
      <c r="R21" s="958"/>
      <c r="S21" s="958"/>
      <c r="T21" s="958"/>
      <c r="U21" s="959"/>
      <c r="V21" s="1118"/>
    </row>
    <row r="22" spans="1:22" ht="13.5" customHeight="1">
      <c r="A22" s="996"/>
      <c r="B22" s="995"/>
      <c r="C22" s="957"/>
      <c r="D22" s="958"/>
      <c r="E22" s="958"/>
      <c r="F22" s="958"/>
      <c r="G22" s="958"/>
      <c r="H22" s="958"/>
      <c r="I22" s="958"/>
      <c r="J22" s="959"/>
      <c r="K22" s="1117"/>
      <c r="L22" s="1019"/>
      <c r="M22" s="979"/>
      <c r="N22" s="957"/>
      <c r="O22" s="958"/>
      <c r="P22" s="958"/>
      <c r="Q22" s="958"/>
      <c r="R22" s="958"/>
      <c r="S22" s="958"/>
      <c r="T22" s="958"/>
      <c r="U22" s="959"/>
      <c r="V22" s="1119"/>
    </row>
    <row r="23" spans="1:22" ht="13.5" customHeight="1">
      <c r="A23" s="992">
        <f>①業者定期!$A$23</f>
        <v>0</v>
      </c>
      <c r="B23" s="978">
        <f t="shared" ref="B23" si="14">IF(A23="","",WEEKDAY(A23))</f>
        <v>7</v>
      </c>
      <c r="C23" s="957"/>
      <c r="D23" s="958"/>
      <c r="E23" s="958"/>
      <c r="F23" s="958"/>
      <c r="G23" s="958"/>
      <c r="H23" s="958"/>
      <c r="I23" s="958"/>
      <c r="J23" s="959"/>
      <c r="K23" s="1116"/>
      <c r="L23" s="1024">
        <f>①業者定期!M23</f>
        <v>0</v>
      </c>
      <c r="M23" s="978">
        <f t="shared" ref="M23" si="15">IF(L23="","",WEEKDAY(L23))</f>
        <v>7</v>
      </c>
      <c r="N23" s="957" t="s">
        <v>362</v>
      </c>
      <c r="O23" s="958"/>
      <c r="P23" s="958"/>
      <c r="Q23" s="958"/>
      <c r="R23" s="958"/>
      <c r="S23" s="958"/>
      <c r="T23" s="958"/>
      <c r="U23" s="959"/>
      <c r="V23" s="1118" t="s">
        <v>162</v>
      </c>
    </row>
    <row r="24" spans="1:22" ht="13.5" customHeight="1">
      <c r="A24" s="996"/>
      <c r="B24" s="995"/>
      <c r="C24" s="957"/>
      <c r="D24" s="958"/>
      <c r="E24" s="958"/>
      <c r="F24" s="958"/>
      <c r="G24" s="958"/>
      <c r="H24" s="958"/>
      <c r="I24" s="958"/>
      <c r="J24" s="959"/>
      <c r="K24" s="1117"/>
      <c r="L24" s="1019"/>
      <c r="M24" s="979"/>
      <c r="N24" s="957" t="s">
        <v>681</v>
      </c>
      <c r="O24" s="958"/>
      <c r="P24" s="958"/>
      <c r="Q24" s="958"/>
      <c r="R24" s="958"/>
      <c r="S24" s="958"/>
      <c r="T24" s="958"/>
      <c r="U24" s="959"/>
      <c r="V24" s="1119"/>
    </row>
    <row r="25" spans="1:22" ht="13.5" customHeight="1">
      <c r="A25" s="992">
        <f>①業者定期!$A$25</f>
        <v>0</v>
      </c>
      <c r="B25" s="978">
        <f t="shared" ref="B25" si="16">IF(A25="","",WEEKDAY(A25))</f>
        <v>7</v>
      </c>
      <c r="C25" s="957" t="s">
        <v>362</v>
      </c>
      <c r="D25" s="958"/>
      <c r="E25" s="958"/>
      <c r="F25" s="958"/>
      <c r="G25" s="958"/>
      <c r="H25" s="958"/>
      <c r="I25" s="958"/>
      <c r="J25" s="959"/>
      <c r="K25" s="1116" t="s">
        <v>162</v>
      </c>
      <c r="L25" s="1024">
        <f>①業者定期!M25</f>
        <v>0</v>
      </c>
      <c r="M25" s="978">
        <f t="shared" ref="M25" si="17">IF(L25="","",WEEKDAY(L25))</f>
        <v>7</v>
      </c>
      <c r="N25" s="957" t="s">
        <v>362</v>
      </c>
      <c r="O25" s="958"/>
      <c r="P25" s="958"/>
      <c r="Q25" s="958"/>
      <c r="R25" s="958"/>
      <c r="S25" s="958"/>
      <c r="T25" s="958"/>
      <c r="U25" s="959"/>
      <c r="V25" s="1118" t="s">
        <v>162</v>
      </c>
    </row>
    <row r="26" spans="1:22" ht="13.5" customHeight="1">
      <c r="A26" s="996"/>
      <c r="B26" s="995"/>
      <c r="C26" s="957" t="s">
        <v>681</v>
      </c>
      <c r="D26" s="958"/>
      <c r="E26" s="958"/>
      <c r="F26" s="958"/>
      <c r="G26" s="958"/>
      <c r="H26" s="958"/>
      <c r="I26" s="958"/>
      <c r="J26" s="959"/>
      <c r="K26" s="1117"/>
      <c r="L26" s="1019"/>
      <c r="M26" s="979"/>
      <c r="N26" s="957" t="s">
        <v>681</v>
      </c>
      <c r="O26" s="958"/>
      <c r="P26" s="958"/>
      <c r="Q26" s="958"/>
      <c r="R26" s="958"/>
      <c r="S26" s="958"/>
      <c r="T26" s="958"/>
      <c r="U26" s="959"/>
      <c r="V26" s="1119"/>
    </row>
    <row r="27" spans="1:22" ht="13.5" customHeight="1">
      <c r="A27" s="992">
        <f>①業者定期!$A$27</f>
        <v>0</v>
      </c>
      <c r="B27" s="978" t="s">
        <v>701</v>
      </c>
      <c r="C27" s="957" t="s">
        <v>362</v>
      </c>
      <c r="D27" s="958"/>
      <c r="E27" s="958"/>
      <c r="F27" s="958"/>
      <c r="G27" s="958"/>
      <c r="H27" s="958"/>
      <c r="I27" s="958"/>
      <c r="J27" s="959"/>
      <c r="K27" s="1116" t="s">
        <v>162</v>
      </c>
      <c r="L27" s="1024">
        <f>①業者定期!M27</f>
        <v>0</v>
      </c>
      <c r="M27" s="978">
        <f t="shared" ref="M27" si="18">IF(L27="","",WEEKDAY(L27))</f>
        <v>7</v>
      </c>
      <c r="N27" s="957" t="s">
        <v>362</v>
      </c>
      <c r="O27" s="958"/>
      <c r="P27" s="958"/>
      <c r="Q27" s="958"/>
      <c r="R27" s="958"/>
      <c r="S27" s="958"/>
      <c r="T27" s="958"/>
      <c r="U27" s="959"/>
      <c r="V27" s="1118" t="s">
        <v>162</v>
      </c>
    </row>
    <row r="28" spans="1:22" ht="13.5" customHeight="1">
      <c r="A28" s="996"/>
      <c r="B28" s="995"/>
      <c r="C28" s="957" t="s">
        <v>681</v>
      </c>
      <c r="D28" s="958"/>
      <c r="E28" s="958"/>
      <c r="F28" s="958"/>
      <c r="G28" s="958"/>
      <c r="H28" s="958"/>
      <c r="I28" s="958"/>
      <c r="J28" s="959"/>
      <c r="K28" s="1117"/>
      <c r="L28" s="1019"/>
      <c r="M28" s="979"/>
      <c r="N28" s="957" t="s">
        <v>681</v>
      </c>
      <c r="O28" s="958"/>
      <c r="P28" s="958"/>
      <c r="Q28" s="958"/>
      <c r="R28" s="958"/>
      <c r="S28" s="958"/>
      <c r="T28" s="958"/>
      <c r="U28" s="959"/>
      <c r="V28" s="1119"/>
    </row>
    <row r="29" spans="1:22" ht="13.5" customHeight="1">
      <c r="A29" s="992">
        <f>①業者定期!$A$29</f>
        <v>0</v>
      </c>
      <c r="B29" s="978">
        <f t="shared" ref="B29" si="19">IF(A29="","",WEEKDAY(A29))</f>
        <v>7</v>
      </c>
      <c r="C29" s="957" t="s">
        <v>362</v>
      </c>
      <c r="D29" s="958"/>
      <c r="E29" s="958"/>
      <c r="F29" s="958"/>
      <c r="G29" s="958"/>
      <c r="H29" s="958"/>
      <c r="I29" s="958"/>
      <c r="J29" s="959"/>
      <c r="K29" s="1116" t="s">
        <v>162</v>
      </c>
      <c r="L29" s="1024">
        <f>①業者定期!M29</f>
        <v>0</v>
      </c>
      <c r="M29" s="978">
        <f t="shared" ref="M29" si="20">IF(L29="","",WEEKDAY(L29))</f>
        <v>7</v>
      </c>
      <c r="N29" s="957" t="s">
        <v>362</v>
      </c>
      <c r="O29" s="958"/>
      <c r="P29" s="958"/>
      <c r="Q29" s="958"/>
      <c r="R29" s="958"/>
      <c r="S29" s="958"/>
      <c r="T29" s="958"/>
      <c r="U29" s="959"/>
      <c r="V29" s="1118" t="s">
        <v>162</v>
      </c>
    </row>
    <row r="30" spans="1:22" ht="13.5" customHeight="1">
      <c r="A30" s="996"/>
      <c r="B30" s="995"/>
      <c r="C30" s="957" t="s">
        <v>681</v>
      </c>
      <c r="D30" s="958"/>
      <c r="E30" s="958"/>
      <c r="F30" s="958"/>
      <c r="G30" s="958"/>
      <c r="H30" s="958"/>
      <c r="I30" s="958"/>
      <c r="J30" s="959"/>
      <c r="K30" s="1117"/>
      <c r="L30" s="1019"/>
      <c r="M30" s="979"/>
      <c r="N30" s="957" t="s">
        <v>681</v>
      </c>
      <c r="O30" s="958"/>
      <c r="P30" s="958"/>
      <c r="Q30" s="958"/>
      <c r="R30" s="958"/>
      <c r="S30" s="958"/>
      <c r="T30" s="958"/>
      <c r="U30" s="959"/>
      <c r="V30" s="1119"/>
    </row>
    <row r="31" spans="1:22" ht="13.5" customHeight="1">
      <c r="A31" s="992">
        <f>①業者定期!$A$31</f>
        <v>0</v>
      </c>
      <c r="B31" s="978">
        <f t="shared" ref="B31" si="21">IF(A31="","",WEEKDAY(A31))</f>
        <v>7</v>
      </c>
      <c r="C31" s="957" t="s">
        <v>362</v>
      </c>
      <c r="D31" s="958"/>
      <c r="E31" s="958"/>
      <c r="F31" s="958"/>
      <c r="G31" s="958"/>
      <c r="H31" s="958"/>
      <c r="I31" s="958"/>
      <c r="J31" s="959"/>
      <c r="K31" s="1116" t="s">
        <v>162</v>
      </c>
      <c r="L31" s="1024">
        <f>①業者定期!M31</f>
        <v>0</v>
      </c>
      <c r="M31" s="978">
        <f t="shared" ref="M31" si="22">IF(L31="","",WEEKDAY(L31))</f>
        <v>7</v>
      </c>
      <c r="N31" s="957" t="s">
        <v>362</v>
      </c>
      <c r="O31" s="958"/>
      <c r="P31" s="958"/>
      <c r="Q31" s="958"/>
      <c r="R31" s="958"/>
      <c r="S31" s="958"/>
      <c r="T31" s="958"/>
      <c r="U31" s="959"/>
      <c r="V31" s="1118" t="s">
        <v>162</v>
      </c>
    </row>
    <row r="32" spans="1:22" ht="13.5" customHeight="1">
      <c r="A32" s="996"/>
      <c r="B32" s="995"/>
      <c r="C32" s="957" t="s">
        <v>681</v>
      </c>
      <c r="D32" s="958"/>
      <c r="E32" s="958"/>
      <c r="F32" s="958"/>
      <c r="G32" s="958"/>
      <c r="H32" s="958"/>
      <c r="I32" s="958"/>
      <c r="J32" s="959"/>
      <c r="K32" s="1117"/>
      <c r="L32" s="1019"/>
      <c r="M32" s="979"/>
      <c r="N32" s="957" t="s">
        <v>681</v>
      </c>
      <c r="O32" s="958"/>
      <c r="P32" s="958"/>
      <c r="Q32" s="958"/>
      <c r="R32" s="958"/>
      <c r="S32" s="958"/>
      <c r="T32" s="958"/>
      <c r="U32" s="959"/>
      <c r="V32" s="1119"/>
    </row>
    <row r="33" spans="1:22" ht="13.5" customHeight="1">
      <c r="A33" s="992">
        <f>①業者定期!$A$33</f>
        <v>0</v>
      </c>
      <c r="B33" s="978">
        <f t="shared" ref="B33" si="23">IF(A33="","",WEEKDAY(A33))</f>
        <v>7</v>
      </c>
      <c r="C33" s="957" t="s">
        <v>362</v>
      </c>
      <c r="D33" s="958"/>
      <c r="E33" s="958"/>
      <c r="F33" s="958"/>
      <c r="G33" s="958"/>
      <c r="H33" s="958"/>
      <c r="I33" s="958"/>
      <c r="J33" s="959"/>
      <c r="K33" s="1116" t="s">
        <v>162</v>
      </c>
      <c r="L33" s="1024">
        <f>①業者定期!M33</f>
        <v>0</v>
      </c>
      <c r="M33" s="978">
        <f t="shared" ref="M33" si="24">IF(L33="","",WEEKDAY(L33))</f>
        <v>7</v>
      </c>
      <c r="N33" s="957"/>
      <c r="O33" s="958"/>
      <c r="P33" s="958"/>
      <c r="Q33" s="958"/>
      <c r="R33" s="958"/>
      <c r="S33" s="958"/>
      <c r="T33" s="958"/>
      <c r="U33" s="959"/>
      <c r="V33" s="1118"/>
    </row>
    <row r="34" spans="1:22" ht="13.5" customHeight="1">
      <c r="A34" s="996"/>
      <c r="B34" s="995"/>
      <c r="C34" s="957" t="s">
        <v>681</v>
      </c>
      <c r="D34" s="958"/>
      <c r="E34" s="958"/>
      <c r="F34" s="958"/>
      <c r="G34" s="958"/>
      <c r="H34" s="958"/>
      <c r="I34" s="958"/>
      <c r="J34" s="959"/>
      <c r="K34" s="1117"/>
      <c r="L34" s="1019"/>
      <c r="M34" s="995"/>
      <c r="N34" s="957"/>
      <c r="O34" s="958"/>
      <c r="P34" s="958"/>
      <c r="Q34" s="958"/>
      <c r="R34" s="958"/>
      <c r="S34" s="958"/>
      <c r="T34" s="958"/>
      <c r="U34" s="959"/>
      <c r="V34" s="1119"/>
    </row>
    <row r="35" spans="1:22" ht="13.5" customHeight="1">
      <c r="A35" s="992">
        <f>①業者定期!$A$35</f>
        <v>0</v>
      </c>
      <c r="B35" s="978">
        <f t="shared" ref="B35" si="25">IF(A35="","",WEEKDAY(A35))</f>
        <v>7</v>
      </c>
      <c r="C35" s="957"/>
      <c r="D35" s="958"/>
      <c r="E35" s="958"/>
      <c r="F35" s="958"/>
      <c r="G35" s="958"/>
      <c r="H35" s="958"/>
      <c r="I35" s="958"/>
      <c r="J35" s="959"/>
      <c r="K35" s="1116"/>
      <c r="L35" s="1024">
        <f>①業者定期!M35</f>
        <v>0</v>
      </c>
      <c r="M35" s="979">
        <f t="shared" ref="M35" si="26">IF(L35="","",WEEKDAY(L35))</f>
        <v>7</v>
      </c>
      <c r="N35" s="957"/>
      <c r="O35" s="958"/>
      <c r="P35" s="958"/>
      <c r="Q35" s="958"/>
      <c r="R35" s="958"/>
      <c r="S35" s="958"/>
      <c r="T35" s="958"/>
      <c r="U35" s="959"/>
      <c r="V35" s="1118"/>
    </row>
    <row r="36" spans="1:22" ht="13.5" customHeight="1">
      <c r="A36" s="996"/>
      <c r="B36" s="995"/>
      <c r="C36" s="957"/>
      <c r="D36" s="958"/>
      <c r="E36" s="958"/>
      <c r="F36" s="958"/>
      <c r="G36" s="958"/>
      <c r="H36" s="958"/>
      <c r="I36" s="958"/>
      <c r="J36" s="959"/>
      <c r="K36" s="1117"/>
      <c r="L36" s="1019"/>
      <c r="M36" s="995"/>
      <c r="N36" s="957"/>
      <c r="O36" s="958"/>
      <c r="P36" s="958"/>
      <c r="Q36" s="958"/>
      <c r="R36" s="958"/>
      <c r="S36" s="958"/>
      <c r="T36" s="958"/>
      <c r="U36" s="959"/>
      <c r="V36" s="1119"/>
    </row>
    <row r="37" spans="1:22">
      <c r="A37" s="1120"/>
      <c r="B37" s="1120"/>
      <c r="C37" s="957"/>
      <c r="D37" s="958"/>
      <c r="E37" s="958"/>
      <c r="F37" s="958"/>
      <c r="G37" s="958"/>
      <c r="H37" s="958"/>
      <c r="I37" s="958"/>
      <c r="J37" s="959"/>
      <c r="K37" s="1116"/>
      <c r="L37" s="1024"/>
      <c r="M37" s="978"/>
      <c r="N37" s="957"/>
      <c r="O37" s="958"/>
      <c r="P37" s="958"/>
      <c r="Q37" s="958"/>
      <c r="R37" s="958"/>
      <c r="S37" s="958"/>
      <c r="T37" s="958"/>
      <c r="U37" s="959"/>
      <c r="V37" s="1120"/>
    </row>
    <row r="38" spans="1:22">
      <c r="A38" s="1121"/>
      <c r="B38" s="1121"/>
      <c r="C38" s="1122"/>
      <c r="D38" s="1123"/>
      <c r="E38" s="1123"/>
      <c r="F38" s="1123"/>
      <c r="G38" s="1123"/>
      <c r="H38" s="1123"/>
      <c r="I38" s="1123"/>
      <c r="J38" s="1124"/>
      <c r="K38" s="1125"/>
      <c r="L38" s="1025"/>
      <c r="M38" s="1026"/>
      <c r="N38" s="1122"/>
      <c r="O38" s="1123"/>
      <c r="P38" s="1123"/>
      <c r="Q38" s="1123"/>
      <c r="R38" s="1123"/>
      <c r="S38" s="1123"/>
      <c r="T38" s="1123"/>
      <c r="U38" s="1124"/>
      <c r="V38" s="1121"/>
    </row>
    <row r="39" spans="1:22">
      <c r="B39" s="23" t="s">
        <v>684</v>
      </c>
      <c r="C39" s="174"/>
      <c r="D39" s="174"/>
      <c r="E39" s="174"/>
      <c r="F39" s="174"/>
      <c r="G39" s="174"/>
      <c r="H39" s="174"/>
      <c r="I39" s="174"/>
      <c r="J39" s="174"/>
    </row>
    <row r="49" spans="1:3">
      <c r="A49" s="25"/>
      <c r="B49" s="45"/>
      <c r="C49" s="45"/>
    </row>
    <row r="50" spans="1:3">
      <c r="A50" s="25"/>
      <c r="B50" s="45"/>
      <c r="C50" s="45"/>
    </row>
  </sheetData>
  <mergeCells count="163">
    <mergeCell ref="A35:A36"/>
    <mergeCell ref="B35:B36"/>
    <mergeCell ref="C35:J35"/>
    <mergeCell ref="K35:K36"/>
    <mergeCell ref="L35:L36"/>
    <mergeCell ref="M35:M36"/>
    <mergeCell ref="N35:U35"/>
    <mergeCell ref="V37:V38"/>
    <mergeCell ref="C38:J38"/>
    <mergeCell ref="N38:U38"/>
    <mergeCell ref="V35:V36"/>
    <mergeCell ref="C36:J36"/>
    <mergeCell ref="N36:U36"/>
    <mergeCell ref="A37:A38"/>
    <mergeCell ref="B37:B38"/>
    <mergeCell ref="C37:J37"/>
    <mergeCell ref="K37:K38"/>
    <mergeCell ref="L37:L38"/>
    <mergeCell ref="M37:M38"/>
    <mergeCell ref="N37:U37"/>
    <mergeCell ref="A33:A34"/>
    <mergeCell ref="B33:B34"/>
    <mergeCell ref="C33:J33"/>
    <mergeCell ref="K33:K34"/>
    <mergeCell ref="L33:L34"/>
    <mergeCell ref="M33:M34"/>
    <mergeCell ref="N33:U33"/>
    <mergeCell ref="V33:V34"/>
    <mergeCell ref="C34:J34"/>
    <mergeCell ref="N34:U34"/>
    <mergeCell ref="A31:A32"/>
    <mergeCell ref="B31:B32"/>
    <mergeCell ref="C31:J31"/>
    <mergeCell ref="K31:K32"/>
    <mergeCell ref="L31:L32"/>
    <mergeCell ref="M31:M32"/>
    <mergeCell ref="N31:U31"/>
    <mergeCell ref="V31:V32"/>
    <mergeCell ref="C32:J32"/>
    <mergeCell ref="N32:U32"/>
    <mergeCell ref="A29:A30"/>
    <mergeCell ref="B29:B30"/>
    <mergeCell ref="C29:J29"/>
    <mergeCell ref="K29:K30"/>
    <mergeCell ref="L29:L30"/>
    <mergeCell ref="M29:M30"/>
    <mergeCell ref="N29:U29"/>
    <mergeCell ref="V29:V30"/>
    <mergeCell ref="C30:J30"/>
    <mergeCell ref="N30:U30"/>
    <mergeCell ref="A27:A28"/>
    <mergeCell ref="B27:B28"/>
    <mergeCell ref="C27:J27"/>
    <mergeCell ref="K27:K28"/>
    <mergeCell ref="L27:L28"/>
    <mergeCell ref="M27:M28"/>
    <mergeCell ref="N27:U27"/>
    <mergeCell ref="V27:V28"/>
    <mergeCell ref="C28:J28"/>
    <mergeCell ref="N28:U28"/>
    <mergeCell ref="A25:A26"/>
    <mergeCell ref="B25:B26"/>
    <mergeCell ref="C25:J25"/>
    <mergeCell ref="K25:K26"/>
    <mergeCell ref="L25:L26"/>
    <mergeCell ref="M25:M26"/>
    <mergeCell ref="N25:U25"/>
    <mergeCell ref="V25:V26"/>
    <mergeCell ref="C26:J26"/>
    <mergeCell ref="N26:U26"/>
    <mergeCell ref="A23:A24"/>
    <mergeCell ref="B23:B24"/>
    <mergeCell ref="C23:J23"/>
    <mergeCell ref="K23:K24"/>
    <mergeCell ref="L23:L24"/>
    <mergeCell ref="M23:M24"/>
    <mergeCell ref="N23:U23"/>
    <mergeCell ref="V23:V24"/>
    <mergeCell ref="C24:J24"/>
    <mergeCell ref="N24:U24"/>
    <mergeCell ref="A21:A22"/>
    <mergeCell ref="B21:B22"/>
    <mergeCell ref="C21:J21"/>
    <mergeCell ref="K21:K22"/>
    <mergeCell ref="L21:L22"/>
    <mergeCell ref="M21:M22"/>
    <mergeCell ref="N21:U21"/>
    <mergeCell ref="V21:V22"/>
    <mergeCell ref="C22:J22"/>
    <mergeCell ref="N22:U22"/>
    <mergeCell ref="A19:A20"/>
    <mergeCell ref="B19:B20"/>
    <mergeCell ref="C19:J19"/>
    <mergeCell ref="K19:K20"/>
    <mergeCell ref="L19:L20"/>
    <mergeCell ref="M19:M20"/>
    <mergeCell ref="N19:U19"/>
    <mergeCell ref="V19:V20"/>
    <mergeCell ref="C20:J20"/>
    <mergeCell ref="N20:U20"/>
    <mergeCell ref="A17:A18"/>
    <mergeCell ref="B17:B18"/>
    <mergeCell ref="C17:J17"/>
    <mergeCell ref="K17:K18"/>
    <mergeCell ref="L17:L18"/>
    <mergeCell ref="M17:M18"/>
    <mergeCell ref="N17:U17"/>
    <mergeCell ref="V17:V18"/>
    <mergeCell ref="C18:J18"/>
    <mergeCell ref="N18:U18"/>
    <mergeCell ref="A15:A16"/>
    <mergeCell ref="B15:B16"/>
    <mergeCell ref="C15:J15"/>
    <mergeCell ref="K15:K16"/>
    <mergeCell ref="L15:L16"/>
    <mergeCell ref="M15:M16"/>
    <mergeCell ref="N15:U15"/>
    <mergeCell ref="V15:V16"/>
    <mergeCell ref="C16:J16"/>
    <mergeCell ref="N16:U16"/>
    <mergeCell ref="A13:A14"/>
    <mergeCell ref="B13:B14"/>
    <mergeCell ref="C13:J13"/>
    <mergeCell ref="K13:K14"/>
    <mergeCell ref="L13:L14"/>
    <mergeCell ref="M13:M14"/>
    <mergeCell ref="N13:U13"/>
    <mergeCell ref="V13:V14"/>
    <mergeCell ref="C14:J14"/>
    <mergeCell ref="N14:U14"/>
    <mergeCell ref="A11:A12"/>
    <mergeCell ref="B11:B12"/>
    <mergeCell ref="C11:J11"/>
    <mergeCell ref="K11:K12"/>
    <mergeCell ref="L11:L12"/>
    <mergeCell ref="M11:M12"/>
    <mergeCell ref="N11:U11"/>
    <mergeCell ref="V11:V12"/>
    <mergeCell ref="C12:J12"/>
    <mergeCell ref="N12:U12"/>
    <mergeCell ref="V7:V8"/>
    <mergeCell ref="C8:J8"/>
    <mergeCell ref="N8:U8"/>
    <mergeCell ref="A9:A10"/>
    <mergeCell ref="B9:B10"/>
    <mergeCell ref="C9:J9"/>
    <mergeCell ref="K9:K10"/>
    <mergeCell ref="L9:L10"/>
    <mergeCell ref="M9:M10"/>
    <mergeCell ref="N9:U9"/>
    <mergeCell ref="V9:V10"/>
    <mergeCell ref="C10:J10"/>
    <mergeCell ref="N10:U10"/>
    <mergeCell ref="A4:F4"/>
    <mergeCell ref="C6:J6"/>
    <mergeCell ref="N6:U6"/>
    <mergeCell ref="A7:A8"/>
    <mergeCell ref="B7:B8"/>
    <mergeCell ref="C7:J7"/>
    <mergeCell ref="K7:K8"/>
    <mergeCell ref="L7:L8"/>
    <mergeCell ref="M7:M8"/>
    <mergeCell ref="N7:U7"/>
  </mergeCells>
  <phoneticPr fontId="8"/>
  <conditionalFormatting sqref="L7:M38">
    <cfRule type="expression" dxfId="350" priority="20">
      <formula>WEEKDAY($L7)=1</formula>
    </cfRule>
    <cfRule type="expression" dxfId="349" priority="22" stopIfTrue="1">
      <formula>WEEKDAY(L7)=7</formula>
    </cfRule>
  </conditionalFormatting>
  <conditionalFormatting sqref="A7:B19 A21:B21 A23:B23 A27 A25:B25 A29:B36">
    <cfRule type="expression" dxfId="348" priority="2">
      <formula>WEEKDAY($A7)=7</formula>
    </cfRule>
    <cfRule type="expression" dxfId="347" priority="3">
      <formula>WEEKDAY($A7)=1</formula>
    </cfRule>
  </conditionalFormatting>
  <conditionalFormatting sqref="B27">
    <cfRule type="expression" dxfId="346" priority="4">
      <formula>WEEKDAY(#REF!)=7</formula>
    </cfRule>
    <cfRule type="expression" dxfId="345" priority="5">
      <formula>WEEKDAY(#REF!)=1</formula>
    </cfRule>
  </conditionalFormatting>
  <dataValidations count="1">
    <dataValidation type="list" allowBlank="1" showInputMessage="1" showErrorMessage="1" sqref="M7 M37 M11 M13 M15 M17 M19 M21 M23 M25 M27 M29 M31 M33 M35 M9 B35 B11 B7 B9 B13 B15 B17 B19 B21 B23 B25 B27 B29 B31 B33" xr:uid="{00000000-0002-0000-0600-000000000000}">
      <formula1>"日,月,火,水,木,金,土"</formula1>
    </dataValidation>
  </dataValidations>
  <pageMargins left="0.7" right="0.7" top="0.75" bottom="0.75" header="0.3" footer="0.3"/>
  <pageSetup paperSize="9" scale="68"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23" id="{EF96CFA9-1665-41C7-9F2C-A5A364986E1A}">
            <xm:f>COUNTIF(①業者定期!$AA$4:$AA$78,$L7)=1</xm:f>
            <x14:dxf>
              <font>
                <color rgb="FFFF0000"/>
              </font>
            </x14:dxf>
          </x14:cfRule>
          <xm:sqref>L7:M38</xm:sqref>
        </x14:conditionalFormatting>
        <x14:conditionalFormatting xmlns:xm="http://schemas.microsoft.com/office/excel/2006/main">
          <x14:cfRule type="expression" priority="1" id="{0444354F-D279-456B-91E9-FA7CC16A31E2}">
            <xm:f>COUNTIF(①業者定期!$AA$4:$AA$78,$A7)=1</xm:f>
            <x14:dxf>
              <font>
                <color rgb="FFFF0000"/>
              </font>
            </x14:dxf>
          </x14:cfRule>
          <xm:sqref>A7:B19 A21:B21 A23:B23 A27 A25:B25 A29:B36</xm:sqref>
        </x14:conditionalFormatting>
        <x14:conditionalFormatting xmlns:xm="http://schemas.microsoft.com/office/excel/2006/main">
          <x14:cfRule type="expression" priority="6" id="{60C6DC15-1A51-4CC0-9254-A88E403FA3B1}">
            <xm:f>COUNTIF(①業者定期!$AA$4:$AA$78,#REF!)=1</xm:f>
            <x14:dxf>
              <font>
                <color rgb="FFFF0000"/>
              </font>
            </x14:dxf>
          </x14:cfRule>
          <xm:sqref>B27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AC117"/>
  <sheetViews>
    <sheetView view="pageBreakPreview" topLeftCell="A5" zoomScaleNormal="100" zoomScaleSheetLayoutView="100" workbookViewId="0">
      <selection activeCell="E26" sqref="E26:J26"/>
    </sheetView>
  </sheetViews>
  <sheetFormatPr defaultColWidth="9" defaultRowHeight="12.75"/>
  <cols>
    <col min="1" max="16384" width="9" style="120"/>
  </cols>
  <sheetData>
    <row r="1" spans="1:28" ht="23.25" thickBot="1">
      <c r="A1" s="1" t="s">
        <v>19</v>
      </c>
      <c r="B1" s="2"/>
      <c r="C1" s="122"/>
      <c r="D1" s="122"/>
      <c r="E1" s="122"/>
      <c r="F1" s="122"/>
      <c r="G1" s="122"/>
      <c r="H1" s="122"/>
      <c r="I1" s="19"/>
      <c r="J1" s="122"/>
      <c r="K1" s="122"/>
      <c r="L1" s="122"/>
      <c r="M1" s="122"/>
      <c r="N1" s="122"/>
      <c r="O1" s="122"/>
      <c r="P1" s="122"/>
      <c r="Q1" s="122"/>
      <c r="R1" s="122"/>
      <c r="S1" s="122"/>
      <c r="T1" s="122"/>
      <c r="U1" s="122"/>
      <c r="V1" s="122"/>
      <c r="W1" s="122"/>
      <c r="X1" s="122"/>
      <c r="Y1" s="122"/>
      <c r="Z1" s="122"/>
      <c r="AA1" s="122"/>
      <c r="AB1" s="122"/>
    </row>
    <row r="2" spans="1:28" ht="17.25" customHeight="1" thickTop="1">
      <c r="A2" s="5"/>
      <c r="B2" s="6"/>
      <c r="I2" s="20"/>
    </row>
    <row r="3" spans="1:28" ht="17.25" customHeight="1">
      <c r="A3" s="5"/>
      <c r="B3" s="6"/>
      <c r="I3" s="20"/>
      <c r="L3" s="100"/>
    </row>
    <row r="4" spans="1:28" s="7" customFormat="1" ht="18" customHeight="1">
      <c r="A4" s="1060" t="s">
        <v>97</v>
      </c>
      <c r="B4" s="1061"/>
      <c r="C4" s="1061"/>
      <c r="D4" s="1062"/>
      <c r="E4" s="15"/>
    </row>
    <row r="5" spans="1:28" s="7" customFormat="1" ht="14.1" customHeight="1"/>
    <row r="6" spans="1:28" ht="15" customHeight="1">
      <c r="A6" s="407" t="s">
        <v>5</v>
      </c>
      <c r="B6" s="407" t="s">
        <v>6</v>
      </c>
      <c r="C6" s="1056" t="s">
        <v>7</v>
      </c>
      <c r="D6" s="1057"/>
      <c r="E6" s="1056" t="s">
        <v>11</v>
      </c>
      <c r="F6" s="1059"/>
      <c r="G6" s="1059"/>
      <c r="H6" s="1059"/>
      <c r="I6" s="1059"/>
      <c r="J6" s="1057"/>
      <c r="K6" s="1056" t="s">
        <v>12</v>
      </c>
      <c r="L6" s="1059"/>
      <c r="M6" s="1057"/>
      <c r="N6" s="16" t="s">
        <v>13</v>
      </c>
      <c r="O6" s="408" t="s">
        <v>5</v>
      </c>
      <c r="P6" s="408" t="s">
        <v>6</v>
      </c>
      <c r="Q6" s="1056" t="s">
        <v>7</v>
      </c>
      <c r="R6" s="1057"/>
      <c r="S6" s="1056" t="s">
        <v>11</v>
      </c>
      <c r="T6" s="1059"/>
      <c r="U6" s="1059"/>
      <c r="V6" s="1059"/>
      <c r="W6" s="1059"/>
      <c r="X6" s="1057"/>
      <c r="Y6" s="1056" t="s">
        <v>12</v>
      </c>
      <c r="Z6" s="1059"/>
      <c r="AA6" s="1057"/>
      <c r="AB6" s="407" t="s">
        <v>13</v>
      </c>
    </row>
    <row r="7" spans="1:28" ht="13.5" customHeight="1">
      <c r="A7" s="1043"/>
      <c r="B7" s="1045"/>
      <c r="C7" s="948" t="s">
        <v>702</v>
      </c>
      <c r="D7" s="949"/>
      <c r="E7" s="954" t="s">
        <v>704</v>
      </c>
      <c r="F7" s="955"/>
      <c r="G7" s="955"/>
      <c r="H7" s="955"/>
      <c r="I7" s="955"/>
      <c r="J7" s="956"/>
      <c r="K7" s="954" t="s">
        <v>705</v>
      </c>
      <c r="L7" s="955"/>
      <c r="M7" s="956"/>
      <c r="N7" s="101" t="s">
        <v>706</v>
      </c>
      <c r="O7" s="1018"/>
      <c r="P7" s="1045"/>
      <c r="Q7" s="948"/>
      <c r="R7" s="949"/>
      <c r="S7" s="954"/>
      <c r="T7" s="955"/>
      <c r="U7" s="955"/>
      <c r="V7" s="955"/>
      <c r="W7" s="955"/>
      <c r="X7" s="956"/>
      <c r="Y7" s="1142"/>
      <c r="Z7" s="1143"/>
      <c r="AA7" s="1144"/>
      <c r="AB7" s="906"/>
    </row>
    <row r="8" spans="1:28" ht="13.5" customHeight="1">
      <c r="A8" s="1044"/>
      <c r="B8" s="995"/>
      <c r="C8" s="948"/>
      <c r="D8" s="949"/>
      <c r="E8" s="954" t="s">
        <v>703</v>
      </c>
      <c r="F8" s="955"/>
      <c r="G8" s="955"/>
      <c r="H8" s="955"/>
      <c r="I8" s="955"/>
      <c r="J8" s="956"/>
      <c r="K8" s="954"/>
      <c r="L8" s="955"/>
      <c r="M8" s="956"/>
      <c r="N8" s="101"/>
      <c r="O8" s="1035"/>
      <c r="P8" s="995"/>
      <c r="Q8" s="948"/>
      <c r="R8" s="949"/>
      <c r="S8" s="954"/>
      <c r="T8" s="955"/>
      <c r="U8" s="955"/>
      <c r="V8" s="955"/>
      <c r="W8" s="955"/>
      <c r="X8" s="956"/>
      <c r="Y8" s="954"/>
      <c r="Z8" s="955"/>
      <c r="AA8" s="956"/>
      <c r="AB8" s="184"/>
    </row>
    <row r="9" spans="1:28" ht="13.5" customHeight="1">
      <c r="A9" s="992"/>
      <c r="B9" s="978"/>
      <c r="C9" s="948" t="s">
        <v>707</v>
      </c>
      <c r="D9" s="949"/>
      <c r="E9" s="954" t="s">
        <v>708</v>
      </c>
      <c r="F9" s="955"/>
      <c r="G9" s="955"/>
      <c r="H9" s="955"/>
      <c r="I9" s="955"/>
      <c r="J9" s="956"/>
      <c r="K9" s="954" t="s">
        <v>709</v>
      </c>
      <c r="L9" s="955"/>
      <c r="M9" s="956"/>
      <c r="N9" s="101" t="s">
        <v>706</v>
      </c>
      <c r="O9" s="1024"/>
      <c r="P9" s="978"/>
      <c r="Q9" s="948" t="s">
        <v>710</v>
      </c>
      <c r="R9" s="949"/>
      <c r="S9" s="954" t="s">
        <v>728</v>
      </c>
      <c r="T9" s="955"/>
      <c r="U9" s="955"/>
      <c r="V9" s="955"/>
      <c r="W9" s="955"/>
      <c r="X9" s="956"/>
      <c r="Y9" s="954" t="s">
        <v>729</v>
      </c>
      <c r="Z9" s="955"/>
      <c r="AA9" s="956"/>
      <c r="AB9" s="184" t="s">
        <v>706</v>
      </c>
    </row>
    <row r="10" spans="1:28" ht="13.5" customHeight="1">
      <c r="A10" s="996"/>
      <c r="B10" s="995"/>
      <c r="C10" s="948"/>
      <c r="D10" s="949"/>
      <c r="E10" s="954"/>
      <c r="F10" s="955"/>
      <c r="G10" s="955"/>
      <c r="H10" s="955"/>
      <c r="I10" s="955"/>
      <c r="J10" s="956"/>
      <c r="K10" s="954"/>
      <c r="L10" s="955"/>
      <c r="M10" s="956"/>
      <c r="N10" s="101"/>
      <c r="O10" s="1035"/>
      <c r="P10" s="995"/>
      <c r="Q10" s="948"/>
      <c r="R10" s="949"/>
      <c r="S10" s="954"/>
      <c r="T10" s="955"/>
      <c r="U10" s="955"/>
      <c r="V10" s="955"/>
      <c r="W10" s="955"/>
      <c r="X10" s="956"/>
      <c r="Y10" s="954"/>
      <c r="Z10" s="955"/>
      <c r="AA10" s="956"/>
      <c r="AB10" s="102"/>
    </row>
    <row r="11" spans="1:28" ht="13.5" customHeight="1">
      <c r="A11" s="992"/>
      <c r="B11" s="978"/>
      <c r="C11" s="948" t="s">
        <v>707</v>
      </c>
      <c r="D11" s="949"/>
      <c r="E11" s="954" t="s">
        <v>718</v>
      </c>
      <c r="F11" s="955"/>
      <c r="G11" s="955"/>
      <c r="H11" s="955"/>
      <c r="I11" s="955"/>
      <c r="J11" s="956"/>
      <c r="K11" s="948" t="s">
        <v>719</v>
      </c>
      <c r="L11" s="953"/>
      <c r="M11" s="949"/>
      <c r="N11" s="184" t="s">
        <v>706</v>
      </c>
      <c r="O11" s="1024"/>
      <c r="P11" s="978"/>
      <c r="Q11" s="1022" t="s">
        <v>716</v>
      </c>
      <c r="R11" s="1023"/>
      <c r="S11" s="1150" t="s">
        <v>731</v>
      </c>
      <c r="T11" s="1151"/>
      <c r="U11" s="1151"/>
      <c r="V11" s="1151"/>
      <c r="W11" s="1151"/>
      <c r="X11" s="1152"/>
      <c r="Y11" s="950" t="s">
        <v>732</v>
      </c>
      <c r="Z11" s="951"/>
      <c r="AA11" s="952"/>
      <c r="AB11" s="1126" t="s">
        <v>706</v>
      </c>
    </row>
    <row r="12" spans="1:28" ht="13.5" customHeight="1">
      <c r="A12" s="996"/>
      <c r="B12" s="995"/>
      <c r="C12" s="948"/>
      <c r="D12" s="949"/>
      <c r="E12" s="954"/>
      <c r="F12" s="955"/>
      <c r="G12" s="955"/>
      <c r="H12" s="955"/>
      <c r="I12" s="955"/>
      <c r="J12" s="956"/>
      <c r="K12" s="954"/>
      <c r="L12" s="955"/>
      <c r="M12" s="956"/>
      <c r="N12" s="101"/>
      <c r="O12" s="1035"/>
      <c r="P12" s="995"/>
      <c r="Q12" s="1148"/>
      <c r="R12" s="1149"/>
      <c r="S12" s="1153"/>
      <c r="T12" s="1154"/>
      <c r="U12" s="1154"/>
      <c r="V12" s="1154"/>
      <c r="W12" s="1154"/>
      <c r="X12" s="1155"/>
      <c r="Y12" s="1156"/>
      <c r="Z12" s="1157"/>
      <c r="AA12" s="1158"/>
      <c r="AB12" s="1067"/>
    </row>
    <row r="13" spans="1:28" ht="13.5" customHeight="1">
      <c r="A13" s="992"/>
      <c r="B13" s="978"/>
      <c r="C13" s="948"/>
      <c r="D13" s="949"/>
      <c r="E13" s="954"/>
      <c r="F13" s="955"/>
      <c r="G13" s="955"/>
      <c r="H13" s="955"/>
      <c r="I13" s="955"/>
      <c r="J13" s="956"/>
      <c r="K13" s="954"/>
      <c r="L13" s="955"/>
      <c r="M13" s="956"/>
      <c r="N13" s="101"/>
      <c r="O13" s="1024"/>
      <c r="P13" s="978"/>
      <c r="Q13" s="948"/>
      <c r="R13" s="949"/>
      <c r="S13" s="954"/>
      <c r="T13" s="955"/>
      <c r="U13" s="955"/>
      <c r="V13" s="955"/>
      <c r="W13" s="955"/>
      <c r="X13" s="956"/>
      <c r="Y13" s="948"/>
      <c r="Z13" s="953"/>
      <c r="AA13" s="949"/>
      <c r="AB13" s="178"/>
    </row>
    <row r="14" spans="1:28" ht="13.5" customHeight="1">
      <c r="A14" s="996"/>
      <c r="B14" s="995"/>
      <c r="C14" s="948"/>
      <c r="D14" s="949"/>
      <c r="E14" s="954"/>
      <c r="F14" s="955"/>
      <c r="G14" s="955"/>
      <c r="H14" s="955"/>
      <c r="I14" s="955"/>
      <c r="J14" s="956"/>
      <c r="K14" s="954"/>
      <c r="L14" s="955"/>
      <c r="M14" s="956"/>
      <c r="N14" s="101"/>
      <c r="O14" s="1035"/>
      <c r="P14" s="995"/>
      <c r="Q14" s="948"/>
      <c r="R14" s="949"/>
      <c r="S14" s="954"/>
      <c r="T14" s="955"/>
      <c r="U14" s="955"/>
      <c r="V14" s="955"/>
      <c r="W14" s="955"/>
      <c r="X14" s="956"/>
      <c r="Y14" s="948"/>
      <c r="Z14" s="953"/>
      <c r="AA14" s="949"/>
      <c r="AB14" s="102"/>
    </row>
    <row r="15" spans="1:28" ht="13.5" customHeight="1">
      <c r="A15" s="992"/>
      <c r="B15" s="978"/>
      <c r="C15" s="948"/>
      <c r="D15" s="949"/>
      <c r="E15" s="954"/>
      <c r="F15" s="955"/>
      <c r="G15" s="955"/>
      <c r="H15" s="955"/>
      <c r="I15" s="955"/>
      <c r="J15" s="956"/>
      <c r="K15" s="954"/>
      <c r="L15" s="955"/>
      <c r="M15" s="956"/>
      <c r="N15" s="101"/>
      <c r="O15" s="1024"/>
      <c r="P15" s="978"/>
      <c r="Q15" s="948" t="s">
        <v>707</v>
      </c>
      <c r="R15" s="949"/>
      <c r="S15" s="954" t="s">
        <v>736</v>
      </c>
      <c r="T15" s="955"/>
      <c r="U15" s="955"/>
      <c r="V15" s="955"/>
      <c r="W15" s="955"/>
      <c r="X15" s="956"/>
      <c r="Y15" s="1142" t="s">
        <v>738</v>
      </c>
      <c r="Z15" s="1143"/>
      <c r="AA15" s="1144"/>
      <c r="AB15" s="184" t="s">
        <v>706</v>
      </c>
    </row>
    <row r="16" spans="1:28" ht="13.5" customHeight="1">
      <c r="A16" s="996"/>
      <c r="B16" s="995"/>
      <c r="C16" s="948"/>
      <c r="D16" s="949"/>
      <c r="E16" s="954"/>
      <c r="F16" s="955"/>
      <c r="G16" s="955"/>
      <c r="H16" s="955"/>
      <c r="I16" s="955"/>
      <c r="J16" s="956"/>
      <c r="K16" s="954"/>
      <c r="L16" s="955"/>
      <c r="M16" s="956"/>
      <c r="N16" s="101"/>
      <c r="O16" s="1035"/>
      <c r="P16" s="995"/>
      <c r="Q16" s="948" t="s">
        <v>710</v>
      </c>
      <c r="R16" s="949"/>
      <c r="S16" s="954" t="s">
        <v>737</v>
      </c>
      <c r="T16" s="955"/>
      <c r="U16" s="955"/>
      <c r="V16" s="955"/>
      <c r="W16" s="955"/>
      <c r="X16" s="956"/>
      <c r="Y16" s="948" t="s">
        <v>777</v>
      </c>
      <c r="Z16" s="953"/>
      <c r="AA16" s="949"/>
      <c r="AB16" s="102" t="s">
        <v>706</v>
      </c>
    </row>
    <row r="17" spans="1:28" ht="13.5" customHeight="1">
      <c r="A17" s="992"/>
      <c r="B17" s="978"/>
      <c r="C17" s="948"/>
      <c r="D17" s="949"/>
      <c r="E17" s="954"/>
      <c r="F17" s="955"/>
      <c r="G17" s="955"/>
      <c r="H17" s="955"/>
      <c r="I17" s="955"/>
      <c r="J17" s="956"/>
      <c r="K17" s="948"/>
      <c r="L17" s="953"/>
      <c r="M17" s="949"/>
      <c r="N17" s="101"/>
      <c r="O17" s="1024"/>
      <c r="P17" s="978"/>
      <c r="Q17" s="948"/>
      <c r="R17" s="949"/>
      <c r="S17" s="954"/>
      <c r="T17" s="955"/>
      <c r="U17" s="955"/>
      <c r="V17" s="955"/>
      <c r="W17" s="955"/>
      <c r="X17" s="956"/>
      <c r="Y17" s="954"/>
      <c r="Z17" s="955"/>
      <c r="AA17" s="956"/>
      <c r="AB17" s="184"/>
    </row>
    <row r="18" spans="1:28" ht="13.5" customHeight="1">
      <c r="A18" s="996"/>
      <c r="B18" s="995"/>
      <c r="C18" s="948"/>
      <c r="D18" s="949"/>
      <c r="E18" s="954"/>
      <c r="F18" s="955"/>
      <c r="G18" s="955"/>
      <c r="H18" s="955"/>
      <c r="I18" s="955"/>
      <c r="J18" s="956"/>
      <c r="K18" s="954"/>
      <c r="L18" s="955"/>
      <c r="M18" s="956"/>
      <c r="N18" s="101"/>
      <c r="O18" s="1035"/>
      <c r="P18" s="995"/>
      <c r="Q18" s="948"/>
      <c r="R18" s="949"/>
      <c r="S18" s="954"/>
      <c r="T18" s="955"/>
      <c r="U18" s="955"/>
      <c r="V18" s="955"/>
      <c r="W18" s="955"/>
      <c r="X18" s="956"/>
      <c r="Y18" s="954"/>
      <c r="Z18" s="955"/>
      <c r="AA18" s="956"/>
      <c r="AB18" s="184"/>
    </row>
    <row r="19" spans="1:28" ht="13.5" customHeight="1">
      <c r="A19" s="992"/>
      <c r="B19" s="978"/>
      <c r="C19" s="948" t="s">
        <v>707</v>
      </c>
      <c r="D19" s="949"/>
      <c r="E19" s="954" t="s">
        <v>720</v>
      </c>
      <c r="F19" s="955"/>
      <c r="G19" s="955"/>
      <c r="H19" s="955"/>
      <c r="I19" s="955"/>
      <c r="J19" s="956"/>
      <c r="K19" s="948" t="s">
        <v>721</v>
      </c>
      <c r="L19" s="953"/>
      <c r="M19" s="949"/>
      <c r="N19" s="101" t="s">
        <v>706</v>
      </c>
      <c r="O19" s="1024"/>
      <c r="P19" s="978"/>
      <c r="Q19" s="948"/>
      <c r="R19" s="949"/>
      <c r="S19" s="954"/>
      <c r="T19" s="955"/>
      <c r="U19" s="955"/>
      <c r="V19" s="955"/>
      <c r="W19" s="955"/>
      <c r="X19" s="956"/>
      <c r="Y19" s="948"/>
      <c r="Z19" s="953"/>
      <c r="AA19" s="949"/>
      <c r="AB19" s="184"/>
    </row>
    <row r="20" spans="1:28" ht="13.5" customHeight="1">
      <c r="A20" s="996"/>
      <c r="B20" s="995"/>
      <c r="C20" s="948"/>
      <c r="D20" s="949"/>
      <c r="E20" s="954"/>
      <c r="F20" s="955"/>
      <c r="G20" s="955"/>
      <c r="H20" s="955"/>
      <c r="I20" s="955"/>
      <c r="J20" s="956"/>
      <c r="K20" s="948"/>
      <c r="L20" s="953"/>
      <c r="M20" s="949"/>
      <c r="N20" s="101"/>
      <c r="O20" s="1035"/>
      <c r="P20" s="995"/>
      <c r="Q20" s="948"/>
      <c r="R20" s="949"/>
      <c r="S20" s="954"/>
      <c r="T20" s="955"/>
      <c r="U20" s="955"/>
      <c r="V20" s="955"/>
      <c r="W20" s="955"/>
      <c r="X20" s="956"/>
      <c r="Y20" s="954"/>
      <c r="Z20" s="955"/>
      <c r="AA20" s="956"/>
      <c r="AB20" s="102"/>
    </row>
    <row r="21" spans="1:28" ht="13.5" customHeight="1">
      <c r="A21" s="992"/>
      <c r="B21" s="978"/>
      <c r="C21" s="948"/>
      <c r="D21" s="949"/>
      <c r="E21" s="954"/>
      <c r="F21" s="955"/>
      <c r="G21" s="955"/>
      <c r="H21" s="955"/>
      <c r="I21" s="955"/>
      <c r="J21" s="956"/>
      <c r="K21" s="948"/>
      <c r="L21" s="953"/>
      <c r="M21" s="949"/>
      <c r="N21" s="101"/>
      <c r="O21" s="1024"/>
      <c r="P21" s="978"/>
      <c r="Q21" s="948"/>
      <c r="R21" s="949"/>
      <c r="S21" s="954"/>
      <c r="T21" s="955"/>
      <c r="U21" s="955"/>
      <c r="V21" s="955"/>
      <c r="W21" s="955"/>
      <c r="X21" s="956"/>
      <c r="Y21" s="948"/>
      <c r="Z21" s="953"/>
      <c r="AA21" s="949"/>
      <c r="AB21" s="184"/>
    </row>
    <row r="22" spans="1:28" ht="13.5" customHeight="1">
      <c r="A22" s="996"/>
      <c r="B22" s="995"/>
      <c r="C22" s="948"/>
      <c r="D22" s="949"/>
      <c r="E22" s="954"/>
      <c r="F22" s="955"/>
      <c r="G22" s="955"/>
      <c r="H22" s="955"/>
      <c r="I22" s="955"/>
      <c r="J22" s="956"/>
      <c r="K22" s="954"/>
      <c r="L22" s="955"/>
      <c r="M22" s="956"/>
      <c r="N22" s="101"/>
      <c r="O22" s="1035"/>
      <c r="P22" s="995"/>
      <c r="Q22" s="948"/>
      <c r="R22" s="949"/>
      <c r="S22" s="954"/>
      <c r="T22" s="955"/>
      <c r="U22" s="955"/>
      <c r="V22" s="955"/>
      <c r="W22" s="955"/>
      <c r="X22" s="956"/>
      <c r="Y22" s="954"/>
      <c r="Z22" s="955"/>
      <c r="AA22" s="956"/>
      <c r="AB22" s="184"/>
    </row>
    <row r="23" spans="1:28" ht="13.5" customHeight="1">
      <c r="A23" s="992"/>
      <c r="B23" s="978"/>
      <c r="C23" s="948"/>
      <c r="D23" s="949"/>
      <c r="E23" s="1145"/>
      <c r="F23" s="1146"/>
      <c r="G23" s="1146"/>
      <c r="H23" s="1146"/>
      <c r="I23" s="1146"/>
      <c r="J23" s="1147"/>
      <c r="K23" s="1142"/>
      <c r="L23" s="1143"/>
      <c r="M23" s="1144"/>
      <c r="N23" s="101"/>
      <c r="O23" s="1024"/>
      <c r="P23" s="978"/>
      <c r="Q23" s="948"/>
      <c r="R23" s="949"/>
      <c r="S23" s="954"/>
      <c r="T23" s="955"/>
      <c r="U23" s="955"/>
      <c r="V23" s="955"/>
      <c r="W23" s="955"/>
      <c r="X23" s="956"/>
      <c r="Y23" s="954"/>
      <c r="Z23" s="955"/>
      <c r="AA23" s="956"/>
      <c r="AB23" s="184"/>
    </row>
    <row r="24" spans="1:28" ht="13.5" customHeight="1">
      <c r="A24" s="996"/>
      <c r="B24" s="995"/>
      <c r="C24" s="948"/>
      <c r="D24" s="949"/>
      <c r="E24" s="1145"/>
      <c r="F24" s="1146"/>
      <c r="G24" s="1146"/>
      <c r="H24" s="1146"/>
      <c r="I24" s="1146"/>
      <c r="J24" s="1147"/>
      <c r="K24" s="1142"/>
      <c r="L24" s="1143"/>
      <c r="M24" s="1144"/>
      <c r="N24" s="895"/>
      <c r="O24" s="1035"/>
      <c r="P24" s="995"/>
      <c r="Q24" s="948"/>
      <c r="R24" s="949"/>
      <c r="S24" s="954"/>
      <c r="T24" s="955"/>
      <c r="U24" s="955"/>
      <c r="V24" s="955"/>
      <c r="W24" s="955"/>
      <c r="X24" s="956"/>
      <c r="Y24" s="948"/>
      <c r="Z24" s="953"/>
      <c r="AA24" s="949"/>
      <c r="AB24" s="184"/>
    </row>
    <row r="25" spans="1:28" ht="13.5" customHeight="1">
      <c r="A25" s="992"/>
      <c r="B25" s="978"/>
      <c r="C25" s="948"/>
      <c r="D25" s="949"/>
      <c r="E25" s="954"/>
      <c r="F25" s="955"/>
      <c r="G25" s="955"/>
      <c r="H25" s="955"/>
      <c r="I25" s="955"/>
      <c r="J25" s="956"/>
      <c r="K25" s="1142"/>
      <c r="L25" s="1143"/>
      <c r="M25" s="1144"/>
      <c r="N25" s="101"/>
      <c r="O25" s="1024"/>
      <c r="P25" s="978"/>
      <c r="Q25" s="948" t="s">
        <v>707</v>
      </c>
      <c r="R25" s="949"/>
      <c r="S25" s="954" t="s">
        <v>741</v>
      </c>
      <c r="T25" s="955"/>
      <c r="U25" s="955"/>
      <c r="V25" s="955"/>
      <c r="W25" s="955"/>
      <c r="X25" s="956"/>
      <c r="Y25" s="954" t="s">
        <v>742</v>
      </c>
      <c r="Z25" s="955"/>
      <c r="AA25" s="956"/>
      <c r="AB25" s="184" t="s">
        <v>706</v>
      </c>
    </row>
    <row r="26" spans="1:28" ht="15.75" customHeight="1">
      <c r="A26" s="996"/>
      <c r="B26" s="995"/>
      <c r="C26" s="948"/>
      <c r="D26" s="949"/>
      <c r="E26" s="954"/>
      <c r="F26" s="955"/>
      <c r="G26" s="955"/>
      <c r="H26" s="955"/>
      <c r="I26" s="955"/>
      <c r="J26" s="956"/>
      <c r="K26" s="954"/>
      <c r="L26" s="955"/>
      <c r="M26" s="956"/>
      <c r="N26" s="101"/>
      <c r="O26" s="1035"/>
      <c r="P26" s="995"/>
      <c r="Q26" s="948"/>
      <c r="R26" s="949"/>
      <c r="S26" s="954"/>
      <c r="T26" s="955"/>
      <c r="U26" s="955"/>
      <c r="V26" s="955"/>
      <c r="W26" s="955"/>
      <c r="X26" s="956"/>
      <c r="Y26" s="954"/>
      <c r="Z26" s="955"/>
      <c r="AA26" s="956"/>
      <c r="AB26" s="184"/>
    </row>
    <row r="27" spans="1:28" ht="13.5" customHeight="1">
      <c r="A27" s="992"/>
      <c r="B27" s="978"/>
      <c r="C27" s="948"/>
      <c r="D27" s="949"/>
      <c r="E27" s="954"/>
      <c r="F27" s="955"/>
      <c r="G27" s="955"/>
      <c r="H27" s="955"/>
      <c r="I27" s="955"/>
      <c r="J27" s="956"/>
      <c r="K27" s="954"/>
      <c r="L27" s="955"/>
      <c r="M27" s="956"/>
      <c r="N27" s="101"/>
      <c r="O27" s="1024"/>
      <c r="P27" s="978"/>
      <c r="Q27" s="948"/>
      <c r="R27" s="949"/>
      <c r="S27" s="954"/>
      <c r="T27" s="955"/>
      <c r="U27" s="955"/>
      <c r="V27" s="955"/>
      <c r="W27" s="955"/>
      <c r="X27" s="956"/>
      <c r="Y27" s="954"/>
      <c r="Z27" s="955"/>
      <c r="AA27" s="956"/>
      <c r="AB27" s="184"/>
    </row>
    <row r="28" spans="1:28" ht="13.5" customHeight="1">
      <c r="A28" s="996"/>
      <c r="B28" s="995"/>
      <c r="C28" s="948"/>
      <c r="D28" s="949"/>
      <c r="E28" s="954"/>
      <c r="F28" s="955"/>
      <c r="G28" s="955"/>
      <c r="H28" s="955"/>
      <c r="I28" s="955"/>
      <c r="J28" s="956"/>
      <c r="K28" s="954"/>
      <c r="L28" s="955"/>
      <c r="M28" s="956"/>
      <c r="N28" s="101"/>
      <c r="O28" s="1035"/>
      <c r="P28" s="995"/>
      <c r="Q28" s="948"/>
      <c r="R28" s="949"/>
      <c r="S28" s="954"/>
      <c r="T28" s="955"/>
      <c r="U28" s="955"/>
      <c r="V28" s="955"/>
      <c r="W28" s="955"/>
      <c r="X28" s="956"/>
      <c r="Y28" s="954"/>
      <c r="Z28" s="955"/>
      <c r="AA28" s="956"/>
      <c r="AB28" s="102"/>
    </row>
    <row r="29" spans="1:28" ht="13.5" customHeight="1">
      <c r="A29" s="992"/>
      <c r="B29" s="978"/>
      <c r="C29" s="948"/>
      <c r="D29" s="949"/>
      <c r="E29" s="954"/>
      <c r="F29" s="955"/>
      <c r="G29" s="955"/>
      <c r="H29" s="955"/>
      <c r="I29" s="955"/>
      <c r="J29" s="956"/>
      <c r="K29" s="948"/>
      <c r="L29" s="953"/>
      <c r="M29" s="949"/>
      <c r="N29" s="101"/>
      <c r="O29" s="1024"/>
      <c r="P29" s="978"/>
      <c r="Q29" s="948"/>
      <c r="R29" s="949"/>
      <c r="S29" s="954"/>
      <c r="T29" s="955"/>
      <c r="U29" s="955"/>
      <c r="V29" s="955"/>
      <c r="W29" s="955"/>
      <c r="X29" s="956"/>
      <c r="Y29" s="948"/>
      <c r="Z29" s="953"/>
      <c r="AA29" s="949"/>
      <c r="AB29" s="184"/>
    </row>
    <row r="30" spans="1:28" ht="13.5" customHeight="1">
      <c r="A30" s="996"/>
      <c r="B30" s="995"/>
      <c r="C30" s="948"/>
      <c r="D30" s="949"/>
      <c r="E30" s="954"/>
      <c r="F30" s="955"/>
      <c r="G30" s="955"/>
      <c r="H30" s="955"/>
      <c r="I30" s="955"/>
      <c r="J30" s="956"/>
      <c r="K30" s="948"/>
      <c r="L30" s="953"/>
      <c r="M30" s="949"/>
      <c r="N30" s="101"/>
      <c r="O30" s="1035"/>
      <c r="P30" s="995"/>
      <c r="Q30" s="948"/>
      <c r="R30" s="949"/>
      <c r="S30" s="954"/>
      <c r="T30" s="955"/>
      <c r="U30" s="955"/>
      <c r="V30" s="955"/>
      <c r="W30" s="955"/>
      <c r="X30" s="956"/>
      <c r="Y30" s="954"/>
      <c r="Z30" s="955"/>
      <c r="AA30" s="956"/>
      <c r="AB30" s="102"/>
    </row>
    <row r="31" spans="1:28" ht="13.5" customHeight="1">
      <c r="A31" s="992"/>
      <c r="B31" s="978"/>
      <c r="C31" s="948"/>
      <c r="D31" s="949"/>
      <c r="E31" s="954"/>
      <c r="F31" s="955"/>
      <c r="G31" s="955"/>
      <c r="H31" s="955"/>
      <c r="I31" s="955"/>
      <c r="J31" s="956"/>
      <c r="K31" s="948"/>
      <c r="L31" s="953"/>
      <c r="M31" s="949"/>
      <c r="N31" s="101"/>
      <c r="O31" s="1024"/>
      <c r="P31" s="978"/>
      <c r="Q31" s="948"/>
      <c r="R31" s="949"/>
      <c r="S31" s="954"/>
      <c r="T31" s="955"/>
      <c r="U31" s="955"/>
      <c r="V31" s="955"/>
      <c r="W31" s="955"/>
      <c r="X31" s="956"/>
      <c r="Y31" s="948"/>
      <c r="Z31" s="953"/>
      <c r="AA31" s="949"/>
      <c r="AB31" s="184"/>
    </row>
    <row r="32" spans="1:28" ht="13.5" customHeight="1">
      <c r="A32" s="996"/>
      <c r="B32" s="995"/>
      <c r="C32" s="948"/>
      <c r="D32" s="949"/>
      <c r="E32" s="954"/>
      <c r="F32" s="955"/>
      <c r="G32" s="955"/>
      <c r="H32" s="955"/>
      <c r="I32" s="955"/>
      <c r="J32" s="956"/>
      <c r="K32" s="948"/>
      <c r="L32" s="953"/>
      <c r="M32" s="949"/>
      <c r="N32" s="101"/>
      <c r="O32" s="1035"/>
      <c r="P32" s="995"/>
      <c r="Q32" s="948"/>
      <c r="R32" s="949"/>
      <c r="S32" s="954"/>
      <c r="T32" s="955"/>
      <c r="U32" s="955"/>
      <c r="V32" s="955"/>
      <c r="W32" s="955"/>
      <c r="X32" s="956"/>
      <c r="Y32" s="954"/>
      <c r="Z32" s="955"/>
      <c r="AA32" s="956"/>
      <c r="AB32" s="102"/>
    </row>
    <row r="33" spans="1:28" ht="13.5" customHeight="1">
      <c r="A33" s="992"/>
      <c r="B33" s="978"/>
      <c r="C33" s="948" t="s">
        <v>770</v>
      </c>
      <c r="D33" s="949"/>
      <c r="E33" s="954" t="s">
        <v>771</v>
      </c>
      <c r="F33" s="955"/>
      <c r="G33" s="955"/>
      <c r="H33" s="955"/>
      <c r="I33" s="955"/>
      <c r="J33" s="956"/>
      <c r="K33" s="948" t="s">
        <v>775</v>
      </c>
      <c r="L33" s="953"/>
      <c r="M33" s="949"/>
      <c r="N33" s="101" t="s">
        <v>776</v>
      </c>
      <c r="O33" s="1024"/>
      <c r="P33" s="978"/>
      <c r="Q33" s="948"/>
      <c r="R33" s="949"/>
      <c r="S33" s="954"/>
      <c r="T33" s="955"/>
      <c r="U33" s="955"/>
      <c r="V33" s="955"/>
      <c r="W33" s="955"/>
      <c r="X33" s="956"/>
      <c r="Y33" s="948"/>
      <c r="Z33" s="953"/>
      <c r="AA33" s="949"/>
      <c r="AB33" s="184"/>
    </row>
    <row r="34" spans="1:28" ht="13.5" customHeight="1">
      <c r="A34" s="996"/>
      <c r="B34" s="995"/>
      <c r="C34" s="948"/>
      <c r="D34" s="949"/>
      <c r="E34" s="954"/>
      <c r="F34" s="955"/>
      <c r="G34" s="955"/>
      <c r="H34" s="955"/>
      <c r="I34" s="955"/>
      <c r="J34" s="956"/>
      <c r="K34" s="954"/>
      <c r="L34" s="955"/>
      <c r="M34" s="956"/>
      <c r="N34" s="101"/>
      <c r="O34" s="1035"/>
      <c r="P34" s="995"/>
      <c r="Q34" s="948"/>
      <c r="R34" s="949"/>
      <c r="S34" s="954"/>
      <c r="T34" s="955"/>
      <c r="U34" s="955"/>
      <c r="V34" s="955"/>
      <c r="W34" s="955"/>
      <c r="X34" s="956"/>
      <c r="Y34" s="948"/>
      <c r="Z34" s="953"/>
      <c r="AA34" s="949"/>
      <c r="AB34" s="184"/>
    </row>
    <row r="35" spans="1:28" ht="13.5" customHeight="1">
      <c r="A35" s="992"/>
      <c r="B35" s="978"/>
      <c r="C35" s="948"/>
      <c r="D35" s="949"/>
      <c r="E35" s="954"/>
      <c r="F35" s="955"/>
      <c r="G35" s="955"/>
      <c r="H35" s="955"/>
      <c r="I35" s="955"/>
      <c r="J35" s="956"/>
      <c r="K35" s="948"/>
      <c r="L35" s="953"/>
      <c r="M35" s="949"/>
      <c r="N35" s="101"/>
      <c r="O35" s="1024"/>
      <c r="P35" s="978"/>
      <c r="Q35" s="948"/>
      <c r="R35" s="949"/>
      <c r="S35" s="954"/>
      <c r="T35" s="955"/>
      <c r="U35" s="955"/>
      <c r="V35" s="955"/>
      <c r="W35" s="955"/>
      <c r="X35" s="956"/>
      <c r="Y35" s="954"/>
      <c r="Z35" s="955"/>
      <c r="AA35" s="956"/>
      <c r="AB35" s="184"/>
    </row>
    <row r="36" spans="1:28" ht="13.5" customHeight="1">
      <c r="A36" s="996"/>
      <c r="B36" s="995"/>
      <c r="C36" s="948"/>
      <c r="D36" s="949"/>
      <c r="E36" s="954"/>
      <c r="F36" s="955"/>
      <c r="G36" s="955"/>
      <c r="H36" s="955"/>
      <c r="I36" s="955"/>
      <c r="J36" s="956"/>
      <c r="K36" s="954"/>
      <c r="L36" s="955"/>
      <c r="M36" s="956"/>
      <c r="N36" s="101"/>
      <c r="O36" s="1035"/>
      <c r="P36" s="995"/>
      <c r="Q36" s="948"/>
      <c r="R36" s="949"/>
      <c r="S36" s="954"/>
      <c r="T36" s="955"/>
      <c r="U36" s="955"/>
      <c r="V36" s="955"/>
      <c r="W36" s="955"/>
      <c r="X36" s="956"/>
      <c r="Y36" s="948"/>
      <c r="Z36" s="953"/>
      <c r="AA36" s="949"/>
      <c r="AB36" s="184"/>
    </row>
    <row r="37" spans="1:28" ht="13.5" customHeight="1">
      <c r="A37" s="886"/>
      <c r="B37" s="897"/>
      <c r="C37" s="904"/>
      <c r="D37" s="903"/>
      <c r="E37" s="900"/>
      <c r="F37" s="901"/>
      <c r="G37" s="901"/>
      <c r="H37" s="901"/>
      <c r="I37" s="901"/>
      <c r="J37" s="902"/>
      <c r="K37" s="900"/>
      <c r="L37" s="901"/>
      <c r="M37" s="902"/>
      <c r="N37" s="894"/>
      <c r="O37" s="1024"/>
      <c r="P37" s="978"/>
      <c r="Q37" s="948"/>
      <c r="R37" s="949"/>
      <c r="S37" s="954"/>
      <c r="T37" s="955"/>
      <c r="U37" s="955"/>
      <c r="V37" s="955"/>
      <c r="W37" s="955"/>
      <c r="X37" s="956"/>
      <c r="Y37" s="948"/>
      <c r="Z37" s="953"/>
      <c r="AA37" s="949"/>
      <c r="AB37" s="184"/>
    </row>
    <row r="38" spans="1:28" ht="13.5" customHeight="1">
      <c r="A38" s="923"/>
      <c r="B38" s="905"/>
      <c r="C38" s="962"/>
      <c r="D38" s="963"/>
      <c r="E38" s="964"/>
      <c r="F38" s="965"/>
      <c r="G38" s="965"/>
      <c r="H38" s="965"/>
      <c r="I38" s="965"/>
      <c r="J38" s="966"/>
      <c r="K38" s="964"/>
      <c r="L38" s="965"/>
      <c r="M38" s="966"/>
      <c r="N38" s="103"/>
      <c r="O38" s="1025"/>
      <c r="P38" s="1026"/>
      <c r="Q38" s="962"/>
      <c r="R38" s="963"/>
      <c r="S38" s="964"/>
      <c r="T38" s="965"/>
      <c r="U38" s="965"/>
      <c r="V38" s="965"/>
      <c r="W38" s="965"/>
      <c r="X38" s="966"/>
      <c r="Y38" s="964"/>
      <c r="Z38" s="965"/>
      <c r="AA38" s="966"/>
      <c r="AB38" s="890"/>
    </row>
    <row r="39" spans="1:28">
      <c r="A39" s="13"/>
      <c r="B39" s="13" t="s">
        <v>684</v>
      </c>
      <c r="C39" s="14"/>
      <c r="D39" s="14"/>
      <c r="E39" s="14"/>
      <c r="F39" s="14"/>
      <c r="G39" s="14"/>
      <c r="H39" s="14"/>
      <c r="I39" s="14"/>
      <c r="J39" s="14"/>
      <c r="K39" s="14"/>
      <c r="L39" s="14"/>
      <c r="M39" s="14"/>
      <c r="N39" s="17"/>
      <c r="O39" s="877"/>
    </row>
    <row r="40" spans="1:28">
      <c r="A40" s="13"/>
      <c r="B40" s="13"/>
      <c r="C40" s="14"/>
      <c r="D40" s="14"/>
      <c r="E40" s="14"/>
      <c r="F40" s="14"/>
      <c r="G40" s="14"/>
      <c r="H40" s="14"/>
      <c r="I40" s="14"/>
      <c r="J40" s="14"/>
      <c r="K40" s="14"/>
      <c r="L40" s="14"/>
      <c r="M40" s="14"/>
      <c r="N40" s="17"/>
      <c r="O40" s="121"/>
    </row>
    <row r="41" spans="1:28" ht="18" customHeight="1">
      <c r="A41" s="13"/>
      <c r="B41" s="13"/>
      <c r="C41" s="14"/>
      <c r="D41" s="14"/>
      <c r="E41" s="14"/>
      <c r="F41" s="14"/>
      <c r="G41" s="14"/>
      <c r="H41" s="14"/>
      <c r="I41" s="14"/>
      <c r="J41" s="14"/>
      <c r="K41" s="14"/>
      <c r="L41" s="14"/>
      <c r="M41" s="14"/>
      <c r="N41" s="17"/>
    </row>
    <row r="42" spans="1:28" ht="18.75">
      <c r="A42" s="1060" t="s">
        <v>146</v>
      </c>
      <c r="B42" s="1061"/>
      <c r="C42" s="1061"/>
      <c r="D42" s="1131"/>
      <c r="E42" s="14"/>
      <c r="F42" s="14"/>
      <c r="G42" s="14"/>
      <c r="H42" s="14"/>
      <c r="I42" s="14"/>
      <c r="J42" s="14"/>
      <c r="K42" s="14"/>
      <c r="L42" s="14"/>
      <c r="M42" s="14"/>
      <c r="N42" s="17"/>
    </row>
    <row r="44" spans="1:28">
      <c r="A44" s="1132"/>
      <c r="B44" s="1133"/>
      <c r="C44" s="1133"/>
      <c r="D44" s="1133"/>
      <c r="E44" s="1133"/>
      <c r="F44" s="1133"/>
      <c r="G44" s="1133"/>
      <c r="H44" s="1133"/>
      <c r="I44" s="1133"/>
      <c r="J44" s="1133"/>
      <c r="K44" s="1133"/>
      <c r="L44" s="1133"/>
      <c r="M44" s="1133"/>
      <c r="N44" s="1133"/>
      <c r="O44" s="411"/>
      <c r="P44" s="411"/>
      <c r="Q44" s="411"/>
      <c r="R44" s="411"/>
      <c r="S44" s="411"/>
      <c r="T44" s="411"/>
      <c r="U44" s="411"/>
      <c r="V44" s="411"/>
      <c r="W44" s="411"/>
      <c r="X44" s="411"/>
      <c r="Y44" s="411"/>
      <c r="Z44" s="411"/>
      <c r="AA44" s="411"/>
      <c r="AB44" s="412"/>
    </row>
    <row r="45" spans="1:28">
      <c r="A45" s="1139"/>
      <c r="B45" s="1140"/>
      <c r="C45" s="1140"/>
      <c r="D45" s="1140"/>
      <c r="E45" s="1140"/>
      <c r="F45" s="1140"/>
      <c r="G45" s="1140"/>
      <c r="H45" s="1140"/>
      <c r="I45" s="1140"/>
      <c r="J45" s="1140"/>
      <c r="K45" s="1140"/>
      <c r="L45" s="1140"/>
      <c r="M45" s="1140"/>
      <c r="N45" s="1140"/>
      <c r="O45" s="104"/>
      <c r="P45" s="104"/>
      <c r="Q45" s="104"/>
      <c r="R45" s="104"/>
      <c r="S45" s="104"/>
      <c r="T45" s="104"/>
      <c r="U45" s="104"/>
      <c r="V45" s="104"/>
      <c r="W45" s="104"/>
      <c r="X45" s="104"/>
      <c r="Y45" s="104"/>
      <c r="Z45" s="104"/>
      <c r="AA45" s="104"/>
      <c r="AB45" s="872"/>
    </row>
    <row r="46" spans="1:28">
      <c r="A46" s="1134"/>
      <c r="B46" s="1135"/>
      <c r="C46" s="1135"/>
      <c r="D46" s="1135"/>
      <c r="E46" s="1135"/>
      <c r="F46" s="1135"/>
      <c r="G46" s="1135"/>
      <c r="H46" s="1135"/>
      <c r="I46" s="1135"/>
      <c r="J46" s="1135"/>
      <c r="K46" s="1135"/>
      <c r="L46" s="1135"/>
      <c r="M46" s="1135"/>
      <c r="N46" s="1135"/>
      <c r="O46" s="104"/>
      <c r="P46" s="104"/>
      <c r="Q46" s="104"/>
      <c r="R46" s="104"/>
      <c r="S46" s="104"/>
      <c r="T46" s="104"/>
      <c r="U46" s="104"/>
      <c r="V46" s="104"/>
      <c r="W46" s="104"/>
      <c r="X46" s="104"/>
      <c r="Y46" s="104"/>
      <c r="Z46" s="104"/>
      <c r="AA46" s="104"/>
      <c r="AB46" s="872"/>
    </row>
    <row r="47" spans="1:28">
      <c r="A47" s="1134"/>
      <c r="B47" s="1135"/>
      <c r="C47" s="1135"/>
      <c r="D47" s="1135"/>
      <c r="E47" s="1135"/>
      <c r="F47" s="1135"/>
      <c r="G47" s="1135"/>
      <c r="H47" s="1135"/>
      <c r="I47" s="1135"/>
      <c r="J47" s="1135"/>
      <c r="K47" s="1135"/>
      <c r="L47" s="1135"/>
      <c r="M47" s="1135"/>
      <c r="N47" s="1135"/>
      <c r="O47" s="104"/>
      <c r="P47" s="104"/>
      <c r="Q47" s="104"/>
      <c r="R47" s="104"/>
      <c r="S47" s="104"/>
      <c r="T47" s="104"/>
      <c r="U47" s="104"/>
      <c r="V47" s="104"/>
      <c r="W47" s="104"/>
      <c r="X47" s="104"/>
      <c r="Y47" s="104"/>
      <c r="Z47" s="104"/>
      <c r="AA47" s="104"/>
      <c r="AB47" s="872"/>
    </row>
    <row r="48" spans="1:28">
      <c r="A48" s="1134"/>
      <c r="B48" s="1135"/>
      <c r="C48" s="1135"/>
      <c r="D48" s="1135"/>
      <c r="E48" s="1135"/>
      <c r="F48" s="1135"/>
      <c r="G48" s="1135"/>
      <c r="H48" s="1135"/>
      <c r="I48" s="1135"/>
      <c r="J48" s="1135"/>
      <c r="K48" s="1135"/>
      <c r="L48" s="1135"/>
      <c r="M48" s="1135"/>
      <c r="N48" s="1135"/>
      <c r="O48" s="104"/>
      <c r="P48" s="104"/>
      <c r="Q48" s="104"/>
      <c r="R48" s="104"/>
      <c r="S48" s="104"/>
      <c r="T48" s="104"/>
      <c r="U48" s="104"/>
      <c r="V48" s="104"/>
      <c r="W48" s="104"/>
      <c r="X48" s="104"/>
      <c r="Y48" s="104"/>
      <c r="Z48" s="104"/>
      <c r="AA48" s="104"/>
      <c r="AB48" s="872"/>
    </row>
    <row r="49" spans="1:29">
      <c r="A49" s="1134"/>
      <c r="B49" s="1135"/>
      <c r="C49" s="1135"/>
      <c r="D49" s="1135"/>
      <c r="E49" s="1135"/>
      <c r="F49" s="1135"/>
      <c r="G49" s="1135"/>
      <c r="H49" s="1135"/>
      <c r="I49" s="1135"/>
      <c r="J49" s="1135"/>
      <c r="K49" s="1135"/>
      <c r="L49" s="1135"/>
      <c r="M49" s="1135"/>
      <c r="N49" s="1135"/>
      <c r="O49" s="1135"/>
      <c r="P49" s="1135"/>
      <c r="Q49" s="1135"/>
      <c r="R49" s="1135"/>
      <c r="S49" s="1135"/>
      <c r="T49" s="1135"/>
      <c r="U49" s="1135"/>
      <c r="V49" s="1135"/>
      <c r="W49" s="1135"/>
      <c r="X49" s="1135"/>
      <c r="Y49" s="104"/>
      <c r="Z49" s="104"/>
      <c r="AA49" s="104"/>
      <c r="AB49" s="872"/>
    </row>
    <row r="50" spans="1:29">
      <c r="A50" s="1134"/>
      <c r="B50" s="1135"/>
      <c r="C50" s="1135"/>
      <c r="D50" s="1135"/>
      <c r="E50" s="1135"/>
      <c r="F50" s="1135"/>
      <c r="G50" s="1135"/>
      <c r="H50" s="1135"/>
      <c r="I50" s="1135"/>
      <c r="J50" s="1135"/>
      <c r="K50" s="1135"/>
      <c r="L50" s="1135"/>
      <c r="M50" s="1135"/>
      <c r="N50" s="1135"/>
      <c r="O50" s="1135"/>
      <c r="P50" s="1135"/>
      <c r="Q50" s="1135"/>
      <c r="R50" s="1135"/>
      <c r="S50" s="1135"/>
      <c r="T50" s="1135"/>
      <c r="U50" s="1135"/>
      <c r="V50" s="104"/>
      <c r="W50" s="104"/>
      <c r="X50" s="104"/>
      <c r="Y50" s="104"/>
      <c r="Z50" s="104"/>
      <c r="AA50" s="104"/>
      <c r="AB50" s="872"/>
    </row>
    <row r="51" spans="1:29">
      <c r="A51" s="167"/>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872"/>
    </row>
    <row r="52" spans="1:29">
      <c r="A52" s="166"/>
      <c r="B52" s="45"/>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c r="AA52" s="104"/>
      <c r="AB52" s="872"/>
    </row>
    <row r="53" spans="1:29">
      <c r="A53" s="117"/>
      <c r="B53" s="22"/>
      <c r="C53" s="1042"/>
      <c r="D53" s="1042"/>
      <c r="E53" s="1042"/>
      <c r="F53" s="1042"/>
      <c r="G53" s="1042"/>
      <c r="H53" s="1042"/>
      <c r="I53" s="22"/>
      <c r="J53" s="104"/>
      <c r="K53" s="104"/>
      <c r="L53" s="104"/>
      <c r="M53" s="104"/>
      <c r="N53" s="104"/>
      <c r="O53" s="104"/>
      <c r="P53" s="104"/>
      <c r="Q53" s="46"/>
      <c r="R53" s="46"/>
      <c r="S53" s="46"/>
      <c r="T53" s="46"/>
      <c r="U53" s="46"/>
      <c r="V53" s="46"/>
      <c r="W53" s="46"/>
      <c r="X53" s="46"/>
      <c r="Y53" s="46"/>
      <c r="Z53" s="46"/>
      <c r="AA53" s="46"/>
      <c r="AB53" s="878"/>
    </row>
    <row r="54" spans="1:29">
      <c r="A54" s="118"/>
      <c r="B54" s="879"/>
      <c r="C54" s="1136"/>
      <c r="D54" s="1136"/>
      <c r="E54" s="1136"/>
      <c r="F54" s="1136"/>
      <c r="G54" s="1136"/>
      <c r="H54" s="1136"/>
      <c r="I54" s="879"/>
      <c r="J54" s="873"/>
      <c r="K54" s="873"/>
      <c r="L54" s="873"/>
      <c r="M54" s="873"/>
      <c r="N54" s="873"/>
      <c r="O54" s="873"/>
      <c r="P54" s="873"/>
      <c r="Q54" s="880"/>
      <c r="R54" s="880"/>
      <c r="S54" s="880"/>
      <c r="T54" s="880"/>
      <c r="U54" s="880"/>
      <c r="V54" s="880"/>
      <c r="W54" s="880"/>
      <c r="X54" s="880"/>
      <c r="Y54" s="880"/>
      <c r="Z54" s="880"/>
      <c r="AA54" s="880"/>
      <c r="AB54" s="881"/>
    </row>
    <row r="55" spans="1:29">
      <c r="A55" s="18"/>
      <c r="B55" s="17"/>
      <c r="C55" s="17"/>
      <c r="D55" s="17"/>
      <c r="E55" s="17"/>
      <c r="F55" s="17"/>
      <c r="G55" s="17"/>
      <c r="H55" s="17"/>
      <c r="I55" s="17"/>
      <c r="J55" s="17"/>
      <c r="K55" s="17"/>
      <c r="L55" s="17"/>
      <c r="M55" s="17"/>
      <c r="N55" s="17"/>
      <c r="O55" s="121"/>
      <c r="P55" s="121"/>
      <c r="Q55" s="121"/>
      <c r="R55" s="121"/>
      <c r="S55" s="121"/>
      <c r="T55" s="121"/>
      <c r="U55" s="121"/>
      <c r="V55" s="121"/>
      <c r="W55" s="121"/>
      <c r="X55" s="121"/>
      <c r="Y55" s="121"/>
      <c r="Z55" s="121"/>
      <c r="AA55" s="121"/>
      <c r="AB55" s="121"/>
    </row>
    <row r="56" spans="1:29" ht="18.75">
      <c r="A56" s="1129" t="s">
        <v>17</v>
      </c>
      <c r="B56" s="1130"/>
      <c r="C56" s="21"/>
    </row>
    <row r="58" spans="1:29">
      <c r="A58" s="1132" t="s">
        <v>722</v>
      </c>
      <c r="B58" s="1133"/>
      <c r="C58" s="1133"/>
      <c r="D58" s="1133"/>
      <c r="E58" s="1133"/>
      <c r="F58" s="1133"/>
      <c r="G58" s="1133"/>
      <c r="H58" s="1133"/>
      <c r="I58" s="1133"/>
      <c r="J58" s="1133"/>
      <c r="K58" s="1133"/>
      <c r="L58" s="1133"/>
      <c r="M58" s="1133"/>
      <c r="N58" s="1133"/>
      <c r="O58" s="411"/>
      <c r="P58" s="411"/>
      <c r="Q58" s="411"/>
      <c r="R58" s="411"/>
      <c r="S58" s="411"/>
      <c r="T58" s="411"/>
      <c r="U58" s="411"/>
      <c r="V58" s="411"/>
      <c r="W58" s="411"/>
      <c r="X58" s="411"/>
      <c r="Y58" s="411"/>
      <c r="Z58" s="411"/>
      <c r="AA58" s="411"/>
      <c r="AB58" s="412"/>
      <c r="AC58" s="167"/>
    </row>
    <row r="59" spans="1:29">
      <c r="A59" s="1137" t="s">
        <v>774</v>
      </c>
      <c r="B59" s="1138"/>
      <c r="C59" s="1138"/>
      <c r="D59" s="1138"/>
      <c r="E59" s="1138"/>
      <c r="F59" s="1138"/>
      <c r="G59" s="1138"/>
      <c r="H59" s="1138"/>
      <c r="I59" s="1138"/>
      <c r="J59" s="1138"/>
      <c r="K59" s="1138"/>
      <c r="L59" s="1138"/>
      <c r="M59" s="1138"/>
      <c r="N59" s="1138"/>
      <c r="O59" s="104"/>
      <c r="P59" s="104"/>
      <c r="Q59" s="104"/>
      <c r="R59" s="104"/>
      <c r="S59" s="104"/>
      <c r="T59" s="104"/>
      <c r="U59" s="104"/>
      <c r="V59" s="104"/>
      <c r="W59" s="104"/>
      <c r="X59" s="104"/>
      <c r="Y59" s="104"/>
      <c r="Z59" s="104"/>
      <c r="AA59" s="104"/>
      <c r="AB59" s="872"/>
      <c r="AC59" s="104"/>
    </row>
    <row r="60" spans="1:29">
      <c r="A60" s="1139" t="s">
        <v>772</v>
      </c>
      <c r="B60" s="1140"/>
      <c r="C60" s="1140"/>
      <c r="D60" s="1140"/>
      <c r="E60" s="1140"/>
      <c r="F60" s="1140"/>
      <c r="G60" s="1140"/>
      <c r="H60" s="1140"/>
      <c r="I60" s="1140"/>
      <c r="J60" s="1140"/>
      <c r="K60" s="1140"/>
      <c r="L60" s="1140"/>
      <c r="M60" s="1140"/>
      <c r="N60" s="1140"/>
      <c r="O60" s="104"/>
      <c r="P60" s="104"/>
      <c r="Q60" s="104"/>
      <c r="R60" s="104"/>
      <c r="S60" s="104"/>
      <c r="T60" s="104"/>
      <c r="U60" s="104"/>
      <c r="V60" s="104"/>
      <c r="W60" s="104"/>
      <c r="X60" s="104"/>
      <c r="Y60" s="104"/>
      <c r="Z60" s="104"/>
      <c r="AA60" s="104"/>
      <c r="AB60" s="872"/>
    </row>
    <row r="61" spans="1:29">
      <c r="A61" s="1134" t="s">
        <v>773</v>
      </c>
      <c r="B61" s="1135"/>
      <c r="C61" s="1135"/>
      <c r="D61" s="1135"/>
      <c r="E61" s="1135"/>
      <c r="F61" s="1135"/>
      <c r="G61" s="1135"/>
      <c r="H61" s="1135"/>
      <c r="I61" s="1135"/>
      <c r="J61" s="1135"/>
      <c r="K61" s="1135"/>
      <c r="L61" s="1135"/>
      <c r="M61" s="1135"/>
      <c r="N61" s="1135"/>
      <c r="O61" s="104"/>
      <c r="P61" s="104"/>
      <c r="Q61" s="104"/>
      <c r="R61" s="104"/>
      <c r="S61" s="104"/>
      <c r="T61" s="104"/>
      <c r="U61" s="104"/>
      <c r="V61" s="104"/>
      <c r="W61" s="104"/>
      <c r="X61" s="104"/>
      <c r="Y61" s="104"/>
      <c r="Z61" s="104"/>
      <c r="AA61" s="104"/>
      <c r="AB61" s="872"/>
    </row>
    <row r="62" spans="1:29">
      <c r="A62" s="1134"/>
      <c r="B62" s="1135"/>
      <c r="C62" s="1135"/>
      <c r="D62" s="1135"/>
      <c r="E62" s="1135"/>
      <c r="F62" s="1135"/>
      <c r="G62" s="1135"/>
      <c r="H62" s="1135"/>
      <c r="I62" s="1135"/>
      <c r="J62" s="1135"/>
      <c r="K62" s="1135"/>
      <c r="L62" s="1135"/>
      <c r="M62" s="1135"/>
      <c r="N62" s="1135"/>
      <c r="O62" s="104"/>
      <c r="P62" s="104"/>
      <c r="Q62" s="104"/>
      <c r="R62" s="104"/>
      <c r="S62" s="104"/>
      <c r="T62" s="104"/>
      <c r="U62" s="104"/>
      <c r="V62" s="104"/>
      <c r="W62" s="104"/>
      <c r="X62" s="104"/>
      <c r="Y62" s="104"/>
      <c r="Z62" s="104"/>
      <c r="AA62" s="104"/>
      <c r="AB62" s="872"/>
    </row>
    <row r="63" spans="1:29">
      <c r="A63" s="1134"/>
      <c r="B63" s="1135"/>
      <c r="C63" s="1135"/>
      <c r="D63" s="1135"/>
      <c r="E63" s="1135"/>
      <c r="F63" s="1135"/>
      <c r="G63" s="1135"/>
      <c r="H63" s="1135"/>
      <c r="I63" s="1135"/>
      <c r="J63" s="1135"/>
      <c r="K63" s="1135"/>
      <c r="L63" s="1135"/>
      <c r="M63" s="1135"/>
      <c r="N63" s="1135"/>
      <c r="O63" s="104"/>
      <c r="P63" s="104"/>
      <c r="Q63" s="104"/>
      <c r="R63" s="104"/>
      <c r="S63" s="104"/>
      <c r="T63" s="104"/>
      <c r="U63" s="104"/>
      <c r="V63" s="104"/>
      <c r="W63" s="104"/>
      <c r="X63" s="104"/>
      <c r="Y63" s="104"/>
      <c r="Z63" s="104"/>
      <c r="AA63" s="104"/>
      <c r="AB63" s="872"/>
    </row>
    <row r="64" spans="1:29">
      <c r="A64" s="1134"/>
      <c r="B64" s="1135"/>
      <c r="C64" s="1135"/>
      <c r="D64" s="1135"/>
      <c r="E64" s="1135"/>
      <c r="F64" s="1135"/>
      <c r="G64" s="1135"/>
      <c r="H64" s="1135"/>
      <c r="I64" s="1135"/>
      <c r="J64" s="1135"/>
      <c r="K64" s="1135"/>
      <c r="L64" s="1135"/>
      <c r="M64" s="1135"/>
      <c r="N64" s="1135"/>
      <c r="O64" s="1135"/>
      <c r="P64" s="1135"/>
      <c r="Q64" s="1135"/>
      <c r="R64" s="1135"/>
      <c r="S64" s="1135"/>
      <c r="T64" s="1135"/>
      <c r="U64" s="1135"/>
      <c r="V64" s="1135"/>
      <c r="W64" s="1135"/>
      <c r="X64" s="1135"/>
      <c r="Y64" s="104"/>
      <c r="Z64" s="104"/>
      <c r="AA64" s="104"/>
      <c r="AB64" s="872"/>
    </row>
    <row r="65" spans="1:28">
      <c r="A65" s="1134"/>
      <c r="B65" s="1135"/>
      <c r="C65" s="1135"/>
      <c r="D65" s="1135"/>
      <c r="E65" s="1135"/>
      <c r="F65" s="1135"/>
      <c r="G65" s="1135"/>
      <c r="H65" s="1135"/>
      <c r="I65" s="1135"/>
      <c r="J65" s="1135"/>
      <c r="K65" s="1135"/>
      <c r="L65" s="1135"/>
      <c r="M65" s="1135"/>
      <c r="N65" s="1135"/>
      <c r="O65" s="1135"/>
      <c r="P65" s="1135"/>
      <c r="Q65" s="1135"/>
      <c r="R65" s="1135"/>
      <c r="S65" s="1135"/>
      <c r="T65" s="1135"/>
      <c r="U65" s="1135"/>
      <c r="V65" s="1135"/>
      <c r="W65" s="1135"/>
      <c r="X65" s="1135"/>
      <c r="Y65" s="104"/>
      <c r="Z65" s="104"/>
      <c r="AA65" s="104"/>
      <c r="AB65" s="872"/>
    </row>
    <row r="66" spans="1:28">
      <c r="A66" s="1127"/>
      <c r="B66" s="1128"/>
      <c r="C66" s="1128"/>
      <c r="D66" s="1128"/>
      <c r="E66" s="1128"/>
      <c r="F66" s="1128"/>
      <c r="G66" s="1128"/>
      <c r="H66" s="1128"/>
      <c r="I66" s="1128"/>
      <c r="J66" s="1128"/>
      <c r="K66" s="1128"/>
      <c r="L66" s="1128"/>
      <c r="M66" s="1128"/>
      <c r="N66" s="1128"/>
      <c r="O66" s="1128"/>
      <c r="P66" s="1128"/>
      <c r="Q66" s="1128"/>
      <c r="R66" s="1128"/>
      <c r="S66" s="1128"/>
      <c r="T66" s="1128"/>
      <c r="U66" s="104"/>
      <c r="V66" s="104"/>
      <c r="W66" s="104"/>
      <c r="X66" s="104"/>
      <c r="Y66" s="104"/>
      <c r="Z66" s="104"/>
      <c r="AA66" s="104"/>
      <c r="AB66" s="872"/>
    </row>
    <row r="67" spans="1:28">
      <c r="A67" s="1127"/>
      <c r="B67" s="1128"/>
      <c r="C67" s="1128"/>
      <c r="D67" s="1128"/>
      <c r="E67" s="1128"/>
      <c r="F67" s="1128"/>
      <c r="G67" s="1128"/>
      <c r="H67" s="1128"/>
      <c r="I67" s="1128"/>
      <c r="J67" s="1128"/>
      <c r="K67" s="1128"/>
      <c r="L67" s="1128"/>
      <c r="M67" s="1128"/>
      <c r="N67" s="1128"/>
      <c r="O67" s="1128"/>
      <c r="P67" s="1128"/>
      <c r="Q67" s="1128"/>
      <c r="R67" s="1128"/>
      <c r="S67" s="1128"/>
      <c r="T67" s="1128"/>
      <c r="U67" s="104"/>
      <c r="V67" s="104"/>
      <c r="W67" s="104"/>
      <c r="X67" s="104"/>
      <c r="Y67" s="104"/>
      <c r="Z67" s="104"/>
      <c r="AA67" s="104"/>
      <c r="AB67" s="872"/>
    </row>
    <row r="68" spans="1:28">
      <c r="A68" s="1127"/>
      <c r="B68" s="1128"/>
      <c r="C68" s="1128"/>
      <c r="D68" s="1128"/>
      <c r="E68" s="1128"/>
      <c r="F68" s="1128"/>
      <c r="G68" s="1128"/>
      <c r="H68" s="1128"/>
      <c r="I68" s="1128"/>
      <c r="J68" s="1128"/>
      <c r="K68" s="1128"/>
      <c r="L68" s="1128"/>
      <c r="M68" s="1128"/>
      <c r="N68" s="1128"/>
      <c r="O68" s="1128"/>
      <c r="P68" s="1128"/>
      <c r="Q68" s="1128"/>
      <c r="R68" s="1128"/>
      <c r="S68" s="1128"/>
      <c r="T68" s="1128"/>
      <c r="U68" s="104"/>
      <c r="V68" s="104"/>
      <c r="W68" s="104"/>
      <c r="X68" s="104"/>
      <c r="Y68" s="104"/>
      <c r="Z68" s="104"/>
      <c r="AA68" s="104"/>
      <c r="AB68" s="872"/>
    </row>
    <row r="69" spans="1:28">
      <c r="A69" s="1127"/>
      <c r="B69" s="1128"/>
      <c r="C69" s="1128"/>
      <c r="D69" s="1128"/>
      <c r="E69" s="1128"/>
      <c r="F69" s="1128"/>
      <c r="G69" s="1128"/>
      <c r="H69" s="1128"/>
      <c r="I69" s="1128"/>
      <c r="J69" s="1128"/>
      <c r="K69" s="1128"/>
      <c r="L69" s="1128"/>
      <c r="M69" s="1128"/>
      <c r="N69" s="1128"/>
      <c r="O69" s="1128"/>
      <c r="P69" s="1128"/>
      <c r="Q69" s="1128"/>
      <c r="R69" s="1128"/>
      <c r="S69" s="1128"/>
      <c r="T69" s="1128"/>
      <c r="U69" s="104"/>
      <c r="V69" s="104"/>
      <c r="W69" s="104"/>
      <c r="X69" s="104"/>
      <c r="Y69" s="104"/>
      <c r="Z69" s="104"/>
      <c r="AA69" s="104"/>
      <c r="AB69" s="872"/>
    </row>
    <row r="70" spans="1:28">
      <c r="A70" s="1127"/>
      <c r="B70" s="1128"/>
      <c r="C70" s="1128"/>
      <c r="D70" s="1128"/>
      <c r="E70" s="1128"/>
      <c r="F70" s="1128"/>
      <c r="G70" s="1128"/>
      <c r="H70" s="1128"/>
      <c r="I70" s="1128"/>
      <c r="J70" s="1128"/>
      <c r="K70" s="1128"/>
      <c r="L70" s="1128"/>
      <c r="M70" s="100"/>
      <c r="N70" s="100"/>
      <c r="O70" s="100"/>
      <c r="P70" s="100"/>
      <c r="Q70" s="100"/>
      <c r="R70" s="100"/>
      <c r="T70" s="104"/>
      <c r="U70" s="104"/>
      <c r="V70" s="104"/>
      <c r="W70" s="104"/>
      <c r="X70" s="104"/>
      <c r="Y70" s="104"/>
      <c r="Z70" s="104"/>
      <c r="AA70" s="104"/>
      <c r="AB70" s="872"/>
    </row>
    <row r="71" spans="1:28">
      <c r="A71" s="1127"/>
      <c r="B71" s="1128"/>
      <c r="C71" s="1128"/>
      <c r="D71" s="1128"/>
      <c r="E71" s="1128"/>
      <c r="F71" s="1128"/>
      <c r="G71" s="1128"/>
      <c r="H71" s="1128"/>
      <c r="I71" s="1128"/>
      <c r="J71" s="1128"/>
      <c r="K71" s="1128"/>
      <c r="L71" s="1128"/>
      <c r="M71" s="1128"/>
      <c r="N71" s="1128"/>
      <c r="O71" s="100"/>
      <c r="P71" s="100"/>
      <c r="Q71" s="100"/>
      <c r="R71" s="100"/>
      <c r="T71" s="104"/>
      <c r="U71" s="104"/>
      <c r="V71" s="104"/>
      <c r="W71" s="104"/>
      <c r="X71" s="104"/>
      <c r="Y71" s="104"/>
      <c r="Z71" s="104"/>
      <c r="AA71" s="104"/>
      <c r="AB71" s="872"/>
    </row>
    <row r="72" spans="1:28">
      <c r="A72" s="1127"/>
      <c r="B72" s="1128"/>
      <c r="C72" s="1128"/>
      <c r="D72" s="1128"/>
      <c r="E72" s="1128"/>
      <c r="F72" s="1128"/>
      <c r="G72" s="1128"/>
      <c r="H72" s="1128"/>
      <c r="I72" s="1128"/>
      <c r="J72" s="1128"/>
      <c r="K72" s="1128"/>
      <c r="L72" s="1128"/>
      <c r="M72" s="1128"/>
      <c r="N72" s="1128"/>
      <c r="O72" s="1128"/>
      <c r="P72" s="1128"/>
      <c r="Q72" s="1128"/>
      <c r="R72" s="1128"/>
      <c r="S72" s="104"/>
      <c r="T72" s="104"/>
      <c r="U72" s="104"/>
      <c r="V72" s="104"/>
      <c r="W72" s="104"/>
      <c r="X72" s="104"/>
      <c r="Y72" s="104"/>
      <c r="Z72" s="104"/>
      <c r="AA72" s="104"/>
      <c r="AB72" s="872"/>
    </row>
    <row r="73" spans="1:28">
      <c r="A73" s="1127"/>
      <c r="B73" s="1141"/>
      <c r="C73" s="1141"/>
      <c r="D73" s="1141"/>
      <c r="E73" s="1141"/>
      <c r="F73" s="1141"/>
      <c r="G73" s="1141"/>
      <c r="H73" s="1141"/>
      <c r="I73" s="1141"/>
      <c r="J73" s="1141"/>
      <c r="K73" s="1141"/>
      <c r="L73" s="1141"/>
      <c r="M73" s="1141"/>
      <c r="N73" s="1141"/>
      <c r="O73" s="1141"/>
      <c r="P73" s="1141"/>
      <c r="Q73" s="104"/>
      <c r="R73" s="104"/>
      <c r="S73" s="104"/>
      <c r="T73" s="104"/>
      <c r="U73" s="104"/>
      <c r="V73" s="104"/>
      <c r="W73" s="104"/>
      <c r="X73" s="104"/>
      <c r="Y73" s="104"/>
      <c r="Z73" s="104"/>
      <c r="AA73" s="104"/>
      <c r="AB73" s="872"/>
    </row>
    <row r="74" spans="1:28">
      <c r="A74" s="1127"/>
      <c r="B74" s="1128"/>
      <c r="C74" s="1128"/>
      <c r="D74" s="1128"/>
      <c r="E74" s="1128"/>
      <c r="F74" s="1128"/>
      <c r="G74" s="1128"/>
      <c r="H74" s="1128"/>
      <c r="I74" s="1128"/>
      <c r="J74" s="1128"/>
      <c r="K74" s="1128"/>
      <c r="L74" s="1128"/>
      <c r="M74" s="1128"/>
      <c r="N74" s="1128"/>
      <c r="O74" s="1128"/>
      <c r="P74" s="1128"/>
      <c r="Q74" s="1128"/>
      <c r="R74" s="1128"/>
      <c r="S74" s="1128"/>
      <c r="T74" s="1128"/>
      <c r="U74" s="45"/>
      <c r="V74" s="45"/>
      <c r="W74" s="45"/>
      <c r="X74" s="45"/>
      <c r="Y74" s="45"/>
      <c r="Z74" s="45"/>
      <c r="AA74" s="45"/>
      <c r="AB74" s="882"/>
    </row>
    <row r="75" spans="1:28">
      <c r="A75" s="175"/>
      <c r="S75" s="45"/>
      <c r="T75" s="45"/>
      <c r="U75" s="45"/>
      <c r="V75" s="45"/>
      <c r="W75" s="45"/>
      <c r="X75" s="45"/>
      <c r="Y75" s="45"/>
      <c r="Z75" s="45"/>
      <c r="AA75" s="45"/>
      <c r="AB75" s="882"/>
    </row>
    <row r="76" spans="1:28">
      <c r="A76" s="175"/>
      <c r="B76" s="176"/>
      <c r="S76" s="45"/>
      <c r="T76" s="45"/>
      <c r="U76" s="45"/>
      <c r="V76" s="45"/>
      <c r="W76" s="45"/>
      <c r="X76" s="45"/>
      <c r="Y76" s="45"/>
      <c r="Z76" s="45"/>
      <c r="AA76" s="45"/>
      <c r="AB76" s="882"/>
    </row>
    <row r="77" spans="1:28">
      <c r="A77" s="175"/>
      <c r="C77" s="121"/>
      <c r="D77" s="121"/>
      <c r="E77" s="121"/>
      <c r="F77" s="121"/>
      <c r="G77" s="121"/>
      <c r="H77" s="121"/>
      <c r="M77" s="45"/>
      <c r="N77" s="45"/>
      <c r="O77" s="45"/>
      <c r="P77" s="45"/>
      <c r="Q77" s="45"/>
      <c r="R77" s="45"/>
      <c r="S77" s="45"/>
      <c r="T77" s="45"/>
      <c r="U77" s="45"/>
      <c r="V77" s="45"/>
      <c r="W77" s="45"/>
      <c r="X77" s="45"/>
      <c r="Y77" s="45"/>
      <c r="Z77" s="45"/>
      <c r="AA77" s="45"/>
      <c r="AB77" s="882"/>
    </row>
    <row r="78" spans="1:28">
      <c r="A78" s="169"/>
      <c r="B78" s="883"/>
      <c r="C78" s="873"/>
      <c r="D78" s="873"/>
      <c r="E78" s="873"/>
      <c r="F78" s="873"/>
      <c r="G78" s="873"/>
      <c r="H78" s="873"/>
      <c r="I78" s="873"/>
      <c r="J78" s="873"/>
      <c r="K78" s="873"/>
      <c r="L78" s="873"/>
      <c r="M78" s="873"/>
      <c r="N78" s="873"/>
      <c r="O78" s="873"/>
      <c r="P78" s="873"/>
      <c r="Q78" s="873"/>
      <c r="R78" s="873"/>
      <c r="S78" s="873"/>
      <c r="T78" s="873"/>
      <c r="U78" s="873"/>
      <c r="V78" s="873"/>
      <c r="W78" s="873"/>
      <c r="X78" s="873"/>
      <c r="Y78" s="873"/>
      <c r="Z78" s="873"/>
      <c r="AA78" s="873"/>
      <c r="AB78" s="884"/>
    </row>
    <row r="80" spans="1:28" ht="13.5" customHeight="1">
      <c r="A80" s="166"/>
      <c r="B80" s="45"/>
      <c r="C80" s="104"/>
      <c r="D80" s="104"/>
      <c r="E80" s="104"/>
      <c r="F80" s="104"/>
      <c r="G80" s="104"/>
      <c r="H80" s="104"/>
      <c r="I80" s="104"/>
      <c r="J80" s="104"/>
      <c r="K80" s="104"/>
      <c r="L80" s="104"/>
      <c r="M80" s="104"/>
      <c r="N80" s="104"/>
      <c r="O80" s="104"/>
      <c r="T80" s="104"/>
      <c r="U80" s="104"/>
      <c r="V80" s="104"/>
      <c r="W80" s="104"/>
      <c r="X80" s="104"/>
    </row>
    <row r="81" spans="1:28">
      <c r="A81" s="892"/>
      <c r="B81" s="891"/>
      <c r="C81" s="891"/>
      <c r="D81" s="891"/>
      <c r="E81" s="891"/>
      <c r="F81" s="891"/>
      <c r="G81" s="891"/>
      <c r="H81" s="891"/>
      <c r="I81" s="891"/>
      <c r="J81" s="891"/>
      <c r="K81" s="891"/>
      <c r="L81" s="891"/>
      <c r="M81" s="891"/>
      <c r="N81" s="891"/>
      <c r="O81" s="891"/>
      <c r="P81" s="891"/>
      <c r="Q81" s="891"/>
      <c r="R81" s="891"/>
      <c r="S81" s="891"/>
      <c r="T81" s="891"/>
      <c r="U81" s="891"/>
      <c r="V81" s="891"/>
      <c r="W81" s="891"/>
      <c r="X81" s="891"/>
      <c r="Y81" s="891"/>
      <c r="Z81" s="891"/>
      <c r="AA81" s="891"/>
      <c r="AB81" s="891"/>
    </row>
    <row r="82" spans="1:28">
      <c r="A82" s="891"/>
      <c r="B82" s="891"/>
      <c r="C82" s="891"/>
      <c r="D82" s="891"/>
      <c r="E82" s="891"/>
      <c r="F82" s="891"/>
      <c r="G82" s="891"/>
      <c r="H82" s="891"/>
      <c r="I82" s="891"/>
      <c r="J82" s="891"/>
      <c r="K82" s="891"/>
      <c r="L82" s="891"/>
      <c r="M82" s="891"/>
      <c r="N82" s="891"/>
      <c r="O82" s="891"/>
      <c r="P82" s="891"/>
      <c r="Q82" s="891"/>
      <c r="R82" s="891"/>
      <c r="S82" s="891"/>
      <c r="T82" s="891"/>
      <c r="U82" s="891"/>
      <c r="V82" s="891"/>
      <c r="W82" s="891"/>
      <c r="X82" s="891"/>
      <c r="Y82" s="891"/>
      <c r="Z82" s="891"/>
      <c r="AA82" s="891"/>
      <c r="AB82" s="891"/>
    </row>
    <row r="83" spans="1:28">
      <c r="A83" s="166"/>
      <c r="B83" s="45"/>
      <c r="T83" s="104"/>
      <c r="U83" s="104"/>
      <c r="V83" s="104"/>
      <c r="W83" s="104"/>
      <c r="X83" s="104"/>
    </row>
    <row r="84" spans="1:28">
      <c r="A84" s="166"/>
      <c r="B84" s="45"/>
      <c r="T84" s="104"/>
      <c r="U84" s="104"/>
      <c r="V84" s="104"/>
      <c r="W84" s="104"/>
      <c r="X84" s="104"/>
    </row>
    <row r="85" spans="1:28">
      <c r="A85" s="166"/>
      <c r="B85" s="45"/>
      <c r="T85" s="104"/>
      <c r="U85" s="104"/>
      <c r="V85" s="104"/>
      <c r="W85" s="104"/>
      <c r="X85" s="104"/>
    </row>
    <row r="86" spans="1:28">
      <c r="A86" s="166"/>
      <c r="B86" s="45"/>
      <c r="T86" s="104"/>
      <c r="U86" s="104"/>
      <c r="V86" s="104"/>
      <c r="W86" s="104"/>
      <c r="X86" s="104"/>
    </row>
    <row r="87" spans="1:28">
      <c r="A87" s="166"/>
      <c r="B87" s="45"/>
      <c r="T87" s="104"/>
      <c r="U87" s="104"/>
      <c r="V87" s="104"/>
      <c r="W87" s="104"/>
      <c r="X87" s="104"/>
    </row>
    <row r="88" spans="1:28">
      <c r="A88" s="166"/>
      <c r="B88" s="45"/>
      <c r="T88" s="104"/>
      <c r="U88" s="104"/>
      <c r="V88" s="104"/>
      <c r="W88" s="104"/>
      <c r="X88" s="104"/>
    </row>
    <row r="89" spans="1:28">
      <c r="A89" s="166"/>
      <c r="B89" s="45"/>
      <c r="T89" s="104"/>
      <c r="U89" s="104"/>
      <c r="V89" s="104"/>
      <c r="W89" s="104"/>
      <c r="X89" s="104"/>
    </row>
    <row r="90" spans="1:28">
      <c r="A90" s="166"/>
      <c r="B90" s="45"/>
      <c r="T90" s="104"/>
      <c r="U90" s="104"/>
      <c r="V90" s="104"/>
      <c r="W90" s="104"/>
      <c r="X90" s="104"/>
    </row>
    <row r="91" spans="1:28">
      <c r="A91" s="166"/>
      <c r="B91" s="45"/>
      <c r="T91" s="104"/>
      <c r="U91" s="104"/>
      <c r="V91" s="104"/>
      <c r="W91" s="104"/>
      <c r="X91" s="104"/>
    </row>
    <row r="92" spans="1:28">
      <c r="A92" s="166"/>
      <c r="B92" s="45"/>
      <c r="T92" s="104"/>
      <c r="U92" s="104"/>
      <c r="V92" s="104"/>
      <c r="W92" s="104"/>
      <c r="X92" s="104"/>
    </row>
    <row r="93" spans="1:28">
      <c r="A93" s="166"/>
      <c r="B93" s="45"/>
      <c r="C93" s="104"/>
      <c r="D93" s="104"/>
      <c r="E93" s="104"/>
      <c r="F93" s="104"/>
      <c r="G93" s="104"/>
      <c r="H93" s="104"/>
      <c r="I93" s="104"/>
      <c r="J93" s="104"/>
      <c r="K93" s="104"/>
      <c r="L93" s="104"/>
      <c r="M93" s="104"/>
      <c r="N93" s="104"/>
      <c r="O93" s="104"/>
      <c r="P93" s="104"/>
      <c r="Q93" s="104"/>
      <c r="R93" s="104"/>
      <c r="S93" s="104"/>
      <c r="T93" s="104"/>
      <c r="U93" s="104"/>
      <c r="V93" s="104"/>
      <c r="W93" s="104"/>
      <c r="X93" s="104"/>
    </row>
    <row r="94" spans="1:28">
      <c r="A94" s="166"/>
      <c r="B94" s="45"/>
      <c r="C94" s="104"/>
      <c r="D94" s="104"/>
      <c r="E94" s="104"/>
      <c r="F94" s="104"/>
      <c r="G94" s="104"/>
      <c r="H94" s="104"/>
      <c r="I94" s="104"/>
      <c r="J94" s="104"/>
      <c r="K94" s="104"/>
      <c r="L94" s="104"/>
      <c r="M94" s="104"/>
      <c r="N94" s="104"/>
      <c r="O94" s="104"/>
      <c r="P94" s="104"/>
      <c r="Q94" s="104"/>
      <c r="R94" s="104"/>
      <c r="S94" s="104"/>
      <c r="T94" s="104"/>
      <c r="U94" s="104"/>
      <c r="V94" s="104"/>
      <c r="W94" s="104"/>
      <c r="X94" s="104"/>
    </row>
    <row r="95" spans="1:28">
      <c r="A95" s="166"/>
      <c r="B95" s="45"/>
      <c r="C95" s="104"/>
      <c r="D95" s="104"/>
      <c r="E95" s="104"/>
      <c r="F95" s="104"/>
      <c r="G95" s="104"/>
      <c r="H95" s="104"/>
      <c r="I95" s="104"/>
      <c r="J95" s="104"/>
      <c r="K95" s="104"/>
      <c r="L95" s="104"/>
      <c r="M95" s="104"/>
      <c r="N95" s="104"/>
      <c r="O95" s="104"/>
      <c r="P95" s="104"/>
      <c r="Q95" s="104"/>
      <c r="R95" s="104"/>
      <c r="S95" s="104"/>
      <c r="T95" s="104"/>
      <c r="U95" s="104"/>
      <c r="V95" s="104"/>
      <c r="W95" s="104"/>
      <c r="X95" s="104"/>
    </row>
    <row r="96" spans="1:28">
      <c r="A96" s="166"/>
      <c r="B96" s="45"/>
      <c r="C96" s="104"/>
      <c r="D96" s="104"/>
      <c r="E96" s="104"/>
      <c r="F96" s="104"/>
      <c r="G96" s="104"/>
      <c r="H96" s="104"/>
      <c r="I96" s="104"/>
      <c r="J96" s="104"/>
      <c r="K96" s="104"/>
      <c r="L96" s="104"/>
      <c r="M96" s="104"/>
      <c r="N96" s="104"/>
      <c r="O96" s="104"/>
      <c r="P96" s="104"/>
      <c r="Q96" s="104"/>
      <c r="R96" s="104"/>
      <c r="S96" s="104"/>
      <c r="T96" s="104"/>
      <c r="U96" s="104"/>
      <c r="V96" s="104"/>
      <c r="W96" s="104"/>
      <c r="X96" s="104"/>
    </row>
    <row r="97" spans="1:25">
      <c r="A97" s="166"/>
      <c r="B97" s="45"/>
      <c r="C97" s="104"/>
      <c r="D97" s="104"/>
      <c r="E97" s="104"/>
      <c r="F97" s="104"/>
      <c r="G97" s="104"/>
      <c r="H97" s="104"/>
      <c r="I97" s="104"/>
      <c r="J97" s="104"/>
      <c r="K97" s="104"/>
      <c r="L97" s="104"/>
      <c r="M97" s="104"/>
      <c r="N97" s="104"/>
      <c r="O97" s="104"/>
      <c r="P97" s="104"/>
      <c r="Q97" s="104"/>
      <c r="R97" s="104"/>
      <c r="S97" s="104"/>
      <c r="T97" s="104"/>
      <c r="U97" s="104"/>
      <c r="V97" s="104"/>
      <c r="W97" s="104"/>
      <c r="X97" s="45"/>
    </row>
    <row r="98" spans="1:25">
      <c r="A98" s="166"/>
      <c r="B98" s="45"/>
      <c r="C98" s="104"/>
      <c r="D98" s="104"/>
      <c r="E98" s="104"/>
      <c r="F98" s="104"/>
      <c r="G98" s="104"/>
      <c r="H98" s="104"/>
      <c r="I98" s="104"/>
      <c r="J98" s="104"/>
      <c r="K98" s="104"/>
      <c r="L98" s="104"/>
      <c r="M98" s="104"/>
      <c r="N98" s="104"/>
      <c r="O98" s="104"/>
      <c r="P98" s="104"/>
      <c r="Q98" s="104"/>
      <c r="R98" s="104"/>
      <c r="S98" s="104"/>
      <c r="T98" s="104"/>
      <c r="U98" s="104"/>
      <c r="V98" s="104"/>
      <c r="W98" s="104"/>
      <c r="X98" s="45"/>
    </row>
    <row r="99" spans="1:25">
      <c r="A99" s="170"/>
      <c r="B99" s="45"/>
      <c r="C99" s="104"/>
      <c r="D99" s="104"/>
      <c r="E99" s="104"/>
      <c r="F99" s="104"/>
      <c r="G99" s="104"/>
      <c r="H99" s="104"/>
      <c r="I99" s="104"/>
      <c r="J99" s="104"/>
      <c r="K99" s="104"/>
      <c r="L99" s="104"/>
      <c r="M99" s="104"/>
      <c r="N99" s="104"/>
      <c r="O99" s="104"/>
      <c r="P99" s="104"/>
      <c r="Q99" s="104"/>
      <c r="R99" s="104"/>
      <c r="S99" s="104"/>
      <c r="T99" s="104"/>
      <c r="U99" s="104"/>
      <c r="V99" s="104"/>
      <c r="W99" s="104"/>
      <c r="X99" s="104"/>
    </row>
    <row r="100" spans="1:25">
      <c r="B100" s="45"/>
      <c r="C100" s="104"/>
      <c r="D100" s="104"/>
      <c r="E100" s="104"/>
      <c r="F100" s="104"/>
      <c r="G100" s="104"/>
      <c r="H100" s="104"/>
      <c r="I100" s="104"/>
      <c r="J100" s="104"/>
      <c r="K100" s="104"/>
      <c r="L100" s="104"/>
      <c r="M100" s="104"/>
      <c r="N100" s="104"/>
      <c r="O100" s="104"/>
      <c r="P100" s="104"/>
      <c r="Q100" s="104"/>
      <c r="R100" s="104"/>
      <c r="S100" s="104"/>
      <c r="T100" s="104"/>
      <c r="U100" s="104"/>
      <c r="V100" s="104"/>
      <c r="W100" s="104"/>
    </row>
    <row r="101" spans="1:25">
      <c r="B101" s="45"/>
      <c r="S101" s="45"/>
      <c r="T101" s="45"/>
      <c r="U101" s="45"/>
      <c r="V101" s="45"/>
      <c r="W101" s="45"/>
    </row>
    <row r="102" spans="1:25">
      <c r="B102" s="45"/>
      <c r="S102" s="45"/>
      <c r="T102" s="45"/>
      <c r="U102" s="45"/>
      <c r="V102" s="45"/>
      <c r="W102" s="45"/>
    </row>
    <row r="103" spans="1:25">
      <c r="B103" s="45"/>
      <c r="S103" s="45"/>
      <c r="T103" s="45"/>
      <c r="U103" s="45"/>
      <c r="V103" s="45"/>
      <c r="W103" s="45"/>
    </row>
    <row r="104" spans="1:25">
      <c r="A104" s="121"/>
      <c r="B104" s="45"/>
      <c r="C104" s="121"/>
      <c r="D104" s="121"/>
      <c r="E104" s="121"/>
      <c r="F104" s="121"/>
      <c r="G104" s="121"/>
      <c r="H104" s="121"/>
      <c r="I104" s="121"/>
      <c r="J104" s="121"/>
      <c r="K104" s="121"/>
      <c r="L104" s="121"/>
      <c r="M104" s="121"/>
      <c r="N104" s="121"/>
      <c r="O104" s="121"/>
      <c r="P104" s="121"/>
      <c r="Q104" s="121"/>
      <c r="R104" s="121"/>
      <c r="S104" s="45"/>
      <c r="T104" s="45"/>
      <c r="U104" s="45"/>
      <c r="V104" s="45"/>
      <c r="W104" s="45"/>
      <c r="X104" s="121"/>
      <c r="Y104" s="121"/>
    </row>
    <row r="105" spans="1:25">
      <c r="A105" s="121"/>
      <c r="B105" s="45"/>
      <c r="C105" s="121"/>
      <c r="D105" s="121"/>
      <c r="E105" s="121"/>
      <c r="F105" s="121"/>
      <c r="G105" s="121"/>
      <c r="H105" s="121"/>
      <c r="I105" s="121"/>
      <c r="J105" s="121"/>
      <c r="K105" s="121"/>
      <c r="L105" s="121"/>
      <c r="M105" s="45"/>
      <c r="N105" s="45"/>
      <c r="O105" s="45"/>
      <c r="P105" s="45"/>
      <c r="Q105" s="45"/>
      <c r="R105" s="45"/>
      <c r="S105" s="45"/>
      <c r="T105" s="45"/>
      <c r="U105" s="45"/>
      <c r="V105" s="45"/>
      <c r="W105" s="45"/>
      <c r="X105" s="121"/>
      <c r="Y105" s="121"/>
    </row>
    <row r="106" spans="1:25">
      <c r="A106" s="121"/>
      <c r="B106" s="45"/>
      <c r="C106" s="104"/>
      <c r="D106" s="104"/>
      <c r="E106" s="104"/>
      <c r="F106" s="104"/>
      <c r="G106" s="104"/>
      <c r="H106" s="104"/>
      <c r="I106" s="104"/>
      <c r="J106" s="104"/>
      <c r="K106" s="104"/>
      <c r="L106" s="104"/>
      <c r="M106" s="104"/>
      <c r="N106" s="104"/>
      <c r="O106" s="104"/>
      <c r="P106" s="104"/>
      <c r="Q106" s="104"/>
      <c r="R106" s="104"/>
      <c r="S106" s="104"/>
      <c r="T106" s="104"/>
      <c r="U106" s="104"/>
      <c r="V106" s="104"/>
      <c r="W106" s="104"/>
      <c r="X106" s="121"/>
      <c r="Y106" s="121"/>
    </row>
    <row r="107" spans="1:25">
      <c r="A107" s="121"/>
      <c r="B107" s="121"/>
      <c r="C107" s="121"/>
      <c r="D107" s="121"/>
      <c r="E107" s="121"/>
      <c r="F107" s="121"/>
      <c r="G107" s="121"/>
      <c r="H107" s="121"/>
      <c r="I107" s="121"/>
      <c r="J107" s="121"/>
      <c r="K107" s="121"/>
      <c r="L107" s="121"/>
      <c r="M107" s="121"/>
      <c r="N107" s="121"/>
      <c r="O107" s="121"/>
      <c r="P107" s="121"/>
      <c r="Q107" s="121"/>
      <c r="R107" s="121"/>
      <c r="S107" s="121"/>
      <c r="T107" s="121"/>
      <c r="U107" s="121"/>
      <c r="V107" s="121"/>
      <c r="W107" s="121"/>
      <c r="X107" s="121"/>
      <c r="Y107" s="121"/>
    </row>
    <row r="108" spans="1:25">
      <c r="A108" s="121"/>
      <c r="B108" s="121"/>
      <c r="C108" s="121"/>
      <c r="D108" s="121"/>
      <c r="E108" s="121"/>
      <c r="F108" s="121"/>
      <c r="G108" s="121"/>
      <c r="H108" s="121"/>
      <c r="I108" s="121"/>
      <c r="J108" s="121"/>
      <c r="K108" s="121"/>
      <c r="L108" s="121"/>
      <c r="M108" s="121"/>
      <c r="N108" s="121"/>
      <c r="O108" s="121"/>
      <c r="P108" s="121"/>
      <c r="Q108" s="121"/>
      <c r="R108" s="121"/>
      <c r="S108" s="121"/>
      <c r="T108" s="121"/>
      <c r="U108" s="121"/>
      <c r="V108" s="121"/>
      <c r="W108" s="121"/>
      <c r="X108" s="121"/>
      <c r="Y108" s="121"/>
    </row>
    <row r="109" spans="1:25">
      <c r="A109" s="187"/>
      <c r="B109" s="45"/>
      <c r="C109" s="121"/>
      <c r="D109" s="121"/>
      <c r="E109" s="121"/>
      <c r="F109" s="121"/>
      <c r="G109" s="121"/>
      <c r="H109" s="121"/>
      <c r="I109" s="121"/>
      <c r="J109" s="121"/>
      <c r="K109" s="121"/>
      <c r="L109" s="121"/>
      <c r="M109" s="121"/>
      <c r="N109" s="121"/>
      <c r="O109" s="121"/>
      <c r="P109" s="121"/>
      <c r="Q109" s="121"/>
      <c r="R109" s="121"/>
      <c r="S109" s="121"/>
      <c r="T109" s="121"/>
      <c r="U109" s="121"/>
      <c r="V109" s="121"/>
      <c r="W109" s="121"/>
      <c r="X109" s="121"/>
      <c r="Y109" s="121"/>
    </row>
    <row r="110" spans="1:25">
      <c r="A110" s="187"/>
      <c r="B110" s="45"/>
      <c r="C110" s="121"/>
      <c r="D110" s="121"/>
      <c r="E110" s="121"/>
      <c r="F110" s="121"/>
      <c r="G110" s="121"/>
      <c r="H110" s="121"/>
      <c r="I110" s="121"/>
      <c r="J110" s="121"/>
      <c r="K110" s="121"/>
      <c r="L110" s="121"/>
      <c r="M110" s="121"/>
      <c r="N110" s="121"/>
      <c r="O110" s="121"/>
      <c r="P110" s="121"/>
      <c r="Q110" s="121"/>
      <c r="R110" s="121"/>
      <c r="S110" s="121"/>
      <c r="T110" s="121"/>
      <c r="U110" s="121"/>
      <c r="V110" s="121"/>
      <c r="W110" s="121"/>
      <c r="X110" s="121"/>
      <c r="Y110" s="121"/>
    </row>
    <row r="111" spans="1:25">
      <c r="A111" s="187"/>
      <c r="B111" s="45"/>
      <c r="C111" s="121"/>
      <c r="D111" s="121"/>
      <c r="E111" s="121"/>
      <c r="F111" s="121"/>
      <c r="G111" s="121"/>
      <c r="H111" s="121"/>
      <c r="I111" s="121"/>
      <c r="J111" s="121"/>
      <c r="K111" s="121"/>
      <c r="L111" s="121"/>
      <c r="M111" s="121"/>
      <c r="N111" s="121"/>
      <c r="O111" s="121"/>
      <c r="P111" s="121"/>
      <c r="Q111" s="121"/>
      <c r="R111" s="121"/>
      <c r="S111" s="121"/>
      <c r="T111" s="121"/>
      <c r="U111" s="121"/>
      <c r="V111" s="121"/>
      <c r="W111" s="121"/>
      <c r="X111" s="121"/>
      <c r="Y111" s="121"/>
    </row>
    <row r="112" spans="1:25">
      <c r="A112" s="166"/>
      <c r="B112" s="45"/>
    </row>
    <row r="113" spans="2:2">
      <c r="B113" s="45"/>
    </row>
    <row r="114" spans="2:2">
      <c r="B114" s="45"/>
    </row>
    <row r="115" spans="2:2">
      <c r="B115" s="45"/>
    </row>
    <row r="116" spans="2:2">
      <c r="B116" s="45"/>
    </row>
    <row r="117" spans="2:2">
      <c r="B117" s="45"/>
    </row>
  </sheetData>
  <mergeCells count="284">
    <mergeCell ref="C13:D13"/>
    <mergeCell ref="E13:J13"/>
    <mergeCell ref="K13:M13"/>
    <mergeCell ref="O13:O14"/>
    <mergeCell ref="A15:A16"/>
    <mergeCell ref="B15:B16"/>
    <mergeCell ref="C15:D15"/>
    <mergeCell ref="Y19:AA19"/>
    <mergeCell ref="Q20:R20"/>
    <mergeCell ref="S20:X20"/>
    <mergeCell ref="Y20:AA20"/>
    <mergeCell ref="Y13:AA13"/>
    <mergeCell ref="Q14:R14"/>
    <mergeCell ref="S14:X14"/>
    <mergeCell ref="Y14:AA14"/>
    <mergeCell ref="Q13:R13"/>
    <mergeCell ref="S13:X13"/>
    <mergeCell ref="Y17:AA17"/>
    <mergeCell ref="Y18:AA18"/>
    <mergeCell ref="Y15:AA15"/>
    <mergeCell ref="Y16:AA16"/>
    <mergeCell ref="Q19:R19"/>
    <mergeCell ref="S19:X19"/>
    <mergeCell ref="S15:X15"/>
    <mergeCell ref="Y9:AA9"/>
    <mergeCell ref="Q10:R10"/>
    <mergeCell ref="S10:X10"/>
    <mergeCell ref="Y10:AA10"/>
    <mergeCell ref="Q9:R9"/>
    <mergeCell ref="S9:X9"/>
    <mergeCell ref="Q11:R12"/>
    <mergeCell ref="S11:X12"/>
    <mergeCell ref="Y11:AA12"/>
    <mergeCell ref="A11:A12"/>
    <mergeCell ref="B11:B12"/>
    <mergeCell ref="C19:D19"/>
    <mergeCell ref="E11:J11"/>
    <mergeCell ref="K11:M11"/>
    <mergeCell ref="O11:O12"/>
    <mergeCell ref="P11:P12"/>
    <mergeCell ref="A9:A10"/>
    <mergeCell ref="C12:D12"/>
    <mergeCell ref="E12:J12"/>
    <mergeCell ref="K12:M12"/>
    <mergeCell ref="C10:D10"/>
    <mergeCell ref="E10:J10"/>
    <mergeCell ref="K10:M10"/>
    <mergeCell ref="C11:D11"/>
    <mergeCell ref="P13:P14"/>
    <mergeCell ref="B9:B10"/>
    <mergeCell ref="C9:D9"/>
    <mergeCell ref="E9:J9"/>
    <mergeCell ref="K9:M9"/>
    <mergeCell ref="O9:O10"/>
    <mergeCell ref="P9:P10"/>
    <mergeCell ref="A13:A14"/>
    <mergeCell ref="B13:B14"/>
    <mergeCell ref="A4:D4"/>
    <mergeCell ref="C6:D6"/>
    <mergeCell ref="E6:J6"/>
    <mergeCell ref="K6:M6"/>
    <mergeCell ref="Q6:R6"/>
    <mergeCell ref="S6:X6"/>
    <mergeCell ref="P7:P8"/>
    <mergeCell ref="Y7:AA7"/>
    <mergeCell ref="C8:D8"/>
    <mergeCell ref="E8:J8"/>
    <mergeCell ref="K8:M8"/>
    <mergeCell ref="Q8:R8"/>
    <mergeCell ref="S8:X8"/>
    <mergeCell ref="Y8:AA8"/>
    <mergeCell ref="Y6:AA6"/>
    <mergeCell ref="A7:A8"/>
    <mergeCell ref="B7:B8"/>
    <mergeCell ref="C7:D7"/>
    <mergeCell ref="E7:J7"/>
    <mergeCell ref="K7:M7"/>
    <mergeCell ref="O7:O8"/>
    <mergeCell ref="Q7:R7"/>
    <mergeCell ref="S7:X7"/>
    <mergeCell ref="E15:J15"/>
    <mergeCell ref="K15:M15"/>
    <mergeCell ref="O15:O16"/>
    <mergeCell ref="C14:D14"/>
    <mergeCell ref="E14:J14"/>
    <mergeCell ref="K14:M14"/>
    <mergeCell ref="P15:P16"/>
    <mergeCell ref="Q15:R15"/>
    <mergeCell ref="O17:O18"/>
    <mergeCell ref="O21:O22"/>
    <mergeCell ref="S18:X18"/>
    <mergeCell ref="C16:D16"/>
    <mergeCell ref="E16:J16"/>
    <mergeCell ref="K16:M16"/>
    <mergeCell ref="Q16:R16"/>
    <mergeCell ref="S16:X16"/>
    <mergeCell ref="S21:X21"/>
    <mergeCell ref="A19:A20"/>
    <mergeCell ref="B19:B20"/>
    <mergeCell ref="E19:J19"/>
    <mergeCell ref="K19:M19"/>
    <mergeCell ref="O19:O20"/>
    <mergeCell ref="P17:P18"/>
    <mergeCell ref="Q17:R17"/>
    <mergeCell ref="S17:X17"/>
    <mergeCell ref="P19:P20"/>
    <mergeCell ref="C20:D20"/>
    <mergeCell ref="P21:P22"/>
    <mergeCell ref="Q18:R18"/>
    <mergeCell ref="A17:A18"/>
    <mergeCell ref="Q21:R21"/>
    <mergeCell ref="A23:A24"/>
    <mergeCell ref="B23:B24"/>
    <mergeCell ref="C22:D22"/>
    <mergeCell ref="E22:J22"/>
    <mergeCell ref="K22:M22"/>
    <mergeCell ref="B17:B18"/>
    <mergeCell ref="C17:D17"/>
    <mergeCell ref="E17:J17"/>
    <mergeCell ref="K17:M17"/>
    <mergeCell ref="E20:J20"/>
    <mergeCell ref="K20:M20"/>
    <mergeCell ref="C18:D18"/>
    <mergeCell ref="E18:J18"/>
    <mergeCell ref="K18:M18"/>
    <mergeCell ref="A21:A22"/>
    <mergeCell ref="B21:B22"/>
    <mergeCell ref="C21:D21"/>
    <mergeCell ref="E21:J21"/>
    <mergeCell ref="K21:M21"/>
    <mergeCell ref="P23:P24"/>
    <mergeCell ref="Q23:R23"/>
    <mergeCell ref="S23:X23"/>
    <mergeCell ref="Y23:AA23"/>
    <mergeCell ref="C24:D24"/>
    <mergeCell ref="E24:J24"/>
    <mergeCell ref="K24:M24"/>
    <mergeCell ref="Q24:R24"/>
    <mergeCell ref="S24:X24"/>
    <mergeCell ref="Y24:AA24"/>
    <mergeCell ref="C23:D23"/>
    <mergeCell ref="E23:J23"/>
    <mergeCell ref="K23:M23"/>
    <mergeCell ref="O23:O24"/>
    <mergeCell ref="E25:J25"/>
    <mergeCell ref="K26:M26"/>
    <mergeCell ref="O25:O26"/>
    <mergeCell ref="P25:P26"/>
    <mergeCell ref="Q25:R25"/>
    <mergeCell ref="S25:X25"/>
    <mergeCell ref="Y25:AA25"/>
    <mergeCell ref="C26:D26"/>
    <mergeCell ref="E26:J26"/>
    <mergeCell ref="A27:A28"/>
    <mergeCell ref="B27:B28"/>
    <mergeCell ref="A33:A34"/>
    <mergeCell ref="B33:B34"/>
    <mergeCell ref="A25:A26"/>
    <mergeCell ref="B25:B26"/>
    <mergeCell ref="O33:O34"/>
    <mergeCell ref="C28:D28"/>
    <mergeCell ref="K33:M33"/>
    <mergeCell ref="K34:M34"/>
    <mergeCell ref="A29:A30"/>
    <mergeCell ref="B29:B30"/>
    <mergeCell ref="O29:O30"/>
    <mergeCell ref="A31:A32"/>
    <mergeCell ref="B31:B32"/>
    <mergeCell ref="C31:D31"/>
    <mergeCell ref="E31:J31"/>
    <mergeCell ref="K31:M31"/>
    <mergeCell ref="O31:O32"/>
    <mergeCell ref="K25:M25"/>
    <mergeCell ref="C27:D27"/>
    <mergeCell ref="E27:J27"/>
    <mergeCell ref="E28:J28"/>
    <mergeCell ref="C25:D25"/>
    <mergeCell ref="E33:J33"/>
    <mergeCell ref="E34:J34"/>
    <mergeCell ref="Y27:AA27"/>
    <mergeCell ref="Q28:R28"/>
    <mergeCell ref="S28:X28"/>
    <mergeCell ref="Y28:AA28"/>
    <mergeCell ref="Y31:AA31"/>
    <mergeCell ref="C32:D32"/>
    <mergeCell ref="E32:J32"/>
    <mergeCell ref="K32:M32"/>
    <mergeCell ref="Q32:R32"/>
    <mergeCell ref="S32:X32"/>
    <mergeCell ref="Y32:AA32"/>
    <mergeCell ref="P31:P32"/>
    <mergeCell ref="Q31:R31"/>
    <mergeCell ref="S31:X31"/>
    <mergeCell ref="O27:O28"/>
    <mergeCell ref="C34:D34"/>
    <mergeCell ref="K28:M28"/>
    <mergeCell ref="K27:M27"/>
    <mergeCell ref="C33:D33"/>
    <mergeCell ref="P27:P28"/>
    <mergeCell ref="P33:P34"/>
    <mergeCell ref="Y21:AA21"/>
    <mergeCell ref="S36:X36"/>
    <mergeCell ref="Y36:AA36"/>
    <mergeCell ref="P35:P36"/>
    <mergeCell ref="Q35:R35"/>
    <mergeCell ref="S35:X35"/>
    <mergeCell ref="A45:N45"/>
    <mergeCell ref="A73:P73"/>
    <mergeCell ref="A74:T74"/>
    <mergeCell ref="C29:D29"/>
    <mergeCell ref="E29:J29"/>
    <mergeCell ref="K29:M29"/>
    <mergeCell ref="C30:D30"/>
    <mergeCell ref="E30:J30"/>
    <mergeCell ref="K30:M30"/>
    <mergeCell ref="A58:N58"/>
    <mergeCell ref="A60:N60"/>
    <mergeCell ref="A61:N61"/>
    <mergeCell ref="A62:N62"/>
    <mergeCell ref="A63:N63"/>
    <mergeCell ref="A64:X64"/>
    <mergeCell ref="A65:X65"/>
    <mergeCell ref="A66:T66"/>
    <mergeCell ref="A67:T67"/>
    <mergeCell ref="Y38:AA38"/>
    <mergeCell ref="Y33:AA33"/>
    <mergeCell ref="Q34:R34"/>
    <mergeCell ref="S34:X34"/>
    <mergeCell ref="Y34:AA34"/>
    <mergeCell ref="Y35:AA35"/>
    <mergeCell ref="S33:X33"/>
    <mergeCell ref="Q26:R26"/>
    <mergeCell ref="S26:X26"/>
    <mergeCell ref="Y26:AA26"/>
    <mergeCell ref="Q38:R38"/>
    <mergeCell ref="Q33:R33"/>
    <mergeCell ref="Q36:R36"/>
    <mergeCell ref="Q27:R27"/>
    <mergeCell ref="S27:X27"/>
    <mergeCell ref="A68:T68"/>
    <mergeCell ref="A69:T69"/>
    <mergeCell ref="A70:L70"/>
    <mergeCell ref="A71:N71"/>
    <mergeCell ref="B35:B36"/>
    <mergeCell ref="A47:N47"/>
    <mergeCell ref="A48:N48"/>
    <mergeCell ref="A49:X49"/>
    <mergeCell ref="A50:U50"/>
    <mergeCell ref="S38:X38"/>
    <mergeCell ref="A35:A36"/>
    <mergeCell ref="C38:D38"/>
    <mergeCell ref="E38:J38"/>
    <mergeCell ref="K38:M38"/>
    <mergeCell ref="C53:H53"/>
    <mergeCell ref="C36:D36"/>
    <mergeCell ref="E36:J36"/>
    <mergeCell ref="K36:M36"/>
    <mergeCell ref="C54:H54"/>
    <mergeCell ref="A46:N46"/>
    <mergeCell ref="A59:N59"/>
    <mergeCell ref="AB11:AB12"/>
    <mergeCell ref="A72:R72"/>
    <mergeCell ref="Y29:AA29"/>
    <mergeCell ref="Q30:R30"/>
    <mergeCell ref="S30:X30"/>
    <mergeCell ref="Y30:AA30"/>
    <mergeCell ref="P29:P30"/>
    <mergeCell ref="Q29:R29"/>
    <mergeCell ref="S29:X29"/>
    <mergeCell ref="A56:B56"/>
    <mergeCell ref="P37:P38"/>
    <mergeCell ref="Q37:R37"/>
    <mergeCell ref="S37:X37"/>
    <mergeCell ref="Y37:AA37"/>
    <mergeCell ref="C35:D35"/>
    <mergeCell ref="E35:J35"/>
    <mergeCell ref="K35:M35"/>
    <mergeCell ref="O35:O36"/>
    <mergeCell ref="A42:D42"/>
    <mergeCell ref="O37:O38"/>
    <mergeCell ref="A44:N44"/>
    <mergeCell ref="Q22:R22"/>
    <mergeCell ref="S22:X22"/>
    <mergeCell ref="Y22:AA22"/>
  </mergeCells>
  <phoneticPr fontId="8"/>
  <dataValidations disablePrompts="1" count="1">
    <dataValidation type="list" allowBlank="1" showInputMessage="1" showErrorMessage="1" sqref="P7 P37 P11 B9 B13 B15 B17 B19 B21 B23 B25 B27 B29 B31 B33 P9 B35 B11 B7 P15 P19 P23 P27 P31 P35 P13 P17 P21 P25 P29 P33" xr:uid="{00000000-0002-0000-0700-000000000000}">
      <formula1>"日,月,火,水,木,金,土"</formula1>
    </dataValidation>
  </dataValidations>
  <pageMargins left="0.78740157480314965" right="0.59055118110236227" top="0.98425196850393704" bottom="3.937007874015748E-2" header="0.51181102362204722" footer="0.51181102362204722"/>
  <pageSetup paperSize="9" scale="48" orientation="landscape" r:id="rId1"/>
  <headerFooter alignWithMargins="0"/>
  <rowBreaks count="1" manualBreakCount="1">
    <brk id="10" max="28" man="1"/>
  </rowBreaks>
  <colBreaks count="1" manualBreakCount="1">
    <brk id="27" max="80"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M52"/>
  <sheetViews>
    <sheetView view="pageBreakPreview" topLeftCell="A13" zoomScale="80" zoomScaleNormal="100" zoomScaleSheetLayoutView="80" workbookViewId="0">
      <selection activeCell="L36" sqref="L36"/>
    </sheetView>
  </sheetViews>
  <sheetFormatPr defaultColWidth="9" defaultRowHeight="12.75"/>
  <cols>
    <col min="1" max="1" width="11.86328125" style="23" customWidth="1"/>
    <col min="2" max="2" width="14.1328125" style="23" customWidth="1"/>
    <col min="3" max="3" width="14.1328125" style="207" customWidth="1"/>
    <col min="4" max="4" width="11.59765625" style="23" customWidth="1"/>
    <col min="5" max="5" width="2.59765625" style="23" customWidth="1"/>
    <col min="6" max="6" width="11.86328125" style="23" customWidth="1"/>
    <col min="7" max="8" width="14.59765625" style="23" customWidth="1"/>
    <col min="9" max="9" width="10.59765625" style="23" customWidth="1"/>
    <col min="10" max="10" width="11.59765625" style="23" customWidth="1"/>
    <col min="11" max="13" width="10.59765625" style="23" customWidth="1"/>
    <col min="14" max="16384" width="9" style="23"/>
  </cols>
  <sheetData>
    <row r="1" spans="1:65" s="7" customFormat="1" ht="20.25" customHeight="1">
      <c r="A1" s="1159" t="s">
        <v>109</v>
      </c>
      <c r="B1" s="1160"/>
      <c r="C1" s="1161"/>
      <c r="D1" s="40" t="s">
        <v>237</v>
      </c>
      <c r="E1" s="41"/>
      <c r="F1" s="41"/>
      <c r="G1" s="41"/>
      <c r="H1" s="41"/>
      <c r="I1" s="41"/>
      <c r="J1"/>
      <c r="K1"/>
      <c r="L1" s="1162" t="s">
        <v>125</v>
      </c>
      <c r="M1" s="1162"/>
      <c r="N1" s="1162"/>
      <c r="O1" s="1162"/>
      <c r="P1" s="1162"/>
      <c r="Q1" s="1162"/>
      <c r="R1" s="1162"/>
      <c r="S1" s="1162"/>
      <c r="T1" s="1162"/>
      <c r="U1" s="1162"/>
      <c r="V1" s="96"/>
      <c r="W1" s="96"/>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row>
    <row r="2" spans="1:65" s="7" customFormat="1" ht="20.25" customHeight="1">
      <c r="A2"/>
      <c r="B2"/>
      <c r="C2" s="203"/>
      <c r="D2"/>
      <c r="E2"/>
      <c r="F2"/>
      <c r="G2"/>
      <c r="H2"/>
      <c r="I2"/>
      <c r="J2"/>
      <c r="K2"/>
      <c r="L2" s="1162"/>
      <c r="M2" s="1162"/>
      <c r="N2" s="1162"/>
      <c r="O2" s="1162"/>
      <c r="P2" s="1162"/>
      <c r="Q2" s="1162"/>
      <c r="R2" s="1162"/>
      <c r="S2" s="1162"/>
      <c r="T2" s="1162"/>
      <c r="U2" s="1162"/>
      <c r="V2" s="96"/>
      <c r="W2" s="96"/>
      <c r="X2"/>
      <c r="Y2"/>
      <c r="Z2"/>
      <c r="AA2"/>
      <c r="AB2"/>
      <c r="AC2"/>
      <c r="AD2"/>
      <c r="AE2"/>
      <c r="AF2"/>
      <c r="AG2"/>
      <c r="AH2"/>
      <c r="AI2"/>
      <c r="AJ2"/>
      <c r="AK2"/>
      <c r="AL2"/>
      <c r="AM2"/>
      <c r="AN2"/>
      <c r="AO2"/>
      <c r="AP2"/>
      <c r="AQ2"/>
      <c r="AR2"/>
      <c r="AS2"/>
      <c r="AT2"/>
      <c r="AU2"/>
      <c r="AV2"/>
      <c r="AW2"/>
      <c r="AX2"/>
      <c r="AY2"/>
    </row>
    <row r="3" spans="1:65" ht="22.5" customHeight="1">
      <c r="A3" s="36" t="s">
        <v>0</v>
      </c>
      <c r="B3" s="7"/>
      <c r="C3" s="11"/>
      <c r="D3" s="7"/>
      <c r="E3" s="7"/>
      <c r="F3" s="36" t="s">
        <v>1</v>
      </c>
      <c r="G3" s="7"/>
      <c r="H3" s="11"/>
      <c r="I3" s="7"/>
      <c r="J3"/>
      <c r="K3"/>
      <c r="L3" s="1162"/>
      <c r="M3" s="1162"/>
      <c r="N3" s="1162"/>
      <c r="O3" s="1162"/>
      <c r="P3" s="1162"/>
      <c r="Q3" s="1162"/>
      <c r="R3" s="1162"/>
      <c r="S3" s="1162"/>
      <c r="T3" s="1162"/>
      <c r="U3" s="1162"/>
      <c r="V3" s="96"/>
      <c r="W3" s="96"/>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row>
    <row r="4" spans="1:65" ht="30" customHeight="1">
      <c r="A4" s="91"/>
      <c r="B4" s="43" t="s">
        <v>20</v>
      </c>
      <c r="C4" s="44" t="s">
        <v>21</v>
      </c>
      <c r="D4" s="92" t="s">
        <v>18</v>
      </c>
      <c r="E4" s="7"/>
      <c r="F4" s="91"/>
      <c r="G4" s="44" t="s">
        <v>20</v>
      </c>
      <c r="H4" s="44" t="s">
        <v>21</v>
      </c>
      <c r="I4" s="168" t="s">
        <v>18</v>
      </c>
      <c r="J4" s="114" t="s">
        <v>123</v>
      </c>
      <c r="K4" s="44" t="s">
        <v>124</v>
      </c>
      <c r="L4" s="1162"/>
      <c r="M4" s="1162"/>
      <c r="N4" s="1162"/>
      <c r="O4" s="1162"/>
      <c r="P4" s="1162"/>
      <c r="Q4" s="1162"/>
      <c r="R4" s="1162"/>
      <c r="S4" s="1162"/>
      <c r="T4" s="1162"/>
      <c r="U4" s="1162"/>
      <c r="V4" s="96"/>
      <c r="W4" s="96"/>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row>
    <row r="5" spans="1:65" ht="20.25" customHeight="1">
      <c r="A5" s="416">
        <v>45017</v>
      </c>
      <c r="B5" s="417">
        <v>54</v>
      </c>
      <c r="C5" s="417">
        <v>105</v>
      </c>
      <c r="D5" s="907">
        <f t="shared" ref="D5" si="0">SUM(C5/B5)</f>
        <v>1.9444444444444444</v>
      </c>
      <c r="E5" s="7"/>
      <c r="F5" s="416">
        <v>45017</v>
      </c>
      <c r="G5" s="425">
        <v>25898</v>
      </c>
      <c r="H5" s="425">
        <v>38162</v>
      </c>
      <c r="I5" s="907">
        <f t="shared" ref="I5" si="1">SUM(H5/G5)</f>
        <v>1.4735500810873428</v>
      </c>
      <c r="J5" s="426">
        <f>IF(K5="","",K5*2400)</f>
        <v>148.80000000000001</v>
      </c>
      <c r="K5" s="115">
        <v>6.2E-2</v>
      </c>
      <c r="L5" s="1162"/>
      <c r="M5" s="1162"/>
      <c r="N5" s="1162"/>
      <c r="O5" s="1162"/>
      <c r="P5" s="1162"/>
      <c r="Q5" s="1162"/>
      <c r="R5" s="1162"/>
      <c r="S5" s="1162"/>
      <c r="T5" s="1162"/>
      <c r="U5" s="1162"/>
      <c r="V5" s="96"/>
      <c r="W5" s="96"/>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1:65" ht="20.25" customHeight="1">
      <c r="A6" s="418" t="s">
        <v>88</v>
      </c>
      <c r="B6" s="417">
        <v>72</v>
      </c>
      <c r="C6" s="417"/>
      <c r="D6" s="907"/>
      <c r="E6" s="7"/>
      <c r="F6" s="418" t="s">
        <v>88</v>
      </c>
      <c r="G6" s="427">
        <v>18220</v>
      </c>
      <c r="H6" s="427"/>
      <c r="I6" s="907"/>
      <c r="J6" s="426"/>
      <c r="K6" s="116">
        <v>3.5000000000000003E-2</v>
      </c>
      <c r="L6" s="1162"/>
      <c r="M6" s="1162"/>
      <c r="N6" s="1162"/>
      <c r="O6" s="1162"/>
      <c r="P6" s="1162"/>
      <c r="Q6" s="1162"/>
      <c r="R6" s="1162"/>
      <c r="S6" s="1162"/>
      <c r="T6" s="1162"/>
      <c r="U6" s="1162"/>
      <c r="V6" s="96"/>
      <c r="W6" s="9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1:65" ht="20.25" customHeight="1">
      <c r="A7" s="418" t="s">
        <v>89</v>
      </c>
      <c r="B7" s="417">
        <v>110</v>
      </c>
      <c r="C7" s="417"/>
      <c r="D7" s="907"/>
      <c r="E7" s="7"/>
      <c r="F7" s="418" t="s">
        <v>89</v>
      </c>
      <c r="G7" s="425">
        <v>22060</v>
      </c>
      <c r="H7" s="425" t="s">
        <v>778</v>
      </c>
      <c r="I7" s="907"/>
      <c r="J7" s="426"/>
      <c r="K7" s="188">
        <v>4.1000000000000002E-2</v>
      </c>
      <c r="L7" s="1162"/>
      <c r="M7" s="1162"/>
      <c r="N7" s="1162"/>
      <c r="O7" s="1162"/>
      <c r="P7" s="1162"/>
      <c r="Q7" s="1162"/>
      <c r="R7" s="1162"/>
      <c r="S7" s="1162"/>
      <c r="T7" s="1162"/>
      <c r="U7" s="1162"/>
      <c r="V7" s="96"/>
      <c r="W7" s="96"/>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1:65" ht="20.25" customHeight="1">
      <c r="A8" s="418" t="s">
        <v>90</v>
      </c>
      <c r="B8" s="419">
        <v>104</v>
      </c>
      <c r="C8" s="419"/>
      <c r="D8" s="907"/>
      <c r="E8" s="7"/>
      <c r="F8" s="418" t="s">
        <v>90</v>
      </c>
      <c r="G8" s="427">
        <v>28944</v>
      </c>
      <c r="H8" s="427"/>
      <c r="I8" s="907"/>
      <c r="J8" s="426"/>
      <c r="K8" s="188">
        <v>6.0999999999999999E-2</v>
      </c>
      <c r="L8" s="1162"/>
      <c r="M8" s="1162"/>
      <c r="N8" s="1162"/>
      <c r="O8" s="1162"/>
      <c r="P8" s="1162"/>
      <c r="Q8" s="1162"/>
      <c r="R8" s="1162"/>
      <c r="S8" s="1162"/>
      <c r="T8" s="1162"/>
      <c r="U8" s="1162"/>
      <c r="V8" s="96"/>
      <c r="W8" s="96"/>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1:65" ht="20.25" customHeight="1">
      <c r="A9" s="418" t="s">
        <v>91</v>
      </c>
      <c r="B9" s="417">
        <v>112</v>
      </c>
      <c r="C9" s="417"/>
      <c r="D9" s="907"/>
      <c r="E9" s="7"/>
      <c r="F9" s="418" t="s">
        <v>91</v>
      </c>
      <c r="G9" s="425">
        <v>38740</v>
      </c>
      <c r="H9" s="425"/>
      <c r="I9" s="907"/>
      <c r="J9" s="426"/>
      <c r="K9" s="188">
        <v>7.0000000000000007E-2</v>
      </c>
      <c r="L9" s="1162"/>
      <c r="M9" s="1162"/>
      <c r="N9" s="1162"/>
      <c r="O9" s="1162"/>
      <c r="P9" s="1162"/>
      <c r="Q9" s="1162"/>
      <c r="R9" s="1162"/>
      <c r="S9" s="1162"/>
      <c r="T9" s="1162"/>
      <c r="U9" s="1162"/>
      <c r="V9" s="96"/>
      <c r="W9" s="96"/>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1:65" ht="20.25" customHeight="1">
      <c r="A10" s="418" t="s">
        <v>92</v>
      </c>
      <c r="B10" s="420">
        <v>128</v>
      </c>
      <c r="C10" s="420"/>
      <c r="D10" s="907"/>
      <c r="E10" s="7"/>
      <c r="F10" s="418" t="s">
        <v>92</v>
      </c>
      <c r="G10" s="427">
        <v>40756</v>
      </c>
      <c r="H10" s="427"/>
      <c r="I10" s="907"/>
      <c r="J10" s="426"/>
      <c r="K10" s="188">
        <v>0.11600000000000001</v>
      </c>
      <c r="L10" s="1162"/>
      <c r="M10" s="1162"/>
      <c r="N10" s="1162"/>
      <c r="O10" s="1162"/>
      <c r="P10" s="1162"/>
      <c r="Q10" s="1162"/>
      <c r="R10" s="1162"/>
      <c r="S10" s="1162"/>
      <c r="T10" s="1162"/>
      <c r="U10" s="1162"/>
      <c r="V10" s="96"/>
      <c r="W10" s="96"/>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ht="20.25" customHeight="1">
      <c r="A11" s="418" t="s">
        <v>93</v>
      </c>
      <c r="B11" s="417">
        <v>240</v>
      </c>
      <c r="C11" s="417"/>
      <c r="D11" s="907"/>
      <c r="E11" s="7"/>
      <c r="F11" s="418" t="s">
        <v>93</v>
      </c>
      <c r="G11" s="425">
        <v>31449</v>
      </c>
      <c r="H11" s="425"/>
      <c r="I11" s="907"/>
      <c r="J11" s="426"/>
      <c r="K11" s="189">
        <v>6.0999999999999999E-2</v>
      </c>
      <c r="L11" s="1162"/>
      <c r="M11" s="1162"/>
      <c r="N11" s="1162"/>
      <c r="O11" s="1162"/>
      <c r="P11" s="1162"/>
      <c r="Q11" s="1162"/>
      <c r="R11" s="1162"/>
      <c r="S11" s="1162"/>
      <c r="T11" s="1162"/>
      <c r="U11" s="1162"/>
      <c r="V11" s="96"/>
      <c r="W11" s="96"/>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ht="20.25" customHeight="1">
      <c r="A12" s="418" t="s">
        <v>94</v>
      </c>
      <c r="B12" s="420">
        <v>486</v>
      </c>
      <c r="C12" s="420"/>
      <c r="D12" s="907"/>
      <c r="E12" s="7"/>
      <c r="F12" s="418" t="s">
        <v>94</v>
      </c>
      <c r="G12" s="427">
        <v>30307</v>
      </c>
      <c r="H12" s="427"/>
      <c r="I12" s="907"/>
      <c r="J12" s="426"/>
      <c r="K12" s="190">
        <v>4.5999999999999999E-2</v>
      </c>
      <c r="L12" s="1162"/>
      <c r="M12" s="1162"/>
      <c r="N12" s="1162"/>
      <c r="O12" s="1162"/>
      <c r="P12" s="1162"/>
      <c r="Q12" s="1162"/>
      <c r="R12" s="1162"/>
      <c r="S12" s="1162"/>
      <c r="T12" s="1162"/>
      <c r="U12" s="1162"/>
      <c r="V12" s="96"/>
      <c r="W12" s="96"/>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ht="20.25" customHeight="1">
      <c r="A13" s="418" t="s">
        <v>95</v>
      </c>
      <c r="B13" s="417">
        <v>511</v>
      </c>
      <c r="C13" s="417"/>
      <c r="D13" s="907"/>
      <c r="E13" s="7"/>
      <c r="F13" s="418" t="s">
        <v>95</v>
      </c>
      <c r="G13" s="425">
        <v>40699</v>
      </c>
      <c r="H13" s="425"/>
      <c r="I13" s="907"/>
      <c r="J13" s="426"/>
      <c r="K13" s="188">
        <v>7.5999999999999998E-2</v>
      </c>
      <c r="L13" s="1162"/>
      <c r="M13" s="1162"/>
      <c r="N13" s="1162"/>
      <c r="O13" s="1162"/>
      <c r="P13" s="1162"/>
      <c r="Q13" s="1162"/>
      <c r="R13" s="1162"/>
      <c r="S13" s="1162"/>
      <c r="T13" s="1162"/>
      <c r="U13" s="1162"/>
      <c r="V13" s="96"/>
      <c r="W13" s="96"/>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ht="20.25" customHeight="1">
      <c r="A14" s="421">
        <v>45292</v>
      </c>
      <c r="B14" s="417">
        <v>186</v>
      </c>
      <c r="C14" s="417"/>
      <c r="D14" s="907"/>
      <c r="E14" s="7"/>
      <c r="F14" s="421">
        <v>45292</v>
      </c>
      <c r="G14" s="427">
        <v>54710</v>
      </c>
      <c r="H14" s="427"/>
      <c r="I14" s="907"/>
      <c r="J14" s="426"/>
      <c r="K14" s="188">
        <v>8.7999999999999995E-2</v>
      </c>
      <c r="L14" s="1162"/>
      <c r="M14" s="1162"/>
      <c r="N14" s="1162"/>
      <c r="O14" s="1162"/>
      <c r="P14" s="1162"/>
      <c r="Q14" s="1162"/>
      <c r="R14" s="1162"/>
      <c r="S14" s="1162"/>
      <c r="T14" s="1162"/>
      <c r="U14" s="1162"/>
      <c r="V14" s="96"/>
      <c r="W14" s="96"/>
      <c r="X14" s="25"/>
      <c r="Y14" s="25"/>
    </row>
    <row r="15" spans="1:65" ht="20.25" customHeight="1">
      <c r="A15" s="418" t="s">
        <v>96</v>
      </c>
      <c r="B15" s="417">
        <v>164</v>
      </c>
      <c r="C15" s="417"/>
      <c r="D15" s="907"/>
      <c r="E15" s="7"/>
      <c r="F15" s="418" t="s">
        <v>96</v>
      </c>
      <c r="G15" s="428">
        <v>65248</v>
      </c>
      <c r="H15" s="428"/>
      <c r="I15" s="907"/>
      <c r="J15" s="426"/>
      <c r="K15" s="188">
        <v>9.7000000000000003E-2</v>
      </c>
      <c r="L15" s="1162"/>
      <c r="M15" s="1162"/>
      <c r="N15" s="1162"/>
      <c r="O15" s="1162"/>
      <c r="P15" s="1162"/>
      <c r="Q15" s="1162"/>
      <c r="R15" s="1162"/>
      <c r="S15" s="1162"/>
      <c r="T15" s="1162"/>
      <c r="U15" s="1162"/>
      <c r="V15" s="96"/>
      <c r="W15" s="97"/>
      <c r="X15" s="25"/>
      <c r="Y15" s="25"/>
    </row>
    <row r="16" spans="1:65" ht="20.25" customHeight="1" thickBot="1">
      <c r="A16" s="418" t="s">
        <v>115</v>
      </c>
      <c r="B16" s="908">
        <v>143</v>
      </c>
      <c r="C16" s="908"/>
      <c r="D16" s="907"/>
      <c r="E16" s="7"/>
      <c r="F16" s="418" t="s">
        <v>115</v>
      </c>
      <c r="G16" s="429">
        <v>51379</v>
      </c>
      <c r="H16" s="429"/>
      <c r="I16" s="907"/>
      <c r="J16" s="909"/>
      <c r="K16" s="188">
        <v>9.0999999999999998E-2</v>
      </c>
      <c r="L16" s="1162"/>
      <c r="M16" s="1162"/>
      <c r="N16" s="1162"/>
      <c r="O16" s="1162"/>
      <c r="P16" s="1162"/>
      <c r="Q16" s="1162"/>
      <c r="R16" s="1162"/>
      <c r="S16" s="1162"/>
      <c r="T16" s="1162"/>
      <c r="U16" s="1162"/>
      <c r="V16" s="96"/>
      <c r="W16" s="96"/>
      <c r="X16" s="25"/>
      <c r="Y16" s="25"/>
    </row>
    <row r="17" spans="1:25" ht="20.25" customHeight="1" thickTop="1">
      <c r="A17" s="422" t="s">
        <v>2</v>
      </c>
      <c r="B17" s="896">
        <f>SUM(B5:B16)</f>
        <v>2310</v>
      </c>
      <c r="C17" s="896"/>
      <c r="D17" s="424"/>
      <c r="E17" s="7"/>
      <c r="F17" s="422" t="s">
        <v>116</v>
      </c>
      <c r="G17" s="423">
        <f>SUM(G5:G16)</f>
        <v>448410</v>
      </c>
      <c r="H17" s="423"/>
      <c r="I17" s="898" t="s">
        <v>459</v>
      </c>
      <c r="J17" s="912" t="str">
        <f t="shared" ref="J17" si="2">IF(K17="","",K17*2400)</f>
        <v/>
      </c>
      <c r="L17" s="1162"/>
      <c r="M17" s="1162"/>
      <c r="N17" s="1162"/>
      <c r="O17" s="1162"/>
      <c r="P17" s="1162"/>
      <c r="Q17" s="1162"/>
      <c r="R17" s="1162"/>
      <c r="S17" s="1162"/>
      <c r="T17" s="1162"/>
      <c r="U17" s="1162"/>
      <c r="V17" s="96"/>
      <c r="W17" s="96"/>
      <c r="X17" s="25"/>
      <c r="Y17" s="25"/>
    </row>
    <row r="18" spans="1:25" ht="20.25" customHeight="1">
      <c r="A18" s="7"/>
      <c r="B18" s="7"/>
      <c r="C18" s="11"/>
      <c r="D18" s="17"/>
      <c r="E18" s="17"/>
      <c r="F18" s="17"/>
      <c r="G18" s="42"/>
      <c r="H18" s="17"/>
      <c r="I18" s="17"/>
      <c r="L18" s="1162"/>
      <c r="M18" s="1162"/>
      <c r="N18" s="1162"/>
      <c r="O18" s="1162"/>
      <c r="P18" s="1162"/>
      <c r="Q18" s="1162"/>
      <c r="R18" s="1162"/>
      <c r="S18" s="1162"/>
      <c r="T18" s="1162"/>
      <c r="U18" s="1162"/>
      <c r="V18" s="96"/>
      <c r="W18" s="96"/>
      <c r="X18" s="25"/>
      <c r="Y18" s="25"/>
    </row>
    <row r="19" spans="1:25" ht="25.5" customHeight="1">
      <c r="A19" s="35" t="s">
        <v>3</v>
      </c>
      <c r="B19" s="1165" t="s">
        <v>750</v>
      </c>
      <c r="C19" s="1165"/>
      <c r="D19" s="1165"/>
      <c r="E19" s="1165"/>
      <c r="F19" s="1165"/>
      <c r="G19" s="1165"/>
      <c r="H19" s="1165"/>
      <c r="I19" s="1166"/>
      <c r="J19" s="110"/>
      <c r="L19" s="1162"/>
      <c r="M19" s="1162"/>
      <c r="N19" s="1162"/>
      <c r="O19" s="1162"/>
      <c r="P19" s="1162"/>
      <c r="Q19" s="1162"/>
      <c r="R19" s="1162"/>
      <c r="S19" s="1162"/>
      <c r="T19" s="1162"/>
      <c r="U19" s="1162"/>
      <c r="V19" s="96"/>
      <c r="W19" s="96"/>
    </row>
    <row r="20" spans="1:25" ht="15.75" customHeight="1">
      <c r="A20" s="111"/>
      <c r="B20" s="1163"/>
      <c r="C20" s="1163"/>
      <c r="D20" s="1163"/>
      <c r="E20" s="1163"/>
      <c r="F20" s="1163"/>
      <c r="G20" s="1163"/>
      <c r="H20" s="1163"/>
      <c r="I20" s="1164"/>
      <c r="J20" s="111"/>
      <c r="L20" s="1162"/>
      <c r="M20" s="1162"/>
      <c r="N20" s="1162"/>
      <c r="O20" s="1162"/>
      <c r="P20" s="1162"/>
      <c r="Q20" s="1162"/>
      <c r="R20" s="1162"/>
      <c r="S20" s="1162"/>
      <c r="T20" s="1162"/>
      <c r="U20" s="1162"/>
      <c r="V20" s="96"/>
      <c r="W20" s="96"/>
    </row>
    <row r="21" spans="1:25" ht="15.75" customHeight="1">
      <c r="A21" s="111"/>
      <c r="B21" s="105"/>
      <c r="C21" s="94"/>
      <c r="D21" s="105"/>
      <c r="E21" s="105"/>
      <c r="F21" s="105"/>
      <c r="G21" s="105"/>
      <c r="H21" s="105"/>
      <c r="I21" s="105"/>
      <c r="J21" s="111"/>
      <c r="L21" s="1162"/>
      <c r="M21" s="1162"/>
      <c r="N21" s="1162"/>
      <c r="O21" s="1162"/>
      <c r="P21" s="1162"/>
      <c r="Q21" s="1162"/>
      <c r="R21" s="1162"/>
      <c r="S21" s="1162"/>
      <c r="T21" s="1162"/>
      <c r="U21" s="1162"/>
      <c r="V21" s="96"/>
      <c r="W21" s="96"/>
    </row>
    <row r="22" spans="1:25" ht="15.75" customHeight="1">
      <c r="A22" s="111"/>
      <c r="B22" s="105"/>
      <c r="C22" s="94"/>
      <c r="D22" s="105"/>
      <c r="E22" s="105"/>
      <c r="F22" s="105"/>
      <c r="G22" s="105"/>
      <c r="H22" s="105"/>
      <c r="I22" s="105"/>
      <c r="J22" s="111"/>
      <c r="L22" s="1162"/>
      <c r="M22" s="1162"/>
      <c r="N22" s="1162"/>
      <c r="O22" s="1162"/>
      <c r="P22" s="1162"/>
      <c r="Q22" s="1162"/>
      <c r="R22" s="1162"/>
      <c r="S22" s="1162"/>
      <c r="T22" s="1162"/>
      <c r="U22" s="1162"/>
      <c r="V22" s="96"/>
      <c r="W22" s="96"/>
    </row>
    <row r="23" spans="1:25" ht="15.75" customHeight="1">
      <c r="A23" s="111"/>
      <c r="B23" s="105"/>
      <c r="C23" s="94"/>
      <c r="D23" s="105"/>
      <c r="E23" s="105"/>
      <c r="F23" s="105"/>
      <c r="G23" s="105"/>
      <c r="H23" s="105"/>
      <c r="I23" s="105"/>
      <c r="J23" s="111"/>
      <c r="L23" s="1162"/>
      <c r="M23" s="1162"/>
      <c r="N23" s="1162"/>
      <c r="O23" s="1162"/>
      <c r="P23" s="1162"/>
      <c r="Q23" s="1162"/>
      <c r="R23" s="1162"/>
      <c r="S23" s="1162"/>
      <c r="T23" s="1162"/>
      <c r="U23" s="1162"/>
      <c r="V23" s="96"/>
      <c r="W23" s="96"/>
    </row>
    <row r="24" spans="1:25" ht="15.75" customHeight="1">
      <c r="A24" s="111"/>
      <c r="B24" s="105"/>
      <c r="C24" s="94"/>
      <c r="D24" s="105"/>
      <c r="E24" s="105"/>
      <c r="F24" s="105"/>
      <c r="G24" s="105"/>
      <c r="H24" s="105"/>
      <c r="I24" s="105"/>
      <c r="J24" s="111"/>
      <c r="L24" s="1162"/>
      <c r="M24" s="1162"/>
      <c r="N24" s="1162"/>
      <c r="O24" s="1162"/>
      <c r="P24" s="1162"/>
      <c r="Q24" s="1162"/>
      <c r="R24" s="1162"/>
      <c r="S24" s="1162"/>
      <c r="T24" s="1162"/>
      <c r="U24" s="1162"/>
      <c r="V24" s="96"/>
      <c r="W24" s="96"/>
    </row>
    <row r="25" spans="1:25" ht="15.75" customHeight="1">
      <c r="A25" s="111"/>
      <c r="B25" s="105"/>
      <c r="C25" s="94"/>
      <c r="D25" s="105"/>
      <c r="E25" s="105"/>
      <c r="F25" s="105"/>
      <c r="G25" s="105"/>
      <c r="H25" s="105"/>
      <c r="I25" s="105"/>
      <c r="J25" s="111"/>
      <c r="L25" s="1162"/>
      <c r="M25" s="1162"/>
      <c r="N25" s="1162"/>
      <c r="O25" s="1162"/>
      <c r="P25" s="1162"/>
      <c r="Q25" s="1162"/>
      <c r="R25" s="1162"/>
      <c r="S25" s="1162"/>
      <c r="T25" s="1162"/>
      <c r="U25" s="1162"/>
      <c r="V25" s="96"/>
      <c r="W25" s="96"/>
    </row>
    <row r="26" spans="1:25" ht="15.75" customHeight="1">
      <c r="A26" s="112"/>
      <c r="B26" s="113"/>
      <c r="C26" s="204"/>
      <c r="D26" s="113"/>
      <c r="E26" s="113"/>
      <c r="F26" s="113"/>
      <c r="G26" s="113"/>
      <c r="H26" s="113"/>
      <c r="I26" s="113"/>
      <c r="J26" s="111"/>
      <c r="L26" s="1162"/>
      <c r="M26" s="1162"/>
      <c r="N26" s="1162"/>
      <c r="O26" s="1162"/>
      <c r="P26" s="1162"/>
      <c r="Q26" s="1162"/>
      <c r="R26" s="1162"/>
      <c r="S26" s="1162"/>
      <c r="T26" s="1162"/>
      <c r="U26" s="1162"/>
      <c r="V26" s="96"/>
      <c r="W26" s="96"/>
    </row>
    <row r="27" spans="1:25" ht="15.75" customHeight="1">
      <c r="A27" s="93"/>
      <c r="B27" s="94"/>
      <c r="C27" s="205"/>
      <c r="D27" s="93"/>
      <c r="E27" s="93"/>
      <c r="F27" s="93"/>
      <c r="G27" s="93"/>
      <c r="H27" s="93"/>
      <c r="I27" s="93"/>
      <c r="L27" s="1162"/>
      <c r="M27" s="1162"/>
      <c r="N27" s="1162"/>
      <c r="O27" s="1162"/>
      <c r="P27" s="1162"/>
      <c r="Q27" s="1162"/>
      <c r="R27" s="1162"/>
      <c r="S27" s="1162"/>
      <c r="T27" s="1162"/>
      <c r="U27" s="1162"/>
      <c r="V27" s="96"/>
      <c r="W27" s="96"/>
    </row>
    <row r="28" spans="1:25" ht="15.75" customHeight="1">
      <c r="A28" s="93"/>
      <c r="B28" s="94"/>
      <c r="C28" s="205"/>
      <c r="D28" s="93" t="str">
        <f>IF(OR(B17="",C17=""),"",C17/B17)</f>
        <v/>
      </c>
      <c r="E28" s="93"/>
      <c r="F28" s="93"/>
      <c r="G28" s="93"/>
      <c r="H28" s="93"/>
      <c r="I28" s="93" t="str">
        <f>IF(OR(G17="",H17=""),"",H17/G17)</f>
        <v/>
      </c>
      <c r="J28" s="93"/>
      <c r="L28" s="1162"/>
      <c r="M28" s="1162"/>
      <c r="N28" s="1162"/>
      <c r="O28" s="1162"/>
      <c r="P28" s="1162"/>
      <c r="Q28" s="1162"/>
      <c r="R28" s="1162"/>
      <c r="S28" s="1162"/>
      <c r="T28" s="1162"/>
      <c r="U28" s="1162"/>
    </row>
    <row r="29" spans="1:25" ht="15.75" customHeight="1">
      <c r="A29" s="93"/>
      <c r="B29" s="94"/>
      <c r="C29" s="205"/>
      <c r="D29" s="95"/>
      <c r="E29" s="95"/>
      <c r="F29" s="95"/>
      <c r="G29" s="95"/>
      <c r="H29" s="95"/>
      <c r="I29" s="95"/>
      <c r="J29" s="95"/>
      <c r="L29" s="1162"/>
      <c r="M29" s="1162"/>
      <c r="N29" s="1162"/>
      <c r="O29" s="1162"/>
      <c r="P29" s="1162"/>
      <c r="Q29" s="1162"/>
      <c r="R29" s="1162"/>
      <c r="S29" s="1162"/>
      <c r="T29" s="1162"/>
      <c r="U29" s="1162"/>
    </row>
    <row r="30" spans="1:25" ht="15.75" customHeight="1">
      <c r="A30" s="28"/>
      <c r="B30" s="28"/>
      <c r="C30" s="206" t="s">
        <v>257</v>
      </c>
      <c r="D30" s="28"/>
      <c r="E30" s="28"/>
      <c r="F30" s="28"/>
      <c r="G30" s="28"/>
      <c r="H30" s="28"/>
      <c r="I30" s="17"/>
      <c r="K30" s="93"/>
      <c r="L30" s="1162"/>
      <c r="M30" s="1162"/>
      <c r="N30" s="1162"/>
      <c r="O30" s="1162"/>
      <c r="P30" s="1162"/>
      <c r="Q30" s="1162"/>
      <c r="R30" s="1162"/>
      <c r="S30" s="1162"/>
      <c r="T30" s="1162"/>
      <c r="U30" s="1162"/>
    </row>
    <row r="31" spans="1:25" ht="15.75" customHeight="1">
      <c r="A31" s="28"/>
      <c r="B31" s="28"/>
      <c r="C31" s="206" t="s">
        <v>238</v>
      </c>
      <c r="D31" s="28"/>
      <c r="E31" s="28"/>
      <c r="F31" s="28"/>
      <c r="G31" s="28"/>
      <c r="H31" s="28"/>
      <c r="I31" s="17"/>
      <c r="K31" s="95"/>
      <c r="L31" s="1162"/>
      <c r="M31" s="1162"/>
      <c r="N31" s="1162"/>
      <c r="O31" s="1162"/>
      <c r="P31" s="1162"/>
      <c r="Q31" s="1162"/>
      <c r="R31" s="1162"/>
      <c r="S31" s="1162"/>
      <c r="T31" s="1162"/>
      <c r="U31" s="1162"/>
    </row>
    <row r="32" spans="1:25" ht="15.75" customHeight="1">
      <c r="A32" s="28"/>
      <c r="B32" s="28"/>
      <c r="L32" s="1162"/>
      <c r="M32" s="1162"/>
      <c r="N32" s="1162"/>
      <c r="O32" s="1162"/>
      <c r="P32" s="1162"/>
      <c r="Q32" s="1162"/>
      <c r="R32" s="1162"/>
      <c r="S32" s="1162"/>
      <c r="T32" s="1162"/>
      <c r="U32" s="1162"/>
    </row>
    <row r="33" spans="1:21" ht="15.75" customHeight="1">
      <c r="A33" s="28"/>
      <c r="B33" s="28"/>
      <c r="L33" s="1162"/>
      <c r="M33" s="1162"/>
      <c r="N33" s="1162"/>
      <c r="O33" s="1162"/>
      <c r="P33" s="1162"/>
      <c r="Q33" s="1162"/>
      <c r="R33" s="1162"/>
      <c r="S33" s="1162"/>
      <c r="T33" s="1162"/>
      <c r="U33" s="1162"/>
    </row>
    <row r="34" spans="1:21" ht="15.75" customHeight="1">
      <c r="A34" s="28"/>
      <c r="B34" s="28"/>
    </row>
    <row r="35" spans="1:21" ht="15.75" customHeight="1">
      <c r="A35" s="28"/>
      <c r="B35" s="28"/>
    </row>
    <row r="36" spans="1:21" ht="15.75" customHeight="1">
      <c r="A36" s="28"/>
      <c r="B36" s="28"/>
    </row>
    <row r="37" spans="1:21" ht="15.75" customHeight="1">
      <c r="A37" s="28"/>
      <c r="B37" s="28"/>
    </row>
    <row r="38" spans="1:21" ht="15.75" customHeight="1">
      <c r="A38" s="28"/>
      <c r="B38" s="28"/>
    </row>
    <row r="39" spans="1:21" ht="15.75" customHeight="1">
      <c r="A39" s="28"/>
      <c r="B39" s="28" t="s">
        <v>684</v>
      </c>
    </row>
    <row r="40" spans="1:21" ht="15.75" customHeight="1">
      <c r="A40" s="28"/>
      <c r="B40" s="28"/>
    </row>
    <row r="41" spans="1:21" ht="15.75" customHeight="1">
      <c r="A41" s="28"/>
      <c r="B41" s="28"/>
    </row>
    <row r="42" spans="1:21" ht="15.75" customHeight="1">
      <c r="A42" s="28"/>
      <c r="B42" s="28"/>
    </row>
    <row r="43" spans="1:21" ht="18" customHeight="1">
      <c r="A43" s="28"/>
      <c r="B43" s="28"/>
    </row>
    <row r="44" spans="1:21" ht="15.75" customHeight="1">
      <c r="A44" s="28"/>
      <c r="B44" s="28"/>
    </row>
    <row r="45" spans="1:21" ht="15.75" customHeight="1">
      <c r="A45" s="28"/>
      <c r="B45" s="28"/>
    </row>
    <row r="46" spans="1:21" ht="15.75" customHeight="1">
      <c r="A46" s="28"/>
      <c r="B46" s="28"/>
    </row>
    <row r="47" spans="1:21" ht="15.75" customHeight="1">
      <c r="A47" s="28"/>
      <c r="B47" s="45"/>
      <c r="C47" s="208"/>
    </row>
    <row r="48" spans="1:21" ht="15.75" customHeight="1">
      <c r="A48" s="28"/>
      <c r="B48" s="45"/>
      <c r="C48" s="208"/>
    </row>
    <row r="49" ht="15.75" customHeight="1"/>
    <row r="50" ht="15.75" customHeight="1"/>
    <row r="51" ht="15.75" customHeight="1"/>
    <row r="52" ht="15.75" customHeight="1"/>
  </sheetData>
  <mergeCells count="4">
    <mergeCell ref="A1:C1"/>
    <mergeCell ref="L1:U33"/>
    <mergeCell ref="B20:I20"/>
    <mergeCell ref="B19:I19"/>
  </mergeCells>
  <phoneticPr fontId="8"/>
  <conditionalFormatting sqref="D17">
    <cfRule type="cellIs" dxfId="341" priority="2" operator="notBetween">
      <formula>1.2</formula>
      <formula>0.8</formula>
    </cfRule>
  </conditionalFormatting>
  <printOptions horizontalCentered="1" verticalCentered="1"/>
  <pageMargins left="1.4173228346456694" right="0.62992125984251968" top="0.74803149606299213" bottom="0.59055118110236227" header="0.51181102362204722" footer="0.51181102362204722"/>
  <pageSetup paperSize="9" scale="98" orientation="landscape" r:id="rId1"/>
  <headerFooter alignWithMargins="0"/>
  <colBreaks count="1" manualBreakCount="1">
    <brk id="11" max="1048575"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BN182"/>
  <sheetViews>
    <sheetView view="pageBreakPreview" zoomScale="80" zoomScaleNormal="70" zoomScaleSheetLayoutView="80" workbookViewId="0">
      <selection activeCell="C9" sqref="C9:I9"/>
    </sheetView>
  </sheetViews>
  <sheetFormatPr defaultColWidth="9" defaultRowHeight="12.75"/>
  <cols>
    <col min="1" max="1" width="8.59765625" style="4" customWidth="1"/>
    <col min="2" max="2" width="5.59765625" style="4" customWidth="1"/>
    <col min="3" max="4" width="7.1328125" style="4" customWidth="1"/>
    <col min="5" max="6" width="7" style="4" customWidth="1"/>
    <col min="7" max="16" width="7.1328125" style="4" customWidth="1"/>
    <col min="17" max="17" width="12.73046875" style="4" bestFit="1" customWidth="1"/>
    <col min="18" max="18" width="5.59765625" style="4" customWidth="1"/>
    <col min="19" max="32" width="7.1328125" style="4" customWidth="1"/>
    <col min="33" max="33" width="9" style="4"/>
    <col min="34" max="34" width="7.59765625" style="4" customWidth="1"/>
    <col min="35" max="35" width="13.86328125" style="4" customWidth="1"/>
    <col min="36" max="39" width="7.59765625" style="4" customWidth="1"/>
    <col min="40" max="16384" width="9" style="4"/>
  </cols>
  <sheetData>
    <row r="1" spans="1:66" s="7" customFormat="1" ht="20.25" customHeight="1">
      <c r="A1" s="1209" t="s">
        <v>110</v>
      </c>
      <c r="B1" s="1210"/>
      <c r="C1" s="1210"/>
      <c r="D1" s="1210"/>
      <c r="E1" s="1210"/>
      <c r="F1" s="1210"/>
      <c r="G1" s="1211"/>
      <c r="AU1" s="4"/>
      <c r="AV1" s="4"/>
      <c r="AW1" s="4"/>
      <c r="AX1" s="4"/>
      <c r="AY1" s="4"/>
      <c r="AZ1" s="4"/>
      <c r="BA1" s="4"/>
      <c r="BB1" s="4"/>
      <c r="BC1" s="4"/>
      <c r="BD1" s="4"/>
      <c r="BE1" s="4"/>
      <c r="BF1" s="4"/>
      <c r="BG1" s="4"/>
      <c r="BH1" s="4"/>
      <c r="BI1" s="4"/>
      <c r="BJ1" s="4"/>
      <c r="BK1" s="4"/>
      <c r="BL1" s="4"/>
      <c r="BM1" s="4"/>
      <c r="BN1" s="4"/>
    </row>
    <row r="2" spans="1:66" s="7" customFormat="1" ht="18.75" customHeight="1">
      <c r="A2" s="1219">
        <f>DATE(AH5,AH6,AH7)</f>
        <v>45047</v>
      </c>
      <c r="B2" s="1219"/>
      <c r="C2" s="1219"/>
      <c r="D2" s="1219"/>
      <c r="E2" s="30"/>
      <c r="F2" s="30"/>
      <c r="G2" s="26"/>
      <c r="H2" s="26"/>
      <c r="I2" s="26"/>
      <c r="J2" s="26"/>
      <c r="K2" s="26"/>
      <c r="L2" s="26"/>
      <c r="M2" s="17"/>
      <c r="N2" s="17"/>
      <c r="O2" s="17"/>
      <c r="P2" s="17"/>
      <c r="Q2" s="17"/>
      <c r="R2" s="17"/>
      <c r="S2" s="17"/>
      <c r="T2" s="17"/>
      <c r="U2" s="17"/>
      <c r="V2" s="17"/>
      <c r="W2" s="17"/>
      <c r="X2" s="17"/>
      <c r="Y2" s="17"/>
      <c r="Z2" s="17"/>
      <c r="AA2" s="17"/>
      <c r="AB2" s="17"/>
      <c r="AC2" s="17"/>
      <c r="AD2" s="17"/>
      <c r="AE2" s="17"/>
      <c r="AF2" s="17"/>
      <c r="AG2" s="17"/>
      <c r="AR2" s="4"/>
      <c r="AS2" s="4"/>
      <c r="AT2" s="4"/>
      <c r="AU2" s="4"/>
      <c r="AV2" s="4"/>
      <c r="AW2" s="4"/>
      <c r="AX2" s="4"/>
      <c r="AY2" s="4"/>
      <c r="AZ2" s="4"/>
      <c r="BA2" s="4"/>
      <c r="BB2" s="4"/>
      <c r="BC2" s="4"/>
      <c r="BD2" s="4"/>
      <c r="BE2" s="4"/>
      <c r="BF2" s="4"/>
      <c r="BG2" s="4"/>
      <c r="BH2" s="4"/>
      <c r="BI2" s="4"/>
      <c r="BJ2" s="4"/>
      <c r="BK2" s="4"/>
    </row>
    <row r="3" spans="1:66" ht="22.5" customHeight="1">
      <c r="A3" s="24" t="s">
        <v>5</v>
      </c>
      <c r="B3" s="24" t="s">
        <v>6</v>
      </c>
      <c r="C3" s="1218" t="s">
        <v>113</v>
      </c>
      <c r="D3" s="1212"/>
      <c r="E3" s="1212"/>
      <c r="F3" s="1212"/>
      <c r="G3" s="1212"/>
      <c r="H3" s="1212"/>
      <c r="I3" s="1213"/>
      <c r="J3" s="1212" t="s">
        <v>112</v>
      </c>
      <c r="K3" s="1212"/>
      <c r="L3" s="1212"/>
      <c r="M3" s="1212"/>
      <c r="N3" s="1212"/>
      <c r="O3" s="1212"/>
      <c r="P3" s="1213"/>
      <c r="Q3" s="24" t="s">
        <v>5</v>
      </c>
      <c r="R3" s="24" t="s">
        <v>6</v>
      </c>
      <c r="S3" s="1218" t="s">
        <v>113</v>
      </c>
      <c r="T3" s="1212"/>
      <c r="U3" s="1212"/>
      <c r="V3" s="1212"/>
      <c r="W3" s="1212"/>
      <c r="X3" s="1212"/>
      <c r="Y3" s="1213"/>
      <c r="Z3" s="1212" t="s">
        <v>112</v>
      </c>
      <c r="AA3" s="1212"/>
      <c r="AB3" s="1212"/>
      <c r="AC3" s="1212"/>
      <c r="AD3" s="1212"/>
      <c r="AE3" s="1212"/>
      <c r="AF3" s="1213"/>
      <c r="AG3" s="31"/>
    </row>
    <row r="4" spans="1:66" ht="21.75" customHeight="1">
      <c r="A4" s="1220"/>
      <c r="B4" s="1185"/>
      <c r="C4" s="1214"/>
      <c r="D4" s="1215"/>
      <c r="E4" s="1215"/>
      <c r="F4" s="1215"/>
      <c r="G4" s="1215"/>
      <c r="H4" s="1215"/>
      <c r="I4" s="1216"/>
      <c r="J4" s="1217"/>
      <c r="K4" s="1215"/>
      <c r="L4" s="1215"/>
      <c r="M4" s="1215"/>
      <c r="N4" s="1215"/>
      <c r="O4" s="1215"/>
      <c r="P4" s="1216"/>
      <c r="Q4" s="1181"/>
      <c r="R4" s="1207"/>
      <c r="S4" s="1177"/>
      <c r="T4" s="1178"/>
      <c r="U4" s="1178"/>
      <c r="V4" s="1178"/>
      <c r="W4" s="1178"/>
      <c r="X4" s="1178"/>
      <c r="Y4" s="1179"/>
      <c r="Z4" s="1177"/>
      <c r="AA4" s="1178"/>
      <c r="AB4" s="1178"/>
      <c r="AC4" s="1178"/>
      <c r="AD4" s="1178"/>
      <c r="AE4" s="1178"/>
      <c r="AF4" s="1179"/>
      <c r="AG4" s="27"/>
    </row>
    <row r="5" spans="1:66" ht="21.75" customHeight="1">
      <c r="A5" s="1221"/>
      <c r="B5" s="1185"/>
      <c r="C5" s="1174"/>
      <c r="D5" s="1175"/>
      <c r="E5" s="1175"/>
      <c r="F5" s="1175"/>
      <c r="G5" s="1175"/>
      <c r="H5" s="1175"/>
      <c r="I5" s="1176"/>
      <c r="J5" s="1174"/>
      <c r="K5" s="1175"/>
      <c r="L5" s="1175"/>
      <c r="M5" s="1175"/>
      <c r="N5" s="1175"/>
      <c r="O5" s="1175"/>
      <c r="P5" s="1176"/>
      <c r="Q5" s="1182"/>
      <c r="R5" s="1184"/>
      <c r="S5" s="1208"/>
      <c r="T5" s="1172"/>
      <c r="U5" s="1172"/>
      <c r="V5" s="1172"/>
      <c r="W5" s="1172"/>
      <c r="X5" s="1172"/>
      <c r="Y5" s="1173"/>
      <c r="Z5" s="1174"/>
      <c r="AA5" s="1175"/>
      <c r="AB5" s="1175"/>
      <c r="AC5" s="1175"/>
      <c r="AD5" s="1175"/>
      <c r="AE5" s="1175"/>
      <c r="AF5" s="1176"/>
      <c r="AG5" s="27"/>
      <c r="AH5" s="198">
        <v>2023</v>
      </c>
      <c r="AI5" s="199" t="s">
        <v>230</v>
      </c>
    </row>
    <row r="6" spans="1:66" ht="21.75" customHeight="1">
      <c r="A6" s="1181"/>
      <c r="B6" s="1185"/>
      <c r="C6" s="1177"/>
      <c r="D6" s="1178"/>
      <c r="E6" s="1178"/>
      <c r="F6" s="1178"/>
      <c r="G6" s="1178"/>
      <c r="H6" s="1178"/>
      <c r="I6" s="1179"/>
      <c r="J6" s="1189"/>
      <c r="K6" s="1172"/>
      <c r="L6" s="1172"/>
      <c r="M6" s="1172"/>
      <c r="N6" s="1172"/>
      <c r="O6" s="1172"/>
      <c r="P6" s="1173"/>
      <c r="Q6" s="1181"/>
      <c r="R6" s="1185"/>
      <c r="S6" s="1177"/>
      <c r="T6" s="1178"/>
      <c r="U6" s="1178"/>
      <c r="V6" s="1178"/>
      <c r="W6" s="1178"/>
      <c r="X6" s="1178"/>
      <c r="Y6" s="1179"/>
      <c r="Z6" s="1191"/>
      <c r="AA6" s="1172"/>
      <c r="AB6" s="1172"/>
      <c r="AC6" s="1172"/>
      <c r="AD6" s="1172"/>
      <c r="AE6" s="1172"/>
      <c r="AF6" s="1188"/>
      <c r="AG6" s="27"/>
      <c r="AH6" s="200">
        <v>5</v>
      </c>
      <c r="AI6" s="195">
        <v>44928</v>
      </c>
    </row>
    <row r="7" spans="1:66" ht="21.75" customHeight="1">
      <c r="A7" s="1182"/>
      <c r="B7" s="1185"/>
      <c r="C7" s="1174"/>
      <c r="D7" s="1175"/>
      <c r="E7" s="1175"/>
      <c r="F7" s="1175"/>
      <c r="G7" s="1175"/>
      <c r="H7" s="1175"/>
      <c r="I7" s="1176"/>
      <c r="J7" s="1189"/>
      <c r="K7" s="1172"/>
      <c r="L7" s="1172"/>
      <c r="M7" s="1172"/>
      <c r="N7" s="1172"/>
      <c r="O7" s="1172"/>
      <c r="P7" s="1173"/>
      <c r="Q7" s="1182"/>
      <c r="R7" s="1185"/>
      <c r="S7" s="1174"/>
      <c r="T7" s="1175"/>
      <c r="U7" s="1175"/>
      <c r="V7" s="1175"/>
      <c r="W7" s="1175"/>
      <c r="X7" s="1175"/>
      <c r="Y7" s="1176"/>
      <c r="Z7" s="1190"/>
      <c r="AA7" s="1175"/>
      <c r="AB7" s="1175"/>
      <c r="AC7" s="1175"/>
      <c r="AD7" s="1175"/>
      <c r="AE7" s="1175"/>
      <c r="AF7" s="1176"/>
      <c r="AG7" s="27"/>
      <c r="AH7" s="201">
        <v>1</v>
      </c>
      <c r="AI7" s="195">
        <v>44935</v>
      </c>
    </row>
    <row r="8" spans="1:66" ht="21.75" customHeight="1">
      <c r="A8" s="1181"/>
      <c r="B8" s="1185"/>
      <c r="C8" s="1177"/>
      <c r="D8" s="1178"/>
      <c r="E8" s="1178"/>
      <c r="F8" s="1178"/>
      <c r="G8" s="1178"/>
      <c r="H8" s="1178"/>
      <c r="I8" s="1179"/>
      <c r="J8" s="1180"/>
      <c r="K8" s="1178"/>
      <c r="L8" s="1178"/>
      <c r="M8" s="1178"/>
      <c r="N8" s="1178"/>
      <c r="O8" s="1178"/>
      <c r="P8" s="1179"/>
      <c r="Q8" s="1181"/>
      <c r="R8" s="1185"/>
      <c r="S8" s="1177" t="s">
        <v>682</v>
      </c>
      <c r="T8" s="1178"/>
      <c r="U8" s="1178"/>
      <c r="V8" s="1178"/>
      <c r="W8" s="1178"/>
      <c r="X8" s="1178"/>
      <c r="Y8" s="1179"/>
      <c r="Z8" s="1189"/>
      <c r="AA8" s="1172"/>
      <c r="AB8" s="1172"/>
      <c r="AC8" s="1172"/>
      <c r="AD8" s="1172"/>
      <c r="AE8" s="1172"/>
      <c r="AF8" s="1188"/>
      <c r="AG8" s="27"/>
      <c r="AH8" s="201">
        <v>2</v>
      </c>
      <c r="AI8" s="195">
        <v>44968</v>
      </c>
    </row>
    <row r="9" spans="1:66" ht="21.75" customHeight="1">
      <c r="A9" s="1182"/>
      <c r="B9" s="1185"/>
      <c r="C9" s="1174"/>
      <c r="D9" s="1175"/>
      <c r="E9" s="1175"/>
      <c r="F9" s="1175"/>
      <c r="G9" s="1175"/>
      <c r="H9" s="1175"/>
      <c r="I9" s="1176"/>
      <c r="J9" s="1174"/>
      <c r="K9" s="1175"/>
      <c r="L9" s="1175"/>
      <c r="M9" s="1175"/>
      <c r="N9" s="1175"/>
      <c r="O9" s="1175"/>
      <c r="P9" s="1175"/>
      <c r="Q9" s="1182"/>
      <c r="R9" s="1185"/>
      <c r="S9" s="1174"/>
      <c r="T9" s="1175"/>
      <c r="U9" s="1175"/>
      <c r="V9" s="1175"/>
      <c r="W9" s="1175"/>
      <c r="X9" s="1175"/>
      <c r="Y9" s="1176"/>
      <c r="Z9" s="1192"/>
      <c r="AA9" s="1193"/>
      <c r="AB9" s="1193"/>
      <c r="AC9" s="1193"/>
      <c r="AD9" s="1193"/>
      <c r="AE9" s="1193"/>
      <c r="AF9" s="1194"/>
      <c r="AG9" s="27"/>
      <c r="AH9" s="201">
        <v>3</v>
      </c>
      <c r="AI9" s="195">
        <v>44980</v>
      </c>
    </row>
    <row r="10" spans="1:66" ht="21.75" customHeight="1">
      <c r="A10" s="1181"/>
      <c r="B10" s="1185"/>
      <c r="C10" s="1177"/>
      <c r="D10" s="1178"/>
      <c r="E10" s="1178"/>
      <c r="F10" s="1178"/>
      <c r="G10" s="1178"/>
      <c r="H10" s="1178"/>
      <c r="I10" s="1179"/>
      <c r="J10" s="1189"/>
      <c r="K10" s="1172"/>
      <c r="L10" s="1172"/>
      <c r="M10" s="1172"/>
      <c r="N10" s="1172"/>
      <c r="O10" s="1172"/>
      <c r="P10" s="1173"/>
      <c r="Q10" s="1181"/>
      <c r="R10" s="1185"/>
      <c r="S10" s="1177"/>
      <c r="T10" s="1178"/>
      <c r="U10" s="1178"/>
      <c r="V10" s="1178"/>
      <c r="W10" s="1178"/>
      <c r="X10" s="1178"/>
      <c r="Y10" s="1179"/>
      <c r="Z10" s="1177"/>
      <c r="AA10" s="1178"/>
      <c r="AB10" s="1178"/>
      <c r="AC10" s="1178"/>
      <c r="AD10" s="1178"/>
      <c r="AE10" s="1178"/>
      <c r="AF10" s="1179"/>
      <c r="AG10" s="27"/>
      <c r="AH10" s="201">
        <v>4</v>
      </c>
      <c r="AI10" s="195">
        <v>45006</v>
      </c>
    </row>
    <row r="11" spans="1:66" ht="21.75" customHeight="1">
      <c r="A11" s="1182"/>
      <c r="B11" s="1185"/>
      <c r="C11" s="1174"/>
      <c r="D11" s="1175"/>
      <c r="E11" s="1175"/>
      <c r="F11" s="1175"/>
      <c r="G11" s="1175"/>
      <c r="H11" s="1175"/>
      <c r="I11" s="1176"/>
      <c r="J11" s="1174"/>
      <c r="K11" s="1175"/>
      <c r="L11" s="1175"/>
      <c r="M11" s="1175"/>
      <c r="N11" s="1175"/>
      <c r="O11" s="1175"/>
      <c r="P11" s="1175"/>
      <c r="Q11" s="1182"/>
      <c r="R11" s="1185"/>
      <c r="S11" s="1174"/>
      <c r="T11" s="1175"/>
      <c r="U11" s="1175"/>
      <c r="V11" s="1175"/>
      <c r="W11" s="1175"/>
      <c r="X11" s="1175"/>
      <c r="Y11" s="1176"/>
      <c r="Z11" s="1174"/>
      <c r="AA11" s="1175"/>
      <c r="AB11" s="1175"/>
      <c r="AC11" s="1175"/>
      <c r="AD11" s="1175"/>
      <c r="AE11" s="1175"/>
      <c r="AF11" s="1176"/>
      <c r="AG11" s="27"/>
      <c r="AH11" s="201">
        <v>5</v>
      </c>
      <c r="AI11" s="195">
        <v>45045</v>
      </c>
    </row>
    <row r="12" spans="1:66" ht="21.75" customHeight="1">
      <c r="A12" s="1181"/>
      <c r="B12" s="1185"/>
      <c r="C12" s="1177"/>
      <c r="D12" s="1178"/>
      <c r="E12" s="1178"/>
      <c r="F12" s="1178"/>
      <c r="G12" s="1178"/>
      <c r="H12" s="1178"/>
      <c r="I12" s="1179"/>
      <c r="J12" s="1180"/>
      <c r="K12" s="1178"/>
      <c r="L12" s="1178"/>
      <c r="M12" s="1178"/>
      <c r="N12" s="1178"/>
      <c r="O12" s="1178"/>
      <c r="P12" s="1179"/>
      <c r="Q12" s="1181"/>
      <c r="R12" s="1185"/>
      <c r="S12" s="1177"/>
      <c r="T12" s="1178"/>
      <c r="U12" s="1178"/>
      <c r="V12" s="1178"/>
      <c r="W12" s="1178"/>
      <c r="X12" s="1178"/>
      <c r="Y12" s="1179"/>
      <c r="Z12" s="1177"/>
      <c r="AA12" s="1178"/>
      <c r="AB12" s="1178"/>
      <c r="AC12" s="1178"/>
      <c r="AD12" s="1178"/>
      <c r="AE12" s="1178"/>
      <c r="AF12" s="1179"/>
      <c r="AG12" s="27"/>
      <c r="AH12" s="201">
        <v>6</v>
      </c>
      <c r="AI12" s="195">
        <v>45049</v>
      </c>
    </row>
    <row r="13" spans="1:66" ht="21.75" customHeight="1">
      <c r="A13" s="1182"/>
      <c r="B13" s="1185"/>
      <c r="C13" s="1174"/>
      <c r="D13" s="1175"/>
      <c r="E13" s="1175"/>
      <c r="F13" s="1175"/>
      <c r="G13" s="1175"/>
      <c r="H13" s="1175"/>
      <c r="I13" s="1176"/>
      <c r="J13" s="1174"/>
      <c r="K13" s="1175"/>
      <c r="L13" s="1175"/>
      <c r="M13" s="1175"/>
      <c r="N13" s="1175"/>
      <c r="O13" s="1175"/>
      <c r="P13" s="1176"/>
      <c r="Q13" s="1182"/>
      <c r="R13" s="1185"/>
      <c r="S13" s="1171"/>
      <c r="T13" s="1172"/>
      <c r="U13" s="1172"/>
      <c r="V13" s="1172"/>
      <c r="W13" s="1172"/>
      <c r="X13" s="1172"/>
      <c r="Y13" s="1188"/>
      <c r="Z13" s="1174"/>
      <c r="AA13" s="1175"/>
      <c r="AB13" s="1175"/>
      <c r="AC13" s="1175"/>
      <c r="AD13" s="1175"/>
      <c r="AE13" s="1175"/>
      <c r="AF13" s="1176"/>
      <c r="AG13" s="27"/>
      <c r="AH13" s="201">
        <v>7</v>
      </c>
      <c r="AI13" s="195">
        <v>45050</v>
      </c>
    </row>
    <row r="14" spans="1:66" ht="21.75" customHeight="1">
      <c r="A14" s="1181"/>
      <c r="B14" s="1185"/>
      <c r="C14" s="1177"/>
      <c r="D14" s="1178"/>
      <c r="E14" s="1178"/>
      <c r="F14" s="1178"/>
      <c r="G14" s="1178"/>
      <c r="H14" s="1178"/>
      <c r="I14" s="1179"/>
      <c r="J14" s="1189"/>
      <c r="K14" s="1172"/>
      <c r="L14" s="1172"/>
      <c r="M14" s="1172"/>
      <c r="N14" s="1172"/>
      <c r="O14" s="1172"/>
      <c r="P14" s="1173"/>
      <c r="Q14" s="1181"/>
      <c r="R14" s="1185"/>
      <c r="S14" s="1177"/>
      <c r="T14" s="1178"/>
      <c r="U14" s="1178"/>
      <c r="V14" s="1178"/>
      <c r="W14" s="1178"/>
      <c r="X14" s="1178"/>
      <c r="Y14" s="1179"/>
      <c r="Z14" s="1191"/>
      <c r="AA14" s="1172"/>
      <c r="AB14" s="1172"/>
      <c r="AC14" s="1172"/>
      <c r="AD14" s="1172"/>
      <c r="AE14" s="1172"/>
      <c r="AF14" s="1188"/>
      <c r="AG14" s="27"/>
      <c r="AH14" s="201">
        <v>8</v>
      </c>
      <c r="AI14" s="195">
        <v>45051</v>
      </c>
    </row>
    <row r="15" spans="1:66" ht="21.75" customHeight="1">
      <c r="A15" s="1182"/>
      <c r="B15" s="1185"/>
      <c r="C15" s="1171"/>
      <c r="D15" s="1172"/>
      <c r="E15" s="1172"/>
      <c r="F15" s="1172"/>
      <c r="G15" s="1172"/>
      <c r="H15" s="1172"/>
      <c r="I15" s="1173"/>
      <c r="J15" s="1192"/>
      <c r="K15" s="1193"/>
      <c r="L15" s="1193"/>
      <c r="M15" s="1193"/>
      <c r="N15" s="1193"/>
      <c r="O15" s="1193"/>
      <c r="P15" s="1194"/>
      <c r="Q15" s="1182"/>
      <c r="R15" s="1185"/>
      <c r="S15" s="1174"/>
      <c r="T15" s="1175"/>
      <c r="U15" s="1175"/>
      <c r="V15" s="1175"/>
      <c r="W15" s="1175"/>
      <c r="X15" s="1175"/>
      <c r="Y15" s="1176"/>
      <c r="Z15" s="1190"/>
      <c r="AA15" s="1175"/>
      <c r="AB15" s="1175"/>
      <c r="AC15" s="1175"/>
      <c r="AD15" s="1175"/>
      <c r="AE15" s="1175"/>
      <c r="AF15" s="1176"/>
      <c r="AG15" s="27"/>
      <c r="AH15" s="201">
        <v>9</v>
      </c>
      <c r="AI15" s="195">
        <v>45124</v>
      </c>
    </row>
    <row r="16" spans="1:66" ht="21.75" customHeight="1">
      <c r="A16" s="1181"/>
      <c r="B16" s="1185"/>
      <c r="C16" s="1177"/>
      <c r="D16" s="1178"/>
      <c r="E16" s="1178"/>
      <c r="F16" s="1178"/>
      <c r="G16" s="1178"/>
      <c r="H16" s="1178"/>
      <c r="I16" s="1179"/>
      <c r="J16" s="1189" t="s">
        <v>698</v>
      </c>
      <c r="K16" s="1172"/>
      <c r="L16" s="1172"/>
      <c r="M16" s="1172"/>
      <c r="N16" s="1172"/>
      <c r="O16" s="1172"/>
      <c r="P16" s="1173"/>
      <c r="Q16" s="1181"/>
      <c r="R16" s="1185"/>
      <c r="S16" s="1171"/>
      <c r="T16" s="1172"/>
      <c r="U16" s="1172"/>
      <c r="V16" s="1172"/>
      <c r="W16" s="1172"/>
      <c r="X16" s="1172"/>
      <c r="Y16" s="1173"/>
      <c r="Z16" s="1177"/>
      <c r="AA16" s="1178"/>
      <c r="AB16" s="1178"/>
      <c r="AC16" s="1178"/>
      <c r="AD16" s="1178"/>
      <c r="AE16" s="1178"/>
      <c r="AF16" s="1179"/>
      <c r="AG16" s="27"/>
      <c r="AH16" s="201">
        <v>10</v>
      </c>
      <c r="AI16" s="195">
        <v>45187</v>
      </c>
    </row>
    <row r="17" spans="1:35" ht="21.75" customHeight="1">
      <c r="A17" s="1182"/>
      <c r="B17" s="1185"/>
      <c r="C17" s="1174"/>
      <c r="D17" s="1175"/>
      <c r="E17" s="1175"/>
      <c r="F17" s="1175"/>
      <c r="G17" s="1175"/>
      <c r="H17" s="1175"/>
      <c r="I17" s="1176"/>
      <c r="J17" s="1174"/>
      <c r="K17" s="1175"/>
      <c r="L17" s="1175"/>
      <c r="M17" s="1175"/>
      <c r="N17" s="1175"/>
      <c r="O17" s="1175"/>
      <c r="P17" s="1176"/>
      <c r="Q17" s="1182"/>
      <c r="R17" s="1185"/>
      <c r="S17" s="1171"/>
      <c r="T17" s="1172"/>
      <c r="U17" s="1172"/>
      <c r="V17" s="1172"/>
      <c r="W17" s="1172"/>
      <c r="X17" s="1172"/>
      <c r="Y17" s="1173"/>
      <c r="Z17" s="1190"/>
      <c r="AA17" s="1175"/>
      <c r="AB17" s="1175"/>
      <c r="AC17" s="1175"/>
      <c r="AD17" s="1175"/>
      <c r="AE17" s="1175"/>
      <c r="AF17" s="1176"/>
      <c r="AG17" s="27"/>
      <c r="AH17" s="201">
        <v>11</v>
      </c>
      <c r="AI17" s="195">
        <v>45192</v>
      </c>
    </row>
    <row r="18" spans="1:35" ht="21.75" customHeight="1">
      <c r="A18" s="1181"/>
      <c r="B18" s="1185"/>
      <c r="C18" s="1177"/>
      <c r="D18" s="1178"/>
      <c r="E18" s="1178"/>
      <c r="F18" s="1178"/>
      <c r="G18" s="1178"/>
      <c r="H18" s="1178"/>
      <c r="I18" s="1179"/>
      <c r="J18" s="1177"/>
      <c r="K18" s="1178"/>
      <c r="L18" s="1178"/>
      <c r="M18" s="1178"/>
      <c r="N18" s="1178"/>
      <c r="O18" s="1178"/>
      <c r="P18" s="1179"/>
      <c r="Q18" s="1181"/>
      <c r="R18" s="1185"/>
      <c r="S18" s="1177"/>
      <c r="T18" s="1178"/>
      <c r="U18" s="1178"/>
      <c r="V18" s="1178"/>
      <c r="W18" s="1178"/>
      <c r="X18" s="1178"/>
      <c r="Y18" s="1179"/>
      <c r="Z18" s="1189" t="s">
        <v>688</v>
      </c>
      <c r="AA18" s="1172"/>
      <c r="AB18" s="1172"/>
      <c r="AC18" s="1172"/>
      <c r="AD18" s="1172"/>
      <c r="AE18" s="1172"/>
      <c r="AF18" s="1188"/>
      <c r="AG18" s="27"/>
      <c r="AH18" s="201">
        <v>12</v>
      </c>
      <c r="AI18" s="195">
        <v>45208</v>
      </c>
    </row>
    <row r="19" spans="1:35" ht="21.75" customHeight="1">
      <c r="A19" s="1182"/>
      <c r="B19" s="1185"/>
      <c r="C19" s="1174"/>
      <c r="D19" s="1175"/>
      <c r="E19" s="1175"/>
      <c r="F19" s="1175"/>
      <c r="G19" s="1175"/>
      <c r="H19" s="1175"/>
      <c r="I19" s="1176"/>
      <c r="J19" s="1174"/>
      <c r="K19" s="1175"/>
      <c r="L19" s="1175"/>
      <c r="M19" s="1175"/>
      <c r="N19" s="1175"/>
      <c r="O19" s="1175"/>
      <c r="P19" s="1176"/>
      <c r="Q19" s="1182"/>
      <c r="R19" s="1185"/>
      <c r="S19" s="1174"/>
      <c r="T19" s="1175"/>
      <c r="U19" s="1175"/>
      <c r="V19" s="1175"/>
      <c r="W19" s="1175"/>
      <c r="X19" s="1175"/>
      <c r="Y19" s="1176"/>
      <c r="Z19" s="1174"/>
      <c r="AA19" s="1175"/>
      <c r="AB19" s="1175"/>
      <c r="AC19" s="1175"/>
      <c r="AD19" s="1175"/>
      <c r="AE19" s="1175"/>
      <c r="AF19" s="1176"/>
      <c r="AG19" s="27"/>
      <c r="AH19" s="201">
        <v>13</v>
      </c>
      <c r="AI19" s="195">
        <v>45233</v>
      </c>
    </row>
    <row r="20" spans="1:35" ht="21.75" customHeight="1">
      <c r="A20" s="1181"/>
      <c r="B20" s="1185"/>
      <c r="C20" s="1177"/>
      <c r="D20" s="1178"/>
      <c r="E20" s="1178"/>
      <c r="F20" s="1178"/>
      <c r="G20" s="1178"/>
      <c r="H20" s="1178"/>
      <c r="I20" s="1179"/>
      <c r="J20" s="1177"/>
      <c r="K20" s="1178"/>
      <c r="L20" s="1178"/>
      <c r="M20" s="1178"/>
      <c r="N20" s="1178"/>
      <c r="O20" s="1178"/>
      <c r="P20" s="1179"/>
      <c r="Q20" s="1181"/>
      <c r="R20" s="1185"/>
      <c r="S20" s="1171" t="s">
        <v>751</v>
      </c>
      <c r="T20" s="1172"/>
      <c r="U20" s="1172"/>
      <c r="V20" s="1172"/>
      <c r="W20" s="1172"/>
      <c r="X20" s="1172"/>
      <c r="Y20" s="1173"/>
      <c r="Z20" s="1177" t="s">
        <v>683</v>
      </c>
      <c r="AA20" s="1178"/>
      <c r="AB20" s="1178"/>
      <c r="AC20" s="1178"/>
      <c r="AD20" s="1178"/>
      <c r="AE20" s="1178"/>
      <c r="AF20" s="1179"/>
      <c r="AG20" s="27"/>
      <c r="AH20" s="201">
        <v>14</v>
      </c>
      <c r="AI20" s="195"/>
    </row>
    <row r="21" spans="1:35" ht="21.75" customHeight="1">
      <c r="A21" s="1182"/>
      <c r="B21" s="1185"/>
      <c r="C21" s="1174"/>
      <c r="D21" s="1175"/>
      <c r="E21" s="1175"/>
      <c r="F21" s="1175"/>
      <c r="G21" s="1175"/>
      <c r="H21" s="1175"/>
      <c r="I21" s="1176"/>
      <c r="J21" s="1174"/>
      <c r="K21" s="1175"/>
      <c r="L21" s="1175"/>
      <c r="M21" s="1175"/>
      <c r="N21" s="1175"/>
      <c r="O21" s="1175"/>
      <c r="P21" s="1176"/>
      <c r="Q21" s="1182"/>
      <c r="R21" s="1185"/>
      <c r="S21" s="1174"/>
      <c r="T21" s="1175"/>
      <c r="U21" s="1175"/>
      <c r="V21" s="1175"/>
      <c r="W21" s="1175"/>
      <c r="X21" s="1175"/>
      <c r="Y21" s="1176"/>
      <c r="Z21" s="1187"/>
      <c r="AA21" s="1172"/>
      <c r="AB21" s="1172"/>
      <c r="AC21" s="1172"/>
      <c r="AD21" s="1172"/>
      <c r="AE21" s="1172"/>
      <c r="AF21" s="1188"/>
      <c r="AG21" s="27"/>
      <c r="AH21" s="201">
        <v>15</v>
      </c>
      <c r="AI21" s="197">
        <v>45253</v>
      </c>
    </row>
    <row r="22" spans="1:35" ht="21.75" customHeight="1">
      <c r="A22" s="1181"/>
      <c r="B22" s="1185"/>
      <c r="C22" s="1177"/>
      <c r="D22" s="1178"/>
      <c r="E22" s="1178"/>
      <c r="F22" s="1178"/>
      <c r="G22" s="1178"/>
      <c r="H22" s="1178"/>
      <c r="I22" s="1179"/>
      <c r="J22" s="1177"/>
      <c r="K22" s="1178"/>
      <c r="L22" s="1178"/>
      <c r="M22" s="1178"/>
      <c r="N22" s="1178"/>
      <c r="O22" s="1178"/>
      <c r="P22" s="1179"/>
      <c r="Q22" s="1181"/>
      <c r="R22" s="1185"/>
      <c r="S22" s="1171"/>
      <c r="T22" s="1172"/>
      <c r="U22" s="1172"/>
      <c r="V22" s="1172"/>
      <c r="W22" s="1172"/>
      <c r="X22" s="1172"/>
      <c r="Y22" s="1173"/>
      <c r="Z22" s="1180"/>
      <c r="AA22" s="1178"/>
      <c r="AB22" s="1178"/>
      <c r="AC22" s="1178"/>
      <c r="AD22" s="1178"/>
      <c r="AE22" s="1178"/>
      <c r="AF22" s="1179"/>
      <c r="AG22" s="27"/>
      <c r="AH22" s="201">
        <v>16</v>
      </c>
      <c r="AI22" s="197">
        <v>44523</v>
      </c>
    </row>
    <row r="23" spans="1:35" ht="21.75" customHeight="1">
      <c r="A23" s="1182"/>
      <c r="B23" s="1185"/>
      <c r="C23" s="1174"/>
      <c r="D23" s="1175"/>
      <c r="E23" s="1175"/>
      <c r="F23" s="1175"/>
      <c r="G23" s="1175"/>
      <c r="H23" s="1175"/>
      <c r="I23" s="1176"/>
      <c r="J23" s="1174"/>
      <c r="K23" s="1175"/>
      <c r="L23" s="1175"/>
      <c r="M23" s="1175"/>
      <c r="N23" s="1175"/>
      <c r="O23" s="1175"/>
      <c r="P23" s="1176"/>
      <c r="Q23" s="1182"/>
      <c r="R23" s="1185"/>
      <c r="S23" s="1174"/>
      <c r="T23" s="1175"/>
      <c r="U23" s="1175"/>
      <c r="V23" s="1175"/>
      <c r="W23" s="1175"/>
      <c r="X23" s="1175"/>
      <c r="Y23" s="1176"/>
      <c r="Z23" s="1174"/>
      <c r="AA23" s="1175"/>
      <c r="AB23" s="1175"/>
      <c r="AC23" s="1175"/>
      <c r="AD23" s="1175"/>
      <c r="AE23" s="1175"/>
      <c r="AF23" s="1176"/>
      <c r="AG23" s="27"/>
      <c r="AH23" s="201">
        <v>17</v>
      </c>
      <c r="AI23" s="197">
        <v>44562</v>
      </c>
    </row>
    <row r="24" spans="1:35" ht="21.75" customHeight="1">
      <c r="A24" s="1181"/>
      <c r="B24" s="1185"/>
      <c r="C24" s="1177" t="s">
        <v>699</v>
      </c>
      <c r="D24" s="1178"/>
      <c r="E24" s="1178"/>
      <c r="F24" s="1178"/>
      <c r="G24" s="1178"/>
      <c r="H24" s="1178"/>
      <c r="I24" s="1179"/>
      <c r="J24" s="1177" t="s">
        <v>754</v>
      </c>
      <c r="K24" s="1178"/>
      <c r="L24" s="1178"/>
      <c r="M24" s="1178"/>
      <c r="N24" s="1178"/>
      <c r="O24" s="1178"/>
      <c r="P24" s="1179"/>
      <c r="Q24" s="1181"/>
      <c r="R24" s="1185"/>
      <c r="S24" s="1171"/>
      <c r="T24" s="1172"/>
      <c r="U24" s="1172"/>
      <c r="V24" s="1172"/>
      <c r="W24" s="1172"/>
      <c r="X24" s="1172"/>
      <c r="Y24" s="1173"/>
      <c r="Z24" s="1177" t="s">
        <v>689</v>
      </c>
      <c r="AA24" s="1178"/>
      <c r="AB24" s="1178"/>
      <c r="AC24" s="1178"/>
      <c r="AD24" s="1178"/>
      <c r="AE24" s="1178"/>
      <c r="AF24" s="1179"/>
      <c r="AG24" s="27"/>
      <c r="AH24" s="201">
        <v>18</v>
      </c>
      <c r="AI24" s="197">
        <v>44571</v>
      </c>
    </row>
    <row r="25" spans="1:35" ht="21.75" customHeight="1">
      <c r="A25" s="1182"/>
      <c r="B25" s="1185"/>
      <c r="C25" s="1174"/>
      <c r="D25" s="1175"/>
      <c r="E25" s="1175"/>
      <c r="F25" s="1175"/>
      <c r="G25" s="1175"/>
      <c r="H25" s="1175"/>
      <c r="I25" s="1176"/>
      <c r="J25" s="1190"/>
      <c r="K25" s="1175"/>
      <c r="L25" s="1175"/>
      <c r="M25" s="1175"/>
      <c r="N25" s="1175"/>
      <c r="O25" s="1175"/>
      <c r="P25" s="1176"/>
      <c r="Q25" s="1182"/>
      <c r="R25" s="1185"/>
      <c r="S25" s="1174"/>
      <c r="T25" s="1175"/>
      <c r="U25" s="1175"/>
      <c r="V25" s="1175"/>
      <c r="W25" s="1175"/>
      <c r="X25" s="1175"/>
      <c r="Y25" s="1176"/>
      <c r="Z25" s="1174"/>
      <c r="AA25" s="1175"/>
      <c r="AB25" s="1175"/>
      <c r="AC25" s="1175"/>
      <c r="AD25" s="1175"/>
      <c r="AE25" s="1175"/>
      <c r="AF25" s="1176"/>
      <c r="AG25" s="27"/>
      <c r="AH25" s="201">
        <v>19</v>
      </c>
      <c r="AI25" s="197">
        <v>44603</v>
      </c>
    </row>
    <row r="26" spans="1:35" ht="21.75" customHeight="1">
      <c r="A26" s="1181"/>
      <c r="B26" s="1185"/>
      <c r="C26" s="1171"/>
      <c r="D26" s="1172"/>
      <c r="E26" s="1172"/>
      <c r="F26" s="1172"/>
      <c r="G26" s="1172"/>
      <c r="H26" s="1172"/>
      <c r="I26" s="1173"/>
      <c r="J26" s="1177"/>
      <c r="K26" s="1178"/>
      <c r="L26" s="1178"/>
      <c r="M26" s="1178"/>
      <c r="N26" s="1178"/>
      <c r="O26" s="1178"/>
      <c r="P26" s="1179"/>
      <c r="Q26" s="1181"/>
      <c r="R26" s="1185"/>
      <c r="S26" s="1171" t="s">
        <v>753</v>
      </c>
      <c r="T26" s="1172"/>
      <c r="U26" s="1172"/>
      <c r="V26" s="1172"/>
      <c r="W26" s="1172"/>
      <c r="X26" s="1172"/>
      <c r="Y26" s="1173"/>
      <c r="Z26" s="1177"/>
      <c r="AA26" s="1178"/>
      <c r="AB26" s="1178"/>
      <c r="AC26" s="1178"/>
      <c r="AD26" s="1178"/>
      <c r="AE26" s="1178"/>
      <c r="AF26" s="1179"/>
      <c r="AG26" s="27"/>
      <c r="AH26" s="201">
        <v>20</v>
      </c>
      <c r="AI26" s="197">
        <v>44615</v>
      </c>
    </row>
    <row r="27" spans="1:35" ht="21.75" customHeight="1">
      <c r="A27" s="1182"/>
      <c r="B27" s="1185"/>
      <c r="C27" s="1171"/>
      <c r="D27" s="1172"/>
      <c r="E27" s="1172"/>
      <c r="F27" s="1172"/>
      <c r="G27" s="1172"/>
      <c r="H27" s="1172"/>
      <c r="I27" s="1173"/>
      <c r="J27" s="1190"/>
      <c r="K27" s="1175"/>
      <c r="L27" s="1175"/>
      <c r="M27" s="1175"/>
      <c r="N27" s="1175"/>
      <c r="O27" s="1175"/>
      <c r="P27" s="1176"/>
      <c r="Q27" s="1182"/>
      <c r="R27" s="1185"/>
      <c r="S27" s="1174"/>
      <c r="T27" s="1175"/>
      <c r="U27" s="1175"/>
      <c r="V27" s="1175"/>
      <c r="W27" s="1175"/>
      <c r="X27" s="1175"/>
      <c r="Y27" s="1176"/>
      <c r="Z27" s="1174"/>
      <c r="AA27" s="1175"/>
      <c r="AB27" s="1175"/>
      <c r="AC27" s="1175"/>
      <c r="AD27" s="1175"/>
      <c r="AE27" s="1175"/>
      <c r="AF27" s="1176"/>
      <c r="AG27" s="27"/>
      <c r="AH27" s="201">
        <v>21</v>
      </c>
      <c r="AI27" s="197">
        <v>44641</v>
      </c>
    </row>
    <row r="28" spans="1:35" ht="21.75" customHeight="1">
      <c r="A28" s="1181"/>
      <c r="B28" s="1185"/>
      <c r="C28" s="1177"/>
      <c r="D28" s="1178"/>
      <c r="E28" s="1178"/>
      <c r="F28" s="1178"/>
      <c r="G28" s="1178"/>
      <c r="H28" s="1178"/>
      <c r="I28" s="1179"/>
      <c r="J28" s="1195"/>
      <c r="K28" s="1196"/>
      <c r="L28" s="1196"/>
      <c r="M28" s="1196"/>
      <c r="N28" s="1196"/>
      <c r="O28" s="1196"/>
      <c r="P28" s="1197"/>
      <c r="Q28" s="1181"/>
      <c r="R28" s="1185"/>
      <c r="S28" s="1177" t="s">
        <v>752</v>
      </c>
      <c r="T28" s="1178"/>
      <c r="U28" s="1178"/>
      <c r="V28" s="1178"/>
      <c r="W28" s="1178"/>
      <c r="X28" s="1178"/>
      <c r="Y28" s="1179"/>
      <c r="Z28" s="1177"/>
      <c r="AA28" s="1178"/>
      <c r="AB28" s="1178"/>
      <c r="AC28" s="1178"/>
      <c r="AD28" s="1178"/>
      <c r="AE28" s="1178"/>
      <c r="AF28" s="1179"/>
      <c r="AG28" s="27"/>
      <c r="AH28" s="201">
        <v>22</v>
      </c>
      <c r="AI28" s="197">
        <v>44680</v>
      </c>
    </row>
    <row r="29" spans="1:35" ht="21.75" customHeight="1">
      <c r="A29" s="1182"/>
      <c r="B29" s="1185"/>
      <c r="C29" s="1174"/>
      <c r="D29" s="1175"/>
      <c r="E29" s="1175"/>
      <c r="F29" s="1175"/>
      <c r="G29" s="1175"/>
      <c r="H29" s="1175"/>
      <c r="I29" s="1176"/>
      <c r="J29" s="1174"/>
      <c r="K29" s="1175"/>
      <c r="L29" s="1175"/>
      <c r="M29" s="1175"/>
      <c r="N29" s="1175"/>
      <c r="O29" s="1175"/>
      <c r="P29" s="1176"/>
      <c r="Q29" s="1182"/>
      <c r="R29" s="1185"/>
      <c r="S29" s="1171"/>
      <c r="T29" s="1172"/>
      <c r="U29" s="1172"/>
      <c r="V29" s="1172"/>
      <c r="W29" s="1172"/>
      <c r="X29" s="1172"/>
      <c r="Y29" s="1173"/>
      <c r="Z29" s="1174"/>
      <c r="AA29" s="1175"/>
      <c r="AB29" s="1175"/>
      <c r="AC29" s="1175"/>
      <c r="AD29" s="1175"/>
      <c r="AE29" s="1175"/>
      <c r="AF29" s="1176"/>
      <c r="AG29" s="27"/>
      <c r="AH29" s="201">
        <v>23</v>
      </c>
      <c r="AI29" s="197">
        <v>44684</v>
      </c>
    </row>
    <row r="30" spans="1:35" ht="21.75" customHeight="1">
      <c r="A30" s="1181"/>
      <c r="B30" s="1183"/>
      <c r="C30" s="1177"/>
      <c r="D30" s="1178"/>
      <c r="E30" s="1178"/>
      <c r="F30" s="1178"/>
      <c r="G30" s="1178"/>
      <c r="H30" s="1178"/>
      <c r="I30" s="1179"/>
      <c r="J30" s="1177"/>
      <c r="K30" s="1178"/>
      <c r="L30" s="1178"/>
      <c r="M30" s="1178"/>
      <c r="N30" s="1178"/>
      <c r="O30" s="1178"/>
      <c r="P30" s="1179"/>
      <c r="Q30" s="1181"/>
      <c r="R30" s="1185"/>
      <c r="S30" s="1177"/>
      <c r="T30" s="1178"/>
      <c r="U30" s="1178"/>
      <c r="V30" s="1178"/>
      <c r="W30" s="1178"/>
      <c r="X30" s="1178"/>
      <c r="Y30" s="1179"/>
      <c r="Z30" s="1177"/>
      <c r="AA30" s="1178"/>
      <c r="AB30" s="1178"/>
      <c r="AC30" s="1178"/>
      <c r="AD30" s="1178"/>
      <c r="AE30" s="1178"/>
      <c r="AF30" s="1179"/>
      <c r="AG30" s="27"/>
      <c r="AH30" s="201">
        <v>24</v>
      </c>
      <c r="AI30" s="197">
        <v>44685</v>
      </c>
    </row>
    <row r="31" spans="1:35" ht="21.75" customHeight="1">
      <c r="A31" s="1182"/>
      <c r="B31" s="1184"/>
      <c r="C31" s="1186"/>
      <c r="D31" s="1175"/>
      <c r="E31" s="1175"/>
      <c r="F31" s="1175"/>
      <c r="G31" s="1175"/>
      <c r="H31" s="1175"/>
      <c r="I31" s="1176"/>
      <c r="J31" s="1171"/>
      <c r="K31" s="1172"/>
      <c r="L31" s="1172"/>
      <c r="M31" s="1172"/>
      <c r="N31" s="1172"/>
      <c r="O31" s="1172"/>
      <c r="P31" s="1173"/>
      <c r="Q31" s="1182"/>
      <c r="R31" s="1185"/>
      <c r="S31" s="1171"/>
      <c r="T31" s="1172"/>
      <c r="U31" s="1172"/>
      <c r="V31" s="1172"/>
      <c r="W31" s="1172"/>
      <c r="X31" s="1172"/>
      <c r="Y31" s="1173"/>
      <c r="Z31" s="1174"/>
      <c r="AA31" s="1175"/>
      <c r="AB31" s="1175"/>
      <c r="AC31" s="1175"/>
      <c r="AD31" s="1175"/>
      <c r="AE31" s="1175"/>
      <c r="AF31" s="1176"/>
      <c r="AG31" s="27"/>
      <c r="AH31" s="201">
        <v>25</v>
      </c>
      <c r="AI31" s="197">
        <v>44686</v>
      </c>
    </row>
    <row r="32" spans="1:35" ht="21.75" customHeight="1">
      <c r="A32" s="1181"/>
      <c r="B32" s="1185"/>
      <c r="C32" s="1177"/>
      <c r="D32" s="1178"/>
      <c r="E32" s="1178"/>
      <c r="F32" s="1178"/>
      <c r="G32" s="1178"/>
      <c r="H32" s="1178"/>
      <c r="I32" s="1179"/>
      <c r="J32" s="1177" t="s">
        <v>755</v>
      </c>
      <c r="K32" s="1178"/>
      <c r="L32" s="1178"/>
      <c r="M32" s="1178"/>
      <c r="N32" s="1178"/>
      <c r="O32" s="1178"/>
      <c r="P32" s="1179"/>
      <c r="Q32" s="1181"/>
      <c r="R32" s="1185"/>
      <c r="S32" s="1177"/>
      <c r="T32" s="1178"/>
      <c r="U32" s="1178"/>
      <c r="V32" s="1178"/>
      <c r="W32" s="1178"/>
      <c r="X32" s="1178"/>
      <c r="Y32" s="1179"/>
      <c r="Z32" s="1177"/>
      <c r="AA32" s="1178"/>
      <c r="AB32" s="1178"/>
      <c r="AC32" s="1178"/>
      <c r="AD32" s="1178"/>
      <c r="AE32" s="1178"/>
      <c r="AF32" s="1179"/>
      <c r="AG32" s="27"/>
      <c r="AH32" s="201">
        <v>26</v>
      </c>
      <c r="AI32" s="197">
        <v>44760</v>
      </c>
    </row>
    <row r="33" spans="1:35" ht="21.75" customHeight="1">
      <c r="A33" s="1182"/>
      <c r="B33" s="1185"/>
      <c r="C33" s="1186"/>
      <c r="D33" s="1175"/>
      <c r="E33" s="1175"/>
      <c r="F33" s="1175"/>
      <c r="G33" s="1175"/>
      <c r="H33" s="1175"/>
      <c r="I33" s="1176"/>
      <c r="J33" s="1187"/>
      <c r="K33" s="1172"/>
      <c r="L33" s="1172"/>
      <c r="M33" s="1172"/>
      <c r="N33" s="1172"/>
      <c r="O33" s="1172"/>
      <c r="P33" s="1173"/>
      <c r="Q33" s="1182"/>
      <c r="R33" s="1185"/>
      <c r="S33" s="1171"/>
      <c r="T33" s="1172"/>
      <c r="U33" s="1172"/>
      <c r="V33" s="1172"/>
      <c r="W33" s="1172"/>
      <c r="X33" s="1172"/>
      <c r="Y33" s="1173"/>
      <c r="Z33" s="1174"/>
      <c r="AA33" s="1175"/>
      <c r="AB33" s="1175"/>
      <c r="AC33" s="1175"/>
      <c r="AD33" s="1175"/>
      <c r="AE33" s="1175"/>
      <c r="AF33" s="1176"/>
      <c r="AG33" s="27"/>
      <c r="AH33" s="201">
        <v>27</v>
      </c>
      <c r="AI33" s="197">
        <v>44784</v>
      </c>
    </row>
    <row r="34" spans="1:35" ht="21.75" customHeight="1">
      <c r="A34" s="1201"/>
      <c r="B34" s="1183"/>
      <c r="C34" s="1177"/>
      <c r="D34" s="1178"/>
      <c r="E34" s="1178"/>
      <c r="F34" s="1178"/>
      <c r="G34" s="1178"/>
      <c r="H34" s="1178"/>
      <c r="I34" s="1179"/>
      <c r="J34" s="1177"/>
      <c r="K34" s="1178"/>
      <c r="L34" s="1178"/>
      <c r="M34" s="1178"/>
      <c r="N34" s="1178"/>
      <c r="O34" s="1178"/>
      <c r="P34" s="1179"/>
      <c r="Q34" s="1181"/>
      <c r="R34" s="1167"/>
      <c r="S34" s="1177"/>
      <c r="T34" s="1178"/>
      <c r="U34" s="1178"/>
      <c r="V34" s="1178"/>
      <c r="W34" s="1178"/>
      <c r="X34" s="1178"/>
      <c r="Y34" s="1179"/>
      <c r="Z34" s="1177"/>
      <c r="AA34" s="1178"/>
      <c r="AB34" s="1178"/>
      <c r="AC34" s="1178"/>
      <c r="AD34" s="1178"/>
      <c r="AE34" s="1178"/>
      <c r="AF34" s="1179"/>
      <c r="AG34" s="27"/>
      <c r="AH34" s="201">
        <v>28</v>
      </c>
      <c r="AI34" s="197">
        <v>44823</v>
      </c>
    </row>
    <row r="35" spans="1:35" ht="21.75" customHeight="1">
      <c r="A35" s="1202"/>
      <c r="B35" s="1203"/>
      <c r="C35" s="1204"/>
      <c r="D35" s="1205"/>
      <c r="E35" s="1205"/>
      <c r="F35" s="1205"/>
      <c r="G35" s="1205"/>
      <c r="H35" s="1205"/>
      <c r="I35" s="1206"/>
      <c r="J35" s="1204"/>
      <c r="K35" s="1205"/>
      <c r="L35" s="1205"/>
      <c r="M35" s="1205"/>
      <c r="N35" s="1205"/>
      <c r="O35" s="1205"/>
      <c r="P35" s="1206"/>
      <c r="Q35" s="1182"/>
      <c r="R35" s="1167"/>
      <c r="S35" s="1204"/>
      <c r="T35" s="1205"/>
      <c r="U35" s="1205"/>
      <c r="V35" s="1205"/>
      <c r="W35" s="1205"/>
      <c r="X35" s="1205"/>
      <c r="Y35" s="1206"/>
      <c r="Z35" s="1204"/>
      <c r="AA35" s="1205"/>
      <c r="AB35" s="1205"/>
      <c r="AC35" s="1205"/>
      <c r="AD35" s="1205"/>
      <c r="AE35" s="1205"/>
      <c r="AF35" s="1206"/>
      <c r="AG35" s="27"/>
      <c r="AH35" s="201">
        <v>29</v>
      </c>
      <c r="AI35" s="197">
        <v>44827</v>
      </c>
    </row>
    <row r="36" spans="1:35" ht="18" customHeight="1">
      <c r="A36" s="1198" t="s">
        <v>4</v>
      </c>
      <c r="B36" s="1168"/>
      <c r="C36" s="1169"/>
      <c r="D36" s="1169"/>
      <c r="E36" s="1169"/>
      <c r="F36" s="1169"/>
      <c r="G36" s="1169"/>
      <c r="H36" s="1169"/>
      <c r="I36" s="1169"/>
      <c r="J36" s="1169"/>
      <c r="K36" s="1169"/>
      <c r="L36" s="1169"/>
      <c r="M36" s="1169"/>
      <c r="N36" s="1169"/>
      <c r="O36" s="1169"/>
      <c r="P36" s="1169"/>
      <c r="Q36" s="1169"/>
      <c r="R36" s="1169"/>
      <c r="S36" s="1169"/>
      <c r="T36" s="1169"/>
      <c r="U36" s="1169"/>
      <c r="V36" s="1169"/>
      <c r="W36" s="1169"/>
      <c r="X36" s="1169"/>
      <c r="Y36" s="1169"/>
      <c r="Z36" s="1169"/>
      <c r="AA36" s="1169"/>
      <c r="AB36" s="1169"/>
      <c r="AC36" s="1169"/>
      <c r="AD36" s="1169"/>
      <c r="AE36" s="1169"/>
      <c r="AF36" s="1170"/>
      <c r="AG36" s="47"/>
      <c r="AH36" s="201">
        <v>30</v>
      </c>
      <c r="AI36" s="197">
        <v>44844</v>
      </c>
    </row>
    <row r="37" spans="1:35" ht="18" customHeight="1">
      <c r="A37" s="1199"/>
      <c r="B37" s="33"/>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51"/>
      <c r="AG37" s="32"/>
      <c r="AH37" s="201">
        <v>31</v>
      </c>
      <c r="AI37" s="197">
        <v>44868</v>
      </c>
    </row>
    <row r="38" spans="1:35" ht="18" customHeight="1">
      <c r="A38" s="1199"/>
      <c r="B38" s="33"/>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51"/>
      <c r="AG38" s="32"/>
      <c r="AH38" s="202"/>
      <c r="AI38" s="197">
        <v>44888</v>
      </c>
    </row>
    <row r="39" spans="1:35" ht="18" customHeight="1">
      <c r="A39" s="1199"/>
      <c r="B39" s="33" t="s">
        <v>684</v>
      </c>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51"/>
      <c r="AG39" s="32"/>
    </row>
    <row r="40" spans="1:35" ht="18" customHeight="1">
      <c r="A40" s="1200"/>
      <c r="B40" s="34"/>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3"/>
      <c r="AG40" s="32"/>
    </row>
    <row r="41" spans="1:35" ht="15.75" customHeight="1">
      <c r="A41" s="37"/>
      <c r="B41" s="37"/>
      <c r="C41" s="37"/>
      <c r="D41" s="38"/>
      <c r="E41" s="38"/>
      <c r="F41" s="38"/>
      <c r="G41" s="38"/>
      <c r="H41" s="38"/>
      <c r="I41" s="38"/>
      <c r="J41" s="38"/>
      <c r="K41" s="38"/>
      <c r="L41" s="37"/>
      <c r="M41" s="37"/>
      <c r="N41" s="37"/>
      <c r="O41" s="37"/>
      <c r="P41" s="37"/>
      <c r="Q41" s="17"/>
      <c r="AI41" s="28"/>
    </row>
    <row r="42" spans="1:35" ht="15.75" customHeight="1">
      <c r="A42" s="37"/>
      <c r="B42" s="37"/>
      <c r="C42" s="1177" t="s">
        <v>200</v>
      </c>
      <c r="D42" s="1178"/>
      <c r="E42" s="1178"/>
      <c r="F42" s="1178"/>
      <c r="G42" s="1178"/>
      <c r="H42" s="1178"/>
      <c r="I42" s="1179"/>
      <c r="J42" s="1177" t="s">
        <v>226</v>
      </c>
      <c r="K42" s="1178"/>
      <c r="L42" s="1178"/>
      <c r="M42" s="1178"/>
      <c r="N42" s="1178"/>
      <c r="O42" s="1178"/>
      <c r="P42" s="1179"/>
      <c r="Q42" s="17"/>
      <c r="S42" s="1177" t="s">
        <v>202</v>
      </c>
      <c r="T42" s="1178"/>
      <c r="U42" s="1178"/>
      <c r="V42" s="1178"/>
      <c r="W42" s="1178"/>
      <c r="X42" s="1178"/>
      <c r="Y42" s="1179"/>
      <c r="Z42" s="1177" t="s">
        <v>216</v>
      </c>
      <c r="AA42" s="1178"/>
      <c r="AB42" s="1178"/>
      <c r="AC42" s="1178"/>
      <c r="AD42" s="1178"/>
      <c r="AE42" s="1178"/>
      <c r="AF42" s="1179"/>
      <c r="AI42" s="28"/>
    </row>
    <row r="43" spans="1:35" ht="15.75" customHeight="1">
      <c r="A43" s="37"/>
      <c r="B43" s="37"/>
      <c r="C43" s="1174" t="s">
        <v>203</v>
      </c>
      <c r="D43" s="1175"/>
      <c r="E43" s="1175"/>
      <c r="F43" s="1175"/>
      <c r="G43" s="1175"/>
      <c r="H43" s="1175"/>
      <c r="I43" s="1176"/>
      <c r="J43" s="1174" t="s">
        <v>225</v>
      </c>
      <c r="K43" s="1175"/>
      <c r="L43" s="1175"/>
      <c r="M43" s="1175"/>
      <c r="N43" s="1175"/>
      <c r="O43" s="1175"/>
      <c r="P43" s="1176"/>
      <c r="Q43" s="17"/>
      <c r="S43" s="1174" t="s">
        <v>260</v>
      </c>
      <c r="T43" s="1175"/>
      <c r="U43" s="1175"/>
      <c r="V43" s="1175"/>
      <c r="W43" s="1175"/>
      <c r="X43" s="1175"/>
      <c r="Y43" s="1176"/>
      <c r="Z43" s="1174" t="s">
        <v>217</v>
      </c>
      <c r="AA43" s="1175"/>
      <c r="AB43" s="1175"/>
      <c r="AC43" s="1175"/>
      <c r="AD43" s="1175"/>
      <c r="AE43" s="1175"/>
      <c r="AF43" s="1176"/>
      <c r="AI43" s="28"/>
    </row>
    <row r="44" spans="1:35" ht="15.75" customHeight="1">
      <c r="A44" s="37"/>
      <c r="B44" s="37"/>
      <c r="C44" s="1177" t="s">
        <v>201</v>
      </c>
      <c r="D44" s="1178"/>
      <c r="E44" s="1178"/>
      <c r="F44" s="1178"/>
      <c r="G44" s="1178"/>
      <c r="H44" s="1178"/>
      <c r="I44" s="1179"/>
      <c r="J44" s="1177" t="s">
        <v>222</v>
      </c>
      <c r="K44" s="1178"/>
      <c r="L44" s="1178"/>
      <c r="M44" s="1178"/>
      <c r="N44" s="1178"/>
      <c r="O44" s="1178"/>
      <c r="P44" s="1179"/>
      <c r="Q44" s="17"/>
      <c r="S44" s="1177" t="s">
        <v>259</v>
      </c>
      <c r="T44" s="1178"/>
      <c r="U44" s="1178"/>
      <c r="V44" s="1178"/>
      <c r="W44" s="1178"/>
      <c r="X44" s="1178"/>
      <c r="Y44" s="1179"/>
      <c r="Z44" s="1180" t="s">
        <v>233</v>
      </c>
      <c r="AA44" s="1178"/>
      <c r="AB44" s="1178"/>
      <c r="AC44" s="1178"/>
      <c r="AD44" s="1178"/>
      <c r="AE44" s="1178"/>
      <c r="AF44" s="1179"/>
      <c r="AI44" s="28"/>
    </row>
    <row r="45" spans="1:35" ht="15.75" customHeight="1">
      <c r="A45" s="37"/>
      <c r="B45" s="37"/>
      <c r="C45" s="1174" t="s">
        <v>223</v>
      </c>
      <c r="D45" s="1175"/>
      <c r="E45" s="1175"/>
      <c r="F45" s="1175"/>
      <c r="G45" s="1175"/>
      <c r="H45" s="1175"/>
      <c r="I45" s="1176"/>
      <c r="J45" s="1174" t="s">
        <v>208</v>
      </c>
      <c r="K45" s="1175"/>
      <c r="L45" s="1175"/>
      <c r="M45" s="1175"/>
      <c r="N45" s="1175"/>
      <c r="O45" s="1175"/>
      <c r="P45" s="1176"/>
      <c r="Q45" s="17"/>
      <c r="S45" s="1174" t="s">
        <v>242</v>
      </c>
      <c r="T45" s="1175"/>
      <c r="U45" s="1175"/>
      <c r="V45" s="1175"/>
      <c r="W45" s="1175"/>
      <c r="X45" s="1175"/>
      <c r="Y45" s="1176"/>
      <c r="Z45" s="1180" t="s">
        <v>244</v>
      </c>
      <c r="AA45" s="1178"/>
      <c r="AB45" s="1178"/>
      <c r="AC45" s="1178"/>
      <c r="AD45" s="1178"/>
      <c r="AE45" s="1178"/>
      <c r="AF45" s="1179"/>
      <c r="AI45" s="28"/>
    </row>
    <row r="46" spans="1:35" ht="15.75" customHeight="1">
      <c r="A46" s="37"/>
      <c r="B46" s="37"/>
      <c r="C46" s="1171" t="s">
        <v>204</v>
      </c>
      <c r="D46" s="1172"/>
      <c r="E46" s="1172"/>
      <c r="F46" s="1172"/>
      <c r="G46" s="1172"/>
      <c r="H46" s="1172"/>
      <c r="I46" s="1173"/>
      <c r="J46" s="1177" t="s">
        <v>209</v>
      </c>
      <c r="K46" s="1178"/>
      <c r="L46" s="1178"/>
      <c r="M46" s="1178"/>
      <c r="N46" s="1178"/>
      <c r="O46" s="1178"/>
      <c r="P46" s="1179"/>
      <c r="Q46" s="29"/>
      <c r="S46" s="1171" t="s">
        <v>258</v>
      </c>
      <c r="T46" s="1172"/>
      <c r="U46" s="1172"/>
      <c r="V46" s="1172"/>
      <c r="W46" s="1172"/>
      <c r="X46" s="1172"/>
      <c r="Y46" s="1173"/>
      <c r="Z46" s="1180" t="s">
        <v>245</v>
      </c>
      <c r="AA46" s="1178"/>
      <c r="AB46" s="1178"/>
      <c r="AC46" s="1178"/>
      <c r="AD46" s="1178"/>
      <c r="AE46" s="1178"/>
      <c r="AF46" s="1179"/>
      <c r="AI46" s="28"/>
    </row>
    <row r="47" spans="1:35" ht="13.5" customHeight="1">
      <c r="C47" s="1171" t="s">
        <v>197</v>
      </c>
      <c r="D47" s="1172"/>
      <c r="E47" s="1172"/>
      <c r="F47" s="1172"/>
      <c r="G47" s="1172"/>
      <c r="H47" s="1172"/>
      <c r="I47" s="1173"/>
      <c r="J47" s="1174" t="s">
        <v>232</v>
      </c>
      <c r="K47" s="1175"/>
      <c r="L47" s="1175"/>
      <c r="M47" s="1175"/>
      <c r="N47" s="1175"/>
      <c r="O47" s="1175"/>
      <c r="P47" s="1176"/>
      <c r="S47" s="1171" t="s">
        <v>221</v>
      </c>
      <c r="T47" s="1172"/>
      <c r="U47" s="1172"/>
      <c r="V47" s="1172"/>
      <c r="W47" s="1172"/>
      <c r="X47" s="1172"/>
      <c r="Y47" s="1173"/>
      <c r="Z47" s="1174"/>
      <c r="AA47" s="1175"/>
      <c r="AB47" s="1175"/>
      <c r="AC47" s="1175"/>
      <c r="AD47" s="1175"/>
      <c r="AE47" s="1175"/>
      <c r="AF47" s="1176"/>
      <c r="AI47" s="45"/>
    </row>
    <row r="48" spans="1:35" ht="13.5" customHeight="1">
      <c r="A48" s="39"/>
      <c r="B48" s="104"/>
      <c r="C48" s="1177" t="s">
        <v>254</v>
      </c>
      <c r="D48" s="1178"/>
      <c r="E48" s="1178"/>
      <c r="F48" s="1178"/>
      <c r="G48" s="1178"/>
      <c r="H48" s="1178"/>
      <c r="I48" s="1179"/>
      <c r="J48" s="1177" t="s">
        <v>234</v>
      </c>
      <c r="K48" s="1178"/>
      <c r="L48" s="1178"/>
      <c r="M48" s="1178"/>
      <c r="N48" s="1178"/>
      <c r="O48" s="1178"/>
      <c r="P48" s="1179"/>
      <c r="S48" s="1177" t="s">
        <v>212</v>
      </c>
      <c r="T48" s="1178"/>
      <c r="U48" s="1178"/>
      <c r="V48" s="1178"/>
      <c r="W48" s="1178"/>
      <c r="X48" s="1178"/>
      <c r="Y48" s="1179"/>
      <c r="Z48" s="1177" t="s">
        <v>218</v>
      </c>
      <c r="AA48" s="1178"/>
      <c r="AB48" s="1178"/>
      <c r="AC48" s="1178"/>
      <c r="AD48" s="1178"/>
      <c r="AE48" s="1178"/>
      <c r="AF48" s="1179"/>
    </row>
    <row r="49" spans="1:32" ht="13.5" customHeight="1">
      <c r="A49" s="39"/>
      <c r="B49" s="104"/>
      <c r="C49" s="1174" t="s">
        <v>253</v>
      </c>
      <c r="D49" s="1175"/>
      <c r="E49" s="1175"/>
      <c r="F49" s="1175"/>
      <c r="G49" s="1175"/>
      <c r="H49" s="1175"/>
      <c r="I49" s="1176"/>
      <c r="J49" s="1174" t="s">
        <v>224</v>
      </c>
      <c r="K49" s="1175"/>
      <c r="L49" s="1175"/>
      <c r="M49" s="1175"/>
      <c r="N49" s="1175"/>
      <c r="O49" s="1175"/>
      <c r="P49" s="1176"/>
      <c r="S49" s="1174" t="s">
        <v>213</v>
      </c>
      <c r="T49" s="1175"/>
      <c r="U49" s="1175"/>
      <c r="V49" s="1175"/>
      <c r="W49" s="1175"/>
      <c r="X49" s="1175"/>
      <c r="Y49" s="1176"/>
      <c r="Z49" s="1174"/>
      <c r="AA49" s="1175"/>
      <c r="AB49" s="1175"/>
      <c r="AC49" s="1175"/>
      <c r="AD49" s="1175"/>
      <c r="AE49" s="1175"/>
      <c r="AF49" s="1176"/>
    </row>
    <row r="50" spans="1:32">
      <c r="C50" s="1171" t="s">
        <v>235</v>
      </c>
      <c r="D50" s="1172"/>
      <c r="E50" s="1172"/>
      <c r="F50" s="1172"/>
      <c r="G50" s="1172"/>
      <c r="H50" s="1172"/>
      <c r="I50" s="1173"/>
      <c r="J50" s="1177" t="s">
        <v>210</v>
      </c>
      <c r="K50" s="1178"/>
      <c r="L50" s="1178"/>
      <c r="M50" s="1178"/>
      <c r="N50" s="1178"/>
      <c r="O50" s="1178"/>
      <c r="P50" s="1179"/>
      <c r="S50" s="1177" t="s">
        <v>252</v>
      </c>
      <c r="T50" s="1178"/>
      <c r="U50" s="1178"/>
      <c r="V50" s="1178"/>
      <c r="W50" s="1178"/>
      <c r="X50" s="1178"/>
      <c r="Y50" s="1179"/>
      <c r="Z50" s="1180"/>
      <c r="AA50" s="1178"/>
      <c r="AB50" s="1178"/>
      <c r="AC50" s="1178"/>
      <c r="AD50" s="1178"/>
      <c r="AE50" s="1178"/>
      <c r="AF50" s="1179"/>
    </row>
    <row r="51" spans="1:32" ht="13.5" customHeight="1">
      <c r="C51" s="1171" t="s">
        <v>229</v>
      </c>
      <c r="D51" s="1172"/>
      <c r="E51" s="1172"/>
      <c r="F51" s="1172"/>
      <c r="G51" s="1172"/>
      <c r="H51" s="1172"/>
      <c r="I51" s="1173"/>
      <c r="J51" s="1174" t="s">
        <v>211</v>
      </c>
      <c r="K51" s="1175"/>
      <c r="L51" s="1175"/>
      <c r="M51" s="1175"/>
      <c r="N51" s="1175"/>
      <c r="O51" s="1175"/>
      <c r="P51" s="1176"/>
      <c r="S51" s="1174" t="s">
        <v>214</v>
      </c>
      <c r="T51" s="1175"/>
      <c r="U51" s="1175"/>
      <c r="V51" s="1175"/>
      <c r="W51" s="1175"/>
      <c r="X51" s="1175"/>
      <c r="Y51" s="1176"/>
      <c r="Z51" s="1174"/>
      <c r="AA51" s="1175"/>
      <c r="AB51" s="1175"/>
      <c r="AC51" s="1175"/>
      <c r="AD51" s="1175"/>
      <c r="AE51" s="1175"/>
      <c r="AF51" s="1176"/>
    </row>
    <row r="52" spans="1:32">
      <c r="C52" s="1177" t="s">
        <v>205</v>
      </c>
      <c r="D52" s="1178"/>
      <c r="E52" s="1178"/>
      <c r="F52" s="1178"/>
      <c r="G52" s="1178"/>
      <c r="H52" s="1178"/>
      <c r="I52" s="1179"/>
      <c r="J52" s="1177"/>
      <c r="K52" s="1178"/>
      <c r="L52" s="1178"/>
      <c r="M52" s="1178"/>
      <c r="N52" s="1178"/>
      <c r="O52" s="1178"/>
      <c r="P52" s="1179"/>
      <c r="S52" s="1171"/>
      <c r="T52" s="1172"/>
      <c r="U52" s="1172"/>
      <c r="V52" s="1172"/>
      <c r="W52" s="1172"/>
      <c r="X52" s="1172"/>
      <c r="Y52" s="1173"/>
      <c r="Z52" s="1180"/>
      <c r="AA52" s="1178"/>
      <c r="AB52" s="1178"/>
      <c r="AC52" s="1178"/>
      <c r="AD52" s="1178"/>
      <c r="AE52" s="1178"/>
      <c r="AF52" s="1179"/>
    </row>
    <row r="53" spans="1:32">
      <c r="C53" s="1174" t="s">
        <v>206</v>
      </c>
      <c r="D53" s="1175"/>
      <c r="E53" s="1175"/>
      <c r="F53" s="1175"/>
      <c r="G53" s="1175"/>
      <c r="H53" s="1175"/>
      <c r="I53" s="1176"/>
      <c r="J53" s="1174"/>
      <c r="K53" s="1175"/>
      <c r="L53" s="1175"/>
      <c r="M53" s="1175"/>
      <c r="N53" s="1175"/>
      <c r="O53" s="1175"/>
      <c r="P53" s="1176"/>
      <c r="S53" s="1171" t="s">
        <v>243</v>
      </c>
      <c r="T53" s="1172"/>
      <c r="U53" s="1172"/>
      <c r="V53" s="1172"/>
      <c r="W53" s="1172"/>
      <c r="X53" s="1172"/>
      <c r="Y53" s="1173"/>
      <c r="Z53" s="1174"/>
      <c r="AA53" s="1175"/>
      <c r="AB53" s="1175"/>
      <c r="AC53" s="1175"/>
      <c r="AD53" s="1175"/>
      <c r="AE53" s="1175"/>
      <c r="AF53" s="1176"/>
    </row>
    <row r="54" spans="1:32">
      <c r="C54" s="1171"/>
      <c r="D54" s="1172"/>
      <c r="E54" s="1172"/>
      <c r="F54" s="1172"/>
      <c r="G54" s="1172"/>
      <c r="H54" s="1172"/>
      <c r="I54" s="1173"/>
      <c r="J54" s="1177"/>
      <c r="K54" s="1178"/>
      <c r="L54" s="1178"/>
      <c r="M54" s="1178"/>
      <c r="N54" s="1178"/>
      <c r="O54" s="1178"/>
      <c r="P54" s="1179"/>
      <c r="S54" s="1177" t="s">
        <v>215</v>
      </c>
      <c r="T54" s="1178"/>
      <c r="U54" s="1178"/>
      <c r="V54" s="1178"/>
      <c r="W54" s="1178"/>
      <c r="X54" s="1178"/>
      <c r="Y54" s="1179"/>
      <c r="Z54" s="1180"/>
      <c r="AA54" s="1178"/>
      <c r="AB54" s="1178"/>
      <c r="AC54" s="1178"/>
      <c r="AD54" s="1178"/>
      <c r="AE54" s="1178"/>
      <c r="AF54" s="1179"/>
    </row>
    <row r="55" spans="1:32">
      <c r="C55" s="1171" t="s">
        <v>220</v>
      </c>
      <c r="D55" s="1172"/>
      <c r="E55" s="1172"/>
      <c r="F55" s="1172"/>
      <c r="G55" s="1172"/>
      <c r="H55" s="1172"/>
      <c r="I55" s="1173"/>
      <c r="J55" s="1174"/>
      <c r="K55" s="1175"/>
      <c r="L55" s="1175"/>
      <c r="M55" s="1175"/>
      <c r="N55" s="1175"/>
      <c r="O55" s="1175"/>
      <c r="P55" s="1176"/>
      <c r="S55" s="1174" t="s">
        <v>246</v>
      </c>
      <c r="T55" s="1175"/>
      <c r="U55" s="1175"/>
      <c r="V55" s="1175"/>
      <c r="W55" s="1175"/>
      <c r="X55" s="1175"/>
      <c r="Y55" s="1176"/>
      <c r="Z55" s="1174"/>
      <c r="AA55" s="1175"/>
      <c r="AB55" s="1175"/>
      <c r="AC55" s="1175"/>
      <c r="AD55" s="1175"/>
      <c r="AE55" s="1175"/>
      <c r="AF55" s="1176"/>
    </row>
    <row r="56" spans="1:32">
      <c r="C56" s="1177" t="s">
        <v>219</v>
      </c>
      <c r="D56" s="1178"/>
      <c r="E56" s="1178"/>
      <c r="F56" s="1178"/>
      <c r="G56" s="1178"/>
      <c r="H56" s="1178"/>
      <c r="I56" s="1179"/>
      <c r="J56" s="1177"/>
      <c r="K56" s="1178"/>
      <c r="L56" s="1178"/>
      <c r="M56" s="1178"/>
      <c r="N56" s="1178"/>
      <c r="O56" s="1178"/>
      <c r="P56" s="1179"/>
      <c r="S56" s="1171"/>
      <c r="T56" s="1172"/>
      <c r="U56" s="1172"/>
      <c r="V56" s="1172"/>
      <c r="W56" s="1172"/>
      <c r="X56" s="1172"/>
      <c r="Y56" s="1173"/>
      <c r="Z56" s="1180"/>
      <c r="AA56" s="1178"/>
      <c r="AB56" s="1178"/>
      <c r="AC56" s="1178"/>
      <c r="AD56" s="1178"/>
      <c r="AE56" s="1178"/>
      <c r="AF56" s="1179"/>
    </row>
    <row r="57" spans="1:32">
      <c r="C57" s="1174" t="s">
        <v>207</v>
      </c>
      <c r="D57" s="1175"/>
      <c r="E57" s="1175"/>
      <c r="F57" s="1175"/>
      <c r="G57" s="1175"/>
      <c r="H57" s="1175"/>
      <c r="I57" s="1176"/>
      <c r="J57" s="1174"/>
      <c r="K57" s="1175"/>
      <c r="L57" s="1175"/>
      <c r="M57" s="1175"/>
      <c r="N57" s="1175"/>
      <c r="O57" s="1175"/>
      <c r="P57" s="1176"/>
      <c r="S57" s="1171"/>
      <c r="T57" s="1172"/>
      <c r="U57" s="1172"/>
      <c r="V57" s="1172"/>
      <c r="W57" s="1172"/>
      <c r="X57" s="1172"/>
      <c r="Y57" s="1173"/>
      <c r="Z57" s="1174"/>
      <c r="AA57" s="1175"/>
      <c r="AB57" s="1175"/>
      <c r="AC57" s="1175"/>
      <c r="AD57" s="1175"/>
      <c r="AE57" s="1175"/>
      <c r="AF57" s="1176"/>
    </row>
    <row r="58" spans="1:32">
      <c r="S58" s="1177"/>
      <c r="T58" s="1178"/>
      <c r="U58" s="1178"/>
      <c r="V58" s="1178"/>
      <c r="W58" s="1178"/>
      <c r="X58" s="1178"/>
      <c r="Y58" s="1179"/>
    </row>
    <row r="59" spans="1:32">
      <c r="S59" s="1174"/>
      <c r="T59" s="1175"/>
      <c r="U59" s="1175"/>
      <c r="V59" s="1175"/>
      <c r="W59" s="1175"/>
      <c r="X59" s="1175"/>
      <c r="Y59" s="1176"/>
    </row>
    <row r="61" spans="1:32" ht="13.5" customHeight="1"/>
    <row r="68" ht="13.5" customHeight="1"/>
    <row r="71" ht="13.5" customHeight="1"/>
    <row r="75" ht="13.5" customHeight="1"/>
    <row r="79" ht="13.5" customHeight="1"/>
    <row r="89" ht="13.5" customHeight="1"/>
    <row r="103" ht="13.5" customHeight="1"/>
    <row r="182" ht="13.5" customHeight="1"/>
  </sheetData>
  <sheetProtection selectLockedCells="1" selectUnlockedCells="1"/>
  <mergeCells count="266">
    <mergeCell ref="S7:Y7"/>
    <mergeCell ref="J20:P20"/>
    <mergeCell ref="Z29:AF29"/>
    <mergeCell ref="A24:A25"/>
    <mergeCell ref="B24:B25"/>
    <mergeCell ref="C29:I29"/>
    <mergeCell ref="R22:R23"/>
    <mergeCell ref="R26:R27"/>
    <mergeCell ref="S23:Y23"/>
    <mergeCell ref="Q22:Q23"/>
    <mergeCell ref="J22:P22"/>
    <mergeCell ref="Q20:Q21"/>
    <mergeCell ref="C21:I21"/>
    <mergeCell ref="C25:I25"/>
    <mergeCell ref="C24:I24"/>
    <mergeCell ref="J23:P23"/>
    <mergeCell ref="Q24:Q25"/>
    <mergeCell ref="R28:R29"/>
    <mergeCell ref="S27:Y27"/>
    <mergeCell ref="A22:A23"/>
    <mergeCell ref="B22:B23"/>
    <mergeCell ref="A6:A7"/>
    <mergeCell ref="B6:B7"/>
    <mergeCell ref="B8:B9"/>
    <mergeCell ref="Z5:AF5"/>
    <mergeCell ref="Q4:Q5"/>
    <mergeCell ref="R4:R5"/>
    <mergeCell ref="S5:Y5"/>
    <mergeCell ref="A1:G1"/>
    <mergeCell ref="J6:P6"/>
    <mergeCell ref="J5:P5"/>
    <mergeCell ref="J3:P3"/>
    <mergeCell ref="C5:I5"/>
    <mergeCell ref="C6:I6"/>
    <mergeCell ref="Z3:AF3"/>
    <mergeCell ref="S4:Y4"/>
    <mergeCell ref="Z4:AF4"/>
    <mergeCell ref="C4:I4"/>
    <mergeCell ref="J4:P4"/>
    <mergeCell ref="S3:Y3"/>
    <mergeCell ref="R6:R7"/>
    <mergeCell ref="Q6:Q7"/>
    <mergeCell ref="A2:D2"/>
    <mergeCell ref="A4:A5"/>
    <mergeCell ref="Z7:AF7"/>
    <mergeCell ref="B4:B5"/>
    <mergeCell ref="C3:I3"/>
    <mergeCell ref="Z6:AF6"/>
    <mergeCell ref="J7:P7"/>
    <mergeCell ref="J13:P13"/>
    <mergeCell ref="J14:P14"/>
    <mergeCell ref="C8:I8"/>
    <mergeCell ref="A14:A15"/>
    <mergeCell ref="B14:B15"/>
    <mergeCell ref="A8:A9"/>
    <mergeCell ref="A12:A13"/>
    <mergeCell ref="A10:A11"/>
    <mergeCell ref="B10:B11"/>
    <mergeCell ref="C9:I9"/>
    <mergeCell ref="J9:P9"/>
    <mergeCell ref="C12:I12"/>
    <mergeCell ref="C7:I7"/>
    <mergeCell ref="R8:R9"/>
    <mergeCell ref="Z18:AF18"/>
    <mergeCell ref="B12:B13"/>
    <mergeCell ref="C19:I19"/>
    <mergeCell ref="Z8:AF8"/>
    <mergeCell ref="S9:Y9"/>
    <mergeCell ref="Z9:AF9"/>
    <mergeCell ref="S8:Y8"/>
    <mergeCell ref="Z10:AF10"/>
    <mergeCell ref="S11:Y11"/>
    <mergeCell ref="Z11:AF11"/>
    <mergeCell ref="S10:Y10"/>
    <mergeCell ref="S12:Y12"/>
    <mergeCell ref="Z12:AF12"/>
    <mergeCell ref="B16:B17"/>
    <mergeCell ref="C10:I10"/>
    <mergeCell ref="Z13:AF13"/>
    <mergeCell ref="Q8:Q9"/>
    <mergeCell ref="S18:Y18"/>
    <mergeCell ref="J11:P11"/>
    <mergeCell ref="J8:P8"/>
    <mergeCell ref="C17:I17"/>
    <mergeCell ref="J12:P12"/>
    <mergeCell ref="S17:Y17"/>
    <mergeCell ref="A36:A40"/>
    <mergeCell ref="A34:A35"/>
    <mergeCell ref="A32:A33"/>
    <mergeCell ref="B32:B33"/>
    <mergeCell ref="B34:B35"/>
    <mergeCell ref="Z33:AF33"/>
    <mergeCell ref="R32:R33"/>
    <mergeCell ref="Z34:AF34"/>
    <mergeCell ref="Z35:AF35"/>
    <mergeCell ref="C32:I32"/>
    <mergeCell ref="Q32:Q33"/>
    <mergeCell ref="J32:P32"/>
    <mergeCell ref="J33:P33"/>
    <mergeCell ref="S34:Y34"/>
    <mergeCell ref="S32:Y32"/>
    <mergeCell ref="J35:P35"/>
    <mergeCell ref="J34:P34"/>
    <mergeCell ref="C34:I34"/>
    <mergeCell ref="Z32:AF32"/>
    <mergeCell ref="S35:Y35"/>
    <mergeCell ref="C35:I35"/>
    <mergeCell ref="S33:Y33"/>
    <mergeCell ref="C33:I33"/>
    <mergeCell ref="Q34:Q35"/>
    <mergeCell ref="C30:I30"/>
    <mergeCell ref="S20:Y20"/>
    <mergeCell ref="S25:Y25"/>
    <mergeCell ref="S30:Y30"/>
    <mergeCell ref="C28:I28"/>
    <mergeCell ref="J30:P30"/>
    <mergeCell ref="S15:Y15"/>
    <mergeCell ref="Q10:Q11"/>
    <mergeCell ref="C11:I11"/>
    <mergeCell ref="R12:R13"/>
    <mergeCell ref="C13:I13"/>
    <mergeCell ref="C14:I14"/>
    <mergeCell ref="C15:I15"/>
    <mergeCell ref="R14:R15"/>
    <mergeCell ref="R10:R11"/>
    <mergeCell ref="J10:P10"/>
    <mergeCell ref="J31:P31"/>
    <mergeCell ref="C16:I16"/>
    <mergeCell ref="B18:B19"/>
    <mergeCell ref="R16:R17"/>
    <mergeCell ref="Q16:Q17"/>
    <mergeCell ref="J15:P15"/>
    <mergeCell ref="S24:Y24"/>
    <mergeCell ref="J29:P29"/>
    <mergeCell ref="A28:A29"/>
    <mergeCell ref="B28:B29"/>
    <mergeCell ref="A18:A19"/>
    <mergeCell ref="A26:A27"/>
    <mergeCell ref="B26:B27"/>
    <mergeCell ref="C26:I26"/>
    <mergeCell ref="C27:I27"/>
    <mergeCell ref="C22:I22"/>
    <mergeCell ref="C23:I23"/>
    <mergeCell ref="B20:B21"/>
    <mergeCell ref="C20:I20"/>
    <mergeCell ref="C18:I18"/>
    <mergeCell ref="A20:A21"/>
    <mergeCell ref="J27:P27"/>
    <mergeCell ref="J28:P28"/>
    <mergeCell ref="J19:P19"/>
    <mergeCell ref="A16:A17"/>
    <mergeCell ref="S26:Y26"/>
    <mergeCell ref="S21:Y21"/>
    <mergeCell ref="Q18:Q19"/>
    <mergeCell ref="Z27:AF27"/>
    <mergeCell ref="Q14:Q15"/>
    <mergeCell ref="Q12:Q13"/>
    <mergeCell ref="J17:P17"/>
    <mergeCell ref="J16:P16"/>
    <mergeCell ref="Z17:AF17"/>
    <mergeCell ref="S13:Y13"/>
    <mergeCell ref="S14:Y14"/>
    <mergeCell ref="S16:Y16"/>
    <mergeCell ref="R24:R25"/>
    <mergeCell ref="J24:P24"/>
    <mergeCell ref="J25:P25"/>
    <mergeCell ref="Z16:AF16"/>
    <mergeCell ref="Z14:AF14"/>
    <mergeCell ref="Z15:AF15"/>
    <mergeCell ref="R18:R19"/>
    <mergeCell ref="R20:R21"/>
    <mergeCell ref="J18:P18"/>
    <mergeCell ref="J21:P21"/>
    <mergeCell ref="J26:P26"/>
    <mergeCell ref="A30:A31"/>
    <mergeCell ref="B30:B31"/>
    <mergeCell ref="R30:R31"/>
    <mergeCell ref="Q30:Q31"/>
    <mergeCell ref="S6:Y6"/>
    <mergeCell ref="Q28:Q29"/>
    <mergeCell ref="Z30:AF30"/>
    <mergeCell ref="C31:I31"/>
    <mergeCell ref="Z19:AF19"/>
    <mergeCell ref="S19:Y19"/>
    <mergeCell ref="Z31:AF31"/>
    <mergeCell ref="S29:Y29"/>
    <mergeCell ref="S31:Y31"/>
    <mergeCell ref="Q26:Q27"/>
    <mergeCell ref="Z26:AF26"/>
    <mergeCell ref="Z24:AF24"/>
    <mergeCell ref="Z23:AF23"/>
    <mergeCell ref="Z25:AF25"/>
    <mergeCell ref="Z22:AF22"/>
    <mergeCell ref="Z20:AF20"/>
    <mergeCell ref="Z21:AF21"/>
    <mergeCell ref="Z28:AF28"/>
    <mergeCell ref="S22:Y22"/>
    <mergeCell ref="S28:Y28"/>
    <mergeCell ref="C42:I42"/>
    <mergeCell ref="J42:P42"/>
    <mergeCell ref="C43:I43"/>
    <mergeCell ref="J43:P43"/>
    <mergeCell ref="C44:I44"/>
    <mergeCell ref="J44:P44"/>
    <mergeCell ref="C45:I45"/>
    <mergeCell ref="J45:P45"/>
    <mergeCell ref="C46:I46"/>
    <mergeCell ref="J46:P46"/>
    <mergeCell ref="C47:I47"/>
    <mergeCell ref="J47:P47"/>
    <mergeCell ref="C48:I48"/>
    <mergeCell ref="J48:P48"/>
    <mergeCell ref="C49:I49"/>
    <mergeCell ref="J49:P49"/>
    <mergeCell ref="C50:I50"/>
    <mergeCell ref="J50:P50"/>
    <mergeCell ref="C51:I51"/>
    <mergeCell ref="J51:P51"/>
    <mergeCell ref="S58:Y58"/>
    <mergeCell ref="S59:Y59"/>
    <mergeCell ref="Z54:AF54"/>
    <mergeCell ref="Z55:AF55"/>
    <mergeCell ref="Z56:AF56"/>
    <mergeCell ref="Z57:AF57"/>
    <mergeCell ref="C57:I57"/>
    <mergeCell ref="J57:P57"/>
    <mergeCell ref="S42:Y42"/>
    <mergeCell ref="Z42:AF42"/>
    <mergeCell ref="S43:Y43"/>
    <mergeCell ref="Z43:AF43"/>
    <mergeCell ref="S44:Y44"/>
    <mergeCell ref="Z44:AF44"/>
    <mergeCell ref="S45:Y45"/>
    <mergeCell ref="Z45:AF45"/>
    <mergeCell ref="S46:Y46"/>
    <mergeCell ref="Z46:AF46"/>
    <mergeCell ref="S47:Y47"/>
    <mergeCell ref="Z47:AF47"/>
    <mergeCell ref="S48:Y48"/>
    <mergeCell ref="Z48:AF48"/>
    <mergeCell ref="S49:Y49"/>
    <mergeCell ref="Z49:AF49"/>
    <mergeCell ref="R34:R35"/>
    <mergeCell ref="B36:AF36"/>
    <mergeCell ref="S53:Y53"/>
    <mergeCell ref="Z53:AF53"/>
    <mergeCell ref="S54:Y54"/>
    <mergeCell ref="S55:Y55"/>
    <mergeCell ref="S56:Y56"/>
    <mergeCell ref="S57:Y57"/>
    <mergeCell ref="S50:Y50"/>
    <mergeCell ref="Z50:AF50"/>
    <mergeCell ref="S51:Y51"/>
    <mergeCell ref="Z51:AF51"/>
    <mergeCell ref="S52:Y52"/>
    <mergeCell ref="Z52:AF52"/>
    <mergeCell ref="C52:I52"/>
    <mergeCell ref="J52:P52"/>
    <mergeCell ref="C53:I53"/>
    <mergeCell ref="J53:P53"/>
    <mergeCell ref="C54:I54"/>
    <mergeCell ref="J54:P54"/>
    <mergeCell ref="C55:I55"/>
    <mergeCell ref="J55:P55"/>
    <mergeCell ref="C56:I56"/>
    <mergeCell ref="J56:P56"/>
  </mergeCells>
  <phoneticPr fontId="8"/>
  <pageMargins left="0.39370078740157483" right="0.19685039370078741" top="0.78740157480314965" bottom="0.78740157480314965" header="0.51181102362204722" footer="0.51181102362204722"/>
  <pageSetup paperSize="9" scale="6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pageSetUpPr fitToPage="1"/>
  </sheetPr>
  <dimension ref="A1:DP43"/>
  <sheetViews>
    <sheetView zoomScale="70" zoomScaleNormal="70" zoomScaleSheetLayoutView="50" workbookViewId="0">
      <selection activeCell="N18" sqref="N18"/>
    </sheetView>
  </sheetViews>
  <sheetFormatPr defaultRowHeight="12.75"/>
  <cols>
    <col min="1" max="1" width="3.73046875" style="62" customWidth="1"/>
    <col min="2" max="2" width="26" style="62" customWidth="1"/>
    <col min="3" max="3" width="9.73046875" style="62" customWidth="1"/>
    <col min="4" max="27" width="6.46484375" style="62" customWidth="1"/>
    <col min="28" max="28" width="19.265625" style="62" customWidth="1"/>
    <col min="29" max="29" width="45.265625" style="62" customWidth="1"/>
    <col min="30" max="252" width="9" style="62"/>
    <col min="253" max="253" width="3.73046875" style="62" customWidth="1"/>
    <col min="254" max="254" width="20.1328125" style="62" customWidth="1"/>
    <col min="255" max="255" width="9.73046875" style="62" customWidth="1"/>
    <col min="256" max="283" width="6.46484375" style="62" customWidth="1"/>
    <col min="284" max="284" width="19.265625" style="62" customWidth="1"/>
    <col min="285" max="285" width="45.265625" style="62" customWidth="1"/>
    <col min="286" max="508" width="9" style="62"/>
    <col min="509" max="509" width="3.73046875" style="62" customWidth="1"/>
    <col min="510" max="510" width="20.1328125" style="62" customWidth="1"/>
    <col min="511" max="511" width="9.73046875" style="62" customWidth="1"/>
    <col min="512" max="539" width="6.46484375" style="62" customWidth="1"/>
    <col min="540" max="540" width="19.265625" style="62" customWidth="1"/>
    <col min="541" max="541" width="45.265625" style="62" customWidth="1"/>
    <col min="542" max="764" width="9" style="62"/>
    <col min="765" max="765" width="3.73046875" style="62" customWidth="1"/>
    <col min="766" max="766" width="20.1328125" style="62" customWidth="1"/>
    <col min="767" max="767" width="9.73046875" style="62" customWidth="1"/>
    <col min="768" max="795" width="6.46484375" style="62" customWidth="1"/>
    <col min="796" max="796" width="19.265625" style="62" customWidth="1"/>
    <col min="797" max="797" width="45.265625" style="62" customWidth="1"/>
    <col min="798" max="1020" width="9" style="62"/>
    <col min="1021" max="1021" width="3.73046875" style="62" customWidth="1"/>
    <col min="1022" max="1022" width="20.1328125" style="62" customWidth="1"/>
    <col min="1023" max="1023" width="9.73046875" style="62" customWidth="1"/>
    <col min="1024" max="1051" width="6.46484375" style="62" customWidth="1"/>
    <col min="1052" max="1052" width="19.265625" style="62" customWidth="1"/>
    <col min="1053" max="1053" width="45.265625" style="62" customWidth="1"/>
    <col min="1054" max="1276" width="9" style="62"/>
    <col min="1277" max="1277" width="3.73046875" style="62" customWidth="1"/>
    <col min="1278" max="1278" width="20.1328125" style="62" customWidth="1"/>
    <col min="1279" max="1279" width="9.73046875" style="62" customWidth="1"/>
    <col min="1280" max="1307" width="6.46484375" style="62" customWidth="1"/>
    <col min="1308" max="1308" width="19.265625" style="62" customWidth="1"/>
    <col min="1309" max="1309" width="45.265625" style="62" customWidth="1"/>
    <col min="1310" max="1532" width="9" style="62"/>
    <col min="1533" max="1533" width="3.73046875" style="62" customWidth="1"/>
    <col min="1534" max="1534" width="20.1328125" style="62" customWidth="1"/>
    <col min="1535" max="1535" width="9.73046875" style="62" customWidth="1"/>
    <col min="1536" max="1563" width="6.46484375" style="62" customWidth="1"/>
    <col min="1564" max="1564" width="19.265625" style="62" customWidth="1"/>
    <col min="1565" max="1565" width="45.265625" style="62" customWidth="1"/>
    <col min="1566" max="1788" width="9" style="62"/>
    <col min="1789" max="1789" width="3.73046875" style="62" customWidth="1"/>
    <col min="1790" max="1790" width="20.1328125" style="62" customWidth="1"/>
    <col min="1791" max="1791" width="9.73046875" style="62" customWidth="1"/>
    <col min="1792" max="1819" width="6.46484375" style="62" customWidth="1"/>
    <col min="1820" max="1820" width="19.265625" style="62" customWidth="1"/>
    <col min="1821" max="1821" width="45.265625" style="62" customWidth="1"/>
    <col min="1822" max="2044" width="9" style="62"/>
    <col min="2045" max="2045" width="3.73046875" style="62" customWidth="1"/>
    <col min="2046" max="2046" width="20.1328125" style="62" customWidth="1"/>
    <col min="2047" max="2047" width="9.73046875" style="62" customWidth="1"/>
    <col min="2048" max="2075" width="6.46484375" style="62" customWidth="1"/>
    <col min="2076" max="2076" width="19.265625" style="62" customWidth="1"/>
    <col min="2077" max="2077" width="45.265625" style="62" customWidth="1"/>
    <col min="2078" max="2300" width="9" style="62"/>
    <col min="2301" max="2301" width="3.73046875" style="62" customWidth="1"/>
    <col min="2302" max="2302" width="20.1328125" style="62" customWidth="1"/>
    <col min="2303" max="2303" width="9.73046875" style="62" customWidth="1"/>
    <col min="2304" max="2331" width="6.46484375" style="62" customWidth="1"/>
    <col min="2332" max="2332" width="19.265625" style="62" customWidth="1"/>
    <col min="2333" max="2333" width="45.265625" style="62" customWidth="1"/>
    <col min="2334" max="2556" width="9" style="62"/>
    <col min="2557" max="2557" width="3.73046875" style="62" customWidth="1"/>
    <col min="2558" max="2558" width="20.1328125" style="62" customWidth="1"/>
    <col min="2559" max="2559" width="9.73046875" style="62" customWidth="1"/>
    <col min="2560" max="2587" width="6.46484375" style="62" customWidth="1"/>
    <col min="2588" max="2588" width="19.265625" style="62" customWidth="1"/>
    <col min="2589" max="2589" width="45.265625" style="62" customWidth="1"/>
    <col min="2590" max="2812" width="9" style="62"/>
    <col min="2813" max="2813" width="3.73046875" style="62" customWidth="1"/>
    <col min="2814" max="2814" width="20.1328125" style="62" customWidth="1"/>
    <col min="2815" max="2815" width="9.73046875" style="62" customWidth="1"/>
    <col min="2816" max="2843" width="6.46484375" style="62" customWidth="1"/>
    <col min="2844" max="2844" width="19.265625" style="62" customWidth="1"/>
    <col min="2845" max="2845" width="45.265625" style="62" customWidth="1"/>
    <col min="2846" max="3068" width="9" style="62"/>
    <col min="3069" max="3069" width="3.73046875" style="62" customWidth="1"/>
    <col min="3070" max="3070" width="20.1328125" style="62" customWidth="1"/>
    <col min="3071" max="3071" width="9.73046875" style="62" customWidth="1"/>
    <col min="3072" max="3099" width="6.46484375" style="62" customWidth="1"/>
    <col min="3100" max="3100" width="19.265625" style="62" customWidth="1"/>
    <col min="3101" max="3101" width="45.265625" style="62" customWidth="1"/>
    <col min="3102" max="3324" width="9" style="62"/>
    <col min="3325" max="3325" width="3.73046875" style="62" customWidth="1"/>
    <col min="3326" max="3326" width="20.1328125" style="62" customWidth="1"/>
    <col min="3327" max="3327" width="9.73046875" style="62" customWidth="1"/>
    <col min="3328" max="3355" width="6.46484375" style="62" customWidth="1"/>
    <col min="3356" max="3356" width="19.265625" style="62" customWidth="1"/>
    <col min="3357" max="3357" width="45.265625" style="62" customWidth="1"/>
    <col min="3358" max="3580" width="9" style="62"/>
    <col min="3581" max="3581" width="3.73046875" style="62" customWidth="1"/>
    <col min="3582" max="3582" width="20.1328125" style="62" customWidth="1"/>
    <col min="3583" max="3583" width="9.73046875" style="62" customWidth="1"/>
    <col min="3584" max="3611" width="6.46484375" style="62" customWidth="1"/>
    <col min="3612" max="3612" width="19.265625" style="62" customWidth="1"/>
    <col min="3613" max="3613" width="45.265625" style="62" customWidth="1"/>
    <col min="3614" max="3836" width="9" style="62"/>
    <col min="3837" max="3837" width="3.73046875" style="62" customWidth="1"/>
    <col min="3838" max="3838" width="20.1328125" style="62" customWidth="1"/>
    <col min="3839" max="3839" width="9.73046875" style="62" customWidth="1"/>
    <col min="3840" max="3867" width="6.46484375" style="62" customWidth="1"/>
    <col min="3868" max="3868" width="19.265625" style="62" customWidth="1"/>
    <col min="3869" max="3869" width="45.265625" style="62" customWidth="1"/>
    <col min="3870" max="4092" width="9" style="62"/>
    <col min="4093" max="4093" width="3.73046875" style="62" customWidth="1"/>
    <col min="4094" max="4094" width="20.1328125" style="62" customWidth="1"/>
    <col min="4095" max="4095" width="9.73046875" style="62" customWidth="1"/>
    <col min="4096" max="4123" width="6.46484375" style="62" customWidth="1"/>
    <col min="4124" max="4124" width="19.265625" style="62" customWidth="1"/>
    <col min="4125" max="4125" width="45.265625" style="62" customWidth="1"/>
    <col min="4126" max="4348" width="9" style="62"/>
    <col min="4349" max="4349" width="3.73046875" style="62" customWidth="1"/>
    <col min="4350" max="4350" width="20.1328125" style="62" customWidth="1"/>
    <col min="4351" max="4351" width="9.73046875" style="62" customWidth="1"/>
    <col min="4352" max="4379" width="6.46484375" style="62" customWidth="1"/>
    <col min="4380" max="4380" width="19.265625" style="62" customWidth="1"/>
    <col min="4381" max="4381" width="45.265625" style="62" customWidth="1"/>
    <col min="4382" max="4604" width="9" style="62"/>
    <col min="4605" max="4605" width="3.73046875" style="62" customWidth="1"/>
    <col min="4606" max="4606" width="20.1328125" style="62" customWidth="1"/>
    <col min="4607" max="4607" width="9.73046875" style="62" customWidth="1"/>
    <col min="4608" max="4635" width="6.46484375" style="62" customWidth="1"/>
    <col min="4636" max="4636" width="19.265625" style="62" customWidth="1"/>
    <col min="4637" max="4637" width="45.265625" style="62" customWidth="1"/>
    <col min="4638" max="4860" width="9" style="62"/>
    <col min="4861" max="4861" width="3.73046875" style="62" customWidth="1"/>
    <col min="4862" max="4862" width="20.1328125" style="62" customWidth="1"/>
    <col min="4863" max="4863" width="9.73046875" style="62" customWidth="1"/>
    <col min="4864" max="4891" width="6.46484375" style="62" customWidth="1"/>
    <col min="4892" max="4892" width="19.265625" style="62" customWidth="1"/>
    <col min="4893" max="4893" width="45.265625" style="62" customWidth="1"/>
    <col min="4894" max="5116" width="9" style="62"/>
    <col min="5117" max="5117" width="3.73046875" style="62" customWidth="1"/>
    <col min="5118" max="5118" width="20.1328125" style="62" customWidth="1"/>
    <col min="5119" max="5119" width="9.73046875" style="62" customWidth="1"/>
    <col min="5120" max="5147" width="6.46484375" style="62" customWidth="1"/>
    <col min="5148" max="5148" width="19.265625" style="62" customWidth="1"/>
    <col min="5149" max="5149" width="45.265625" style="62" customWidth="1"/>
    <col min="5150" max="5372" width="9" style="62"/>
    <col min="5373" max="5373" width="3.73046875" style="62" customWidth="1"/>
    <col min="5374" max="5374" width="20.1328125" style="62" customWidth="1"/>
    <col min="5375" max="5375" width="9.73046875" style="62" customWidth="1"/>
    <col min="5376" max="5403" width="6.46484375" style="62" customWidth="1"/>
    <col min="5404" max="5404" width="19.265625" style="62" customWidth="1"/>
    <col min="5405" max="5405" width="45.265625" style="62" customWidth="1"/>
    <col min="5406" max="5628" width="9" style="62"/>
    <col min="5629" max="5629" width="3.73046875" style="62" customWidth="1"/>
    <col min="5630" max="5630" width="20.1328125" style="62" customWidth="1"/>
    <col min="5631" max="5631" width="9.73046875" style="62" customWidth="1"/>
    <col min="5632" max="5659" width="6.46484375" style="62" customWidth="1"/>
    <col min="5660" max="5660" width="19.265625" style="62" customWidth="1"/>
    <col min="5661" max="5661" width="45.265625" style="62" customWidth="1"/>
    <col min="5662" max="5884" width="9" style="62"/>
    <col min="5885" max="5885" width="3.73046875" style="62" customWidth="1"/>
    <col min="5886" max="5886" width="20.1328125" style="62" customWidth="1"/>
    <col min="5887" max="5887" width="9.73046875" style="62" customWidth="1"/>
    <col min="5888" max="5915" width="6.46484375" style="62" customWidth="1"/>
    <col min="5916" max="5916" width="19.265625" style="62" customWidth="1"/>
    <col min="5917" max="5917" width="45.265625" style="62" customWidth="1"/>
    <col min="5918" max="6140" width="9" style="62"/>
    <col min="6141" max="6141" width="3.73046875" style="62" customWidth="1"/>
    <col min="6142" max="6142" width="20.1328125" style="62" customWidth="1"/>
    <col min="6143" max="6143" width="9.73046875" style="62" customWidth="1"/>
    <col min="6144" max="6171" width="6.46484375" style="62" customWidth="1"/>
    <col min="6172" max="6172" width="19.265625" style="62" customWidth="1"/>
    <col min="6173" max="6173" width="45.265625" style="62" customWidth="1"/>
    <col min="6174" max="6396" width="9" style="62"/>
    <col min="6397" max="6397" width="3.73046875" style="62" customWidth="1"/>
    <col min="6398" max="6398" width="20.1328125" style="62" customWidth="1"/>
    <col min="6399" max="6399" width="9.73046875" style="62" customWidth="1"/>
    <col min="6400" max="6427" width="6.46484375" style="62" customWidth="1"/>
    <col min="6428" max="6428" width="19.265625" style="62" customWidth="1"/>
    <col min="6429" max="6429" width="45.265625" style="62" customWidth="1"/>
    <col min="6430" max="6652" width="9" style="62"/>
    <col min="6653" max="6653" width="3.73046875" style="62" customWidth="1"/>
    <col min="6654" max="6654" width="20.1328125" style="62" customWidth="1"/>
    <col min="6655" max="6655" width="9.73046875" style="62" customWidth="1"/>
    <col min="6656" max="6683" width="6.46484375" style="62" customWidth="1"/>
    <col min="6684" max="6684" width="19.265625" style="62" customWidth="1"/>
    <col min="6685" max="6685" width="45.265625" style="62" customWidth="1"/>
    <col min="6686" max="6908" width="9" style="62"/>
    <col min="6909" max="6909" width="3.73046875" style="62" customWidth="1"/>
    <col min="6910" max="6910" width="20.1328125" style="62" customWidth="1"/>
    <col min="6911" max="6911" width="9.73046875" style="62" customWidth="1"/>
    <col min="6912" max="6939" width="6.46484375" style="62" customWidth="1"/>
    <col min="6940" max="6940" width="19.265625" style="62" customWidth="1"/>
    <col min="6941" max="6941" width="45.265625" style="62" customWidth="1"/>
    <col min="6942" max="7164" width="9" style="62"/>
    <col min="7165" max="7165" width="3.73046875" style="62" customWidth="1"/>
    <col min="7166" max="7166" width="20.1328125" style="62" customWidth="1"/>
    <col min="7167" max="7167" width="9.73046875" style="62" customWidth="1"/>
    <col min="7168" max="7195" width="6.46484375" style="62" customWidth="1"/>
    <col min="7196" max="7196" width="19.265625" style="62" customWidth="1"/>
    <col min="7197" max="7197" width="45.265625" style="62" customWidth="1"/>
    <col min="7198" max="7420" width="9" style="62"/>
    <col min="7421" max="7421" width="3.73046875" style="62" customWidth="1"/>
    <col min="7422" max="7422" width="20.1328125" style="62" customWidth="1"/>
    <col min="7423" max="7423" width="9.73046875" style="62" customWidth="1"/>
    <col min="7424" max="7451" width="6.46484375" style="62" customWidth="1"/>
    <col min="7452" max="7452" width="19.265625" style="62" customWidth="1"/>
    <col min="7453" max="7453" width="45.265625" style="62" customWidth="1"/>
    <col min="7454" max="7676" width="9" style="62"/>
    <col min="7677" max="7677" width="3.73046875" style="62" customWidth="1"/>
    <col min="7678" max="7678" width="20.1328125" style="62" customWidth="1"/>
    <col min="7679" max="7679" width="9.73046875" style="62" customWidth="1"/>
    <col min="7680" max="7707" width="6.46484375" style="62" customWidth="1"/>
    <col min="7708" max="7708" width="19.265625" style="62" customWidth="1"/>
    <col min="7709" max="7709" width="45.265625" style="62" customWidth="1"/>
    <col min="7710" max="7932" width="9" style="62"/>
    <col min="7933" max="7933" width="3.73046875" style="62" customWidth="1"/>
    <col min="7934" max="7934" width="20.1328125" style="62" customWidth="1"/>
    <col min="7935" max="7935" width="9.73046875" style="62" customWidth="1"/>
    <col min="7936" max="7963" width="6.46484375" style="62" customWidth="1"/>
    <col min="7964" max="7964" width="19.265625" style="62" customWidth="1"/>
    <col min="7965" max="7965" width="45.265625" style="62" customWidth="1"/>
    <col min="7966" max="8188" width="9" style="62"/>
    <col min="8189" max="8189" width="3.73046875" style="62" customWidth="1"/>
    <col min="8190" max="8190" width="20.1328125" style="62" customWidth="1"/>
    <col min="8191" max="8191" width="9.73046875" style="62" customWidth="1"/>
    <col min="8192" max="8219" width="6.46484375" style="62" customWidth="1"/>
    <col min="8220" max="8220" width="19.265625" style="62" customWidth="1"/>
    <col min="8221" max="8221" width="45.265625" style="62" customWidth="1"/>
    <col min="8222" max="8444" width="9" style="62"/>
    <col min="8445" max="8445" width="3.73046875" style="62" customWidth="1"/>
    <col min="8446" max="8446" width="20.1328125" style="62" customWidth="1"/>
    <col min="8447" max="8447" width="9.73046875" style="62" customWidth="1"/>
    <col min="8448" max="8475" width="6.46484375" style="62" customWidth="1"/>
    <col min="8476" max="8476" width="19.265625" style="62" customWidth="1"/>
    <col min="8477" max="8477" width="45.265625" style="62" customWidth="1"/>
    <col min="8478" max="8700" width="9" style="62"/>
    <col min="8701" max="8701" width="3.73046875" style="62" customWidth="1"/>
    <col min="8702" max="8702" width="20.1328125" style="62" customWidth="1"/>
    <col min="8703" max="8703" width="9.73046875" style="62" customWidth="1"/>
    <col min="8704" max="8731" width="6.46484375" style="62" customWidth="1"/>
    <col min="8732" max="8732" width="19.265625" style="62" customWidth="1"/>
    <col min="8733" max="8733" width="45.265625" style="62" customWidth="1"/>
    <col min="8734" max="8956" width="9" style="62"/>
    <col min="8957" max="8957" width="3.73046875" style="62" customWidth="1"/>
    <col min="8958" max="8958" width="20.1328125" style="62" customWidth="1"/>
    <col min="8959" max="8959" width="9.73046875" style="62" customWidth="1"/>
    <col min="8960" max="8987" width="6.46484375" style="62" customWidth="1"/>
    <col min="8988" max="8988" width="19.265625" style="62" customWidth="1"/>
    <col min="8989" max="8989" width="45.265625" style="62" customWidth="1"/>
    <col min="8990" max="9212" width="9" style="62"/>
    <col min="9213" max="9213" width="3.73046875" style="62" customWidth="1"/>
    <col min="9214" max="9214" width="20.1328125" style="62" customWidth="1"/>
    <col min="9215" max="9215" width="9.73046875" style="62" customWidth="1"/>
    <col min="9216" max="9243" width="6.46484375" style="62" customWidth="1"/>
    <col min="9244" max="9244" width="19.265625" style="62" customWidth="1"/>
    <col min="9245" max="9245" width="45.265625" style="62" customWidth="1"/>
    <col min="9246" max="9468" width="9" style="62"/>
    <col min="9469" max="9469" width="3.73046875" style="62" customWidth="1"/>
    <col min="9470" max="9470" width="20.1328125" style="62" customWidth="1"/>
    <col min="9471" max="9471" width="9.73046875" style="62" customWidth="1"/>
    <col min="9472" max="9499" width="6.46484375" style="62" customWidth="1"/>
    <col min="9500" max="9500" width="19.265625" style="62" customWidth="1"/>
    <col min="9501" max="9501" width="45.265625" style="62" customWidth="1"/>
    <col min="9502" max="9724" width="9" style="62"/>
    <col min="9725" max="9725" width="3.73046875" style="62" customWidth="1"/>
    <col min="9726" max="9726" width="20.1328125" style="62" customWidth="1"/>
    <col min="9727" max="9727" width="9.73046875" style="62" customWidth="1"/>
    <col min="9728" max="9755" width="6.46484375" style="62" customWidth="1"/>
    <col min="9756" max="9756" width="19.265625" style="62" customWidth="1"/>
    <col min="9757" max="9757" width="45.265625" style="62" customWidth="1"/>
    <col min="9758" max="9980" width="9" style="62"/>
    <col min="9981" max="9981" width="3.73046875" style="62" customWidth="1"/>
    <col min="9982" max="9982" width="20.1328125" style="62" customWidth="1"/>
    <col min="9983" max="9983" width="9.73046875" style="62" customWidth="1"/>
    <col min="9984" max="10011" width="6.46484375" style="62" customWidth="1"/>
    <col min="10012" max="10012" width="19.265625" style="62" customWidth="1"/>
    <col min="10013" max="10013" width="45.265625" style="62" customWidth="1"/>
    <col min="10014" max="10236" width="9" style="62"/>
    <col min="10237" max="10237" width="3.73046875" style="62" customWidth="1"/>
    <col min="10238" max="10238" width="20.1328125" style="62" customWidth="1"/>
    <col min="10239" max="10239" width="9.73046875" style="62" customWidth="1"/>
    <col min="10240" max="10267" width="6.46484375" style="62" customWidth="1"/>
    <col min="10268" max="10268" width="19.265625" style="62" customWidth="1"/>
    <col min="10269" max="10269" width="45.265625" style="62" customWidth="1"/>
    <col min="10270" max="10492" width="9" style="62"/>
    <col min="10493" max="10493" width="3.73046875" style="62" customWidth="1"/>
    <col min="10494" max="10494" width="20.1328125" style="62" customWidth="1"/>
    <col min="10495" max="10495" width="9.73046875" style="62" customWidth="1"/>
    <col min="10496" max="10523" width="6.46484375" style="62" customWidth="1"/>
    <col min="10524" max="10524" width="19.265625" style="62" customWidth="1"/>
    <col min="10525" max="10525" width="45.265625" style="62" customWidth="1"/>
    <col min="10526" max="10748" width="9" style="62"/>
    <col min="10749" max="10749" width="3.73046875" style="62" customWidth="1"/>
    <col min="10750" max="10750" width="20.1328125" style="62" customWidth="1"/>
    <col min="10751" max="10751" width="9.73046875" style="62" customWidth="1"/>
    <col min="10752" max="10779" width="6.46484375" style="62" customWidth="1"/>
    <col min="10780" max="10780" width="19.265625" style="62" customWidth="1"/>
    <col min="10781" max="10781" width="45.265625" style="62" customWidth="1"/>
    <col min="10782" max="11004" width="9" style="62"/>
    <col min="11005" max="11005" width="3.73046875" style="62" customWidth="1"/>
    <col min="11006" max="11006" width="20.1328125" style="62" customWidth="1"/>
    <col min="11007" max="11007" width="9.73046875" style="62" customWidth="1"/>
    <col min="11008" max="11035" width="6.46484375" style="62" customWidth="1"/>
    <col min="11036" max="11036" width="19.265625" style="62" customWidth="1"/>
    <col min="11037" max="11037" width="45.265625" style="62" customWidth="1"/>
    <col min="11038" max="11260" width="9" style="62"/>
    <col min="11261" max="11261" width="3.73046875" style="62" customWidth="1"/>
    <col min="11262" max="11262" width="20.1328125" style="62" customWidth="1"/>
    <col min="11263" max="11263" width="9.73046875" style="62" customWidth="1"/>
    <col min="11264" max="11291" width="6.46484375" style="62" customWidth="1"/>
    <col min="11292" max="11292" width="19.265625" style="62" customWidth="1"/>
    <col min="11293" max="11293" width="45.265625" style="62" customWidth="1"/>
    <col min="11294" max="11516" width="9" style="62"/>
    <col min="11517" max="11517" width="3.73046875" style="62" customWidth="1"/>
    <col min="11518" max="11518" width="20.1328125" style="62" customWidth="1"/>
    <col min="11519" max="11519" width="9.73046875" style="62" customWidth="1"/>
    <col min="11520" max="11547" width="6.46484375" style="62" customWidth="1"/>
    <col min="11548" max="11548" width="19.265625" style="62" customWidth="1"/>
    <col min="11549" max="11549" width="45.265625" style="62" customWidth="1"/>
    <col min="11550" max="11772" width="9" style="62"/>
    <col min="11773" max="11773" width="3.73046875" style="62" customWidth="1"/>
    <col min="11774" max="11774" width="20.1328125" style="62" customWidth="1"/>
    <col min="11775" max="11775" width="9.73046875" style="62" customWidth="1"/>
    <col min="11776" max="11803" width="6.46484375" style="62" customWidth="1"/>
    <col min="11804" max="11804" width="19.265625" style="62" customWidth="1"/>
    <col min="11805" max="11805" width="45.265625" style="62" customWidth="1"/>
    <col min="11806" max="12028" width="9" style="62"/>
    <col min="12029" max="12029" width="3.73046875" style="62" customWidth="1"/>
    <col min="12030" max="12030" width="20.1328125" style="62" customWidth="1"/>
    <col min="12031" max="12031" width="9.73046875" style="62" customWidth="1"/>
    <col min="12032" max="12059" width="6.46484375" style="62" customWidth="1"/>
    <col min="12060" max="12060" width="19.265625" style="62" customWidth="1"/>
    <col min="12061" max="12061" width="45.265625" style="62" customWidth="1"/>
    <col min="12062" max="12284" width="9" style="62"/>
    <col min="12285" max="12285" width="3.73046875" style="62" customWidth="1"/>
    <col min="12286" max="12286" width="20.1328125" style="62" customWidth="1"/>
    <col min="12287" max="12287" width="9.73046875" style="62" customWidth="1"/>
    <col min="12288" max="12315" width="6.46484375" style="62" customWidth="1"/>
    <col min="12316" max="12316" width="19.265625" style="62" customWidth="1"/>
    <col min="12317" max="12317" width="45.265625" style="62" customWidth="1"/>
    <col min="12318" max="12540" width="9" style="62"/>
    <col min="12541" max="12541" width="3.73046875" style="62" customWidth="1"/>
    <col min="12542" max="12542" width="20.1328125" style="62" customWidth="1"/>
    <col min="12543" max="12543" width="9.73046875" style="62" customWidth="1"/>
    <col min="12544" max="12571" width="6.46484375" style="62" customWidth="1"/>
    <col min="12572" max="12572" width="19.265625" style="62" customWidth="1"/>
    <col min="12573" max="12573" width="45.265625" style="62" customWidth="1"/>
    <col min="12574" max="12796" width="9" style="62"/>
    <col min="12797" max="12797" width="3.73046875" style="62" customWidth="1"/>
    <col min="12798" max="12798" width="20.1328125" style="62" customWidth="1"/>
    <col min="12799" max="12799" width="9.73046875" style="62" customWidth="1"/>
    <col min="12800" max="12827" width="6.46484375" style="62" customWidth="1"/>
    <col min="12828" max="12828" width="19.265625" style="62" customWidth="1"/>
    <col min="12829" max="12829" width="45.265625" style="62" customWidth="1"/>
    <col min="12830" max="13052" width="9" style="62"/>
    <col min="13053" max="13053" width="3.73046875" style="62" customWidth="1"/>
    <col min="13054" max="13054" width="20.1328125" style="62" customWidth="1"/>
    <col min="13055" max="13055" width="9.73046875" style="62" customWidth="1"/>
    <col min="13056" max="13083" width="6.46484375" style="62" customWidth="1"/>
    <col min="13084" max="13084" width="19.265625" style="62" customWidth="1"/>
    <col min="13085" max="13085" width="45.265625" style="62" customWidth="1"/>
    <col min="13086" max="13308" width="9" style="62"/>
    <col min="13309" max="13309" width="3.73046875" style="62" customWidth="1"/>
    <col min="13310" max="13310" width="20.1328125" style="62" customWidth="1"/>
    <col min="13311" max="13311" width="9.73046875" style="62" customWidth="1"/>
    <col min="13312" max="13339" width="6.46484375" style="62" customWidth="1"/>
    <col min="13340" max="13340" width="19.265625" style="62" customWidth="1"/>
    <col min="13341" max="13341" width="45.265625" style="62" customWidth="1"/>
    <col min="13342" max="13564" width="9" style="62"/>
    <col min="13565" max="13565" width="3.73046875" style="62" customWidth="1"/>
    <col min="13566" max="13566" width="20.1328125" style="62" customWidth="1"/>
    <col min="13567" max="13567" width="9.73046875" style="62" customWidth="1"/>
    <col min="13568" max="13595" width="6.46484375" style="62" customWidth="1"/>
    <col min="13596" max="13596" width="19.265625" style="62" customWidth="1"/>
    <col min="13597" max="13597" width="45.265625" style="62" customWidth="1"/>
    <col min="13598" max="13820" width="9" style="62"/>
    <col min="13821" max="13821" width="3.73046875" style="62" customWidth="1"/>
    <col min="13822" max="13822" width="20.1328125" style="62" customWidth="1"/>
    <col min="13823" max="13823" width="9.73046875" style="62" customWidth="1"/>
    <col min="13824" max="13851" width="6.46484375" style="62" customWidth="1"/>
    <col min="13852" max="13852" width="19.265625" style="62" customWidth="1"/>
    <col min="13853" max="13853" width="45.265625" style="62" customWidth="1"/>
    <col min="13854" max="14076" width="9" style="62"/>
    <col min="14077" max="14077" width="3.73046875" style="62" customWidth="1"/>
    <col min="14078" max="14078" width="20.1328125" style="62" customWidth="1"/>
    <col min="14079" max="14079" width="9.73046875" style="62" customWidth="1"/>
    <col min="14080" max="14107" width="6.46484375" style="62" customWidth="1"/>
    <col min="14108" max="14108" width="19.265625" style="62" customWidth="1"/>
    <col min="14109" max="14109" width="45.265625" style="62" customWidth="1"/>
    <col min="14110" max="14332" width="9" style="62"/>
    <col min="14333" max="14333" width="3.73046875" style="62" customWidth="1"/>
    <col min="14334" max="14334" width="20.1328125" style="62" customWidth="1"/>
    <col min="14335" max="14335" width="9.73046875" style="62" customWidth="1"/>
    <col min="14336" max="14363" width="6.46484375" style="62" customWidth="1"/>
    <col min="14364" max="14364" width="19.265625" style="62" customWidth="1"/>
    <col min="14365" max="14365" width="45.265625" style="62" customWidth="1"/>
    <col min="14366" max="14588" width="9" style="62"/>
    <col min="14589" max="14589" width="3.73046875" style="62" customWidth="1"/>
    <col min="14590" max="14590" width="20.1328125" style="62" customWidth="1"/>
    <col min="14591" max="14591" width="9.73046875" style="62" customWidth="1"/>
    <col min="14592" max="14619" width="6.46484375" style="62" customWidth="1"/>
    <col min="14620" max="14620" width="19.265625" style="62" customWidth="1"/>
    <col min="14621" max="14621" width="45.265625" style="62" customWidth="1"/>
    <col min="14622" max="14844" width="9" style="62"/>
    <col min="14845" max="14845" width="3.73046875" style="62" customWidth="1"/>
    <col min="14846" max="14846" width="20.1328125" style="62" customWidth="1"/>
    <col min="14847" max="14847" width="9.73046875" style="62" customWidth="1"/>
    <col min="14848" max="14875" width="6.46484375" style="62" customWidth="1"/>
    <col min="14876" max="14876" width="19.265625" style="62" customWidth="1"/>
    <col min="14877" max="14877" width="45.265625" style="62" customWidth="1"/>
    <col min="14878" max="15100" width="9" style="62"/>
    <col min="15101" max="15101" width="3.73046875" style="62" customWidth="1"/>
    <col min="15102" max="15102" width="20.1328125" style="62" customWidth="1"/>
    <col min="15103" max="15103" width="9.73046875" style="62" customWidth="1"/>
    <col min="15104" max="15131" width="6.46484375" style="62" customWidth="1"/>
    <col min="15132" max="15132" width="19.265625" style="62" customWidth="1"/>
    <col min="15133" max="15133" width="45.265625" style="62" customWidth="1"/>
    <col min="15134" max="15356" width="9" style="62"/>
    <col min="15357" max="15357" width="3.73046875" style="62" customWidth="1"/>
    <col min="15358" max="15358" width="20.1328125" style="62" customWidth="1"/>
    <col min="15359" max="15359" width="9.73046875" style="62" customWidth="1"/>
    <col min="15360" max="15387" width="6.46484375" style="62" customWidth="1"/>
    <col min="15388" max="15388" width="19.265625" style="62" customWidth="1"/>
    <col min="15389" max="15389" width="45.265625" style="62" customWidth="1"/>
    <col min="15390" max="15612" width="9" style="62"/>
    <col min="15613" max="15613" width="3.73046875" style="62" customWidth="1"/>
    <col min="15614" max="15614" width="20.1328125" style="62" customWidth="1"/>
    <col min="15615" max="15615" width="9.73046875" style="62" customWidth="1"/>
    <col min="15616" max="15643" width="6.46484375" style="62" customWidth="1"/>
    <col min="15644" max="15644" width="19.265625" style="62" customWidth="1"/>
    <col min="15645" max="15645" width="45.265625" style="62" customWidth="1"/>
    <col min="15646" max="15868" width="9" style="62"/>
    <col min="15869" max="15869" width="3.73046875" style="62" customWidth="1"/>
    <col min="15870" max="15870" width="20.1328125" style="62" customWidth="1"/>
    <col min="15871" max="15871" width="9.73046875" style="62" customWidth="1"/>
    <col min="15872" max="15899" width="6.46484375" style="62" customWidth="1"/>
    <col min="15900" max="15900" width="19.265625" style="62" customWidth="1"/>
    <col min="15901" max="15901" width="45.265625" style="62" customWidth="1"/>
    <col min="15902" max="16124" width="9" style="62"/>
    <col min="16125" max="16125" width="3.73046875" style="62" customWidth="1"/>
    <col min="16126" max="16126" width="20.1328125" style="62" customWidth="1"/>
    <col min="16127" max="16127" width="9.73046875" style="62" customWidth="1"/>
    <col min="16128" max="16155" width="6.46484375" style="62" customWidth="1"/>
    <col min="16156" max="16156" width="19.265625" style="62" customWidth="1"/>
    <col min="16157" max="16157" width="45.265625" style="62" customWidth="1"/>
    <col min="16158" max="16384" width="9" style="62"/>
  </cols>
  <sheetData>
    <row r="1" spans="1:120" ht="30" customHeight="1">
      <c r="A1" s="1222" t="s">
        <v>301</v>
      </c>
      <c r="B1" s="1223"/>
      <c r="C1" s="1223"/>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row>
    <row r="2" spans="1:120" ht="21">
      <c r="A2" s="63"/>
      <c r="B2" s="63"/>
      <c r="C2" s="63"/>
      <c r="D2" s="63"/>
      <c r="E2" s="63"/>
      <c r="F2" s="63"/>
      <c r="G2" s="63"/>
      <c r="H2" s="63"/>
      <c r="I2" s="63"/>
      <c r="J2" s="63"/>
      <c r="K2" s="280"/>
      <c r="L2" s="63"/>
      <c r="M2" s="63"/>
      <c r="N2" s="63"/>
      <c r="O2" s="63"/>
      <c r="P2" s="63"/>
      <c r="Q2" s="63"/>
      <c r="R2" s="63"/>
      <c r="S2" s="63"/>
      <c r="T2" s="63"/>
      <c r="U2" s="63"/>
      <c r="V2" s="63"/>
      <c r="W2" s="63"/>
      <c r="X2" s="63"/>
      <c r="Y2" s="63"/>
      <c r="Z2" s="63"/>
      <c r="AA2" s="63"/>
      <c r="AB2" s="63"/>
      <c r="AC2" s="63"/>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row>
    <row r="3" spans="1:120" ht="24.75" customHeight="1" thickBot="1">
      <c r="A3" s="1224" t="s">
        <v>756</v>
      </c>
      <c r="B3" s="1225"/>
      <c r="C3" s="1225"/>
      <c r="D3" s="1225"/>
      <c r="E3" s="1225"/>
      <c r="F3" s="1225"/>
      <c r="G3" s="1225"/>
      <c r="H3" s="1225"/>
      <c r="I3" s="1225"/>
      <c r="J3" s="1225"/>
      <c r="K3" s="1225"/>
      <c r="L3" s="1225"/>
      <c r="M3" s="1225"/>
      <c r="N3" s="1225"/>
      <c r="O3" s="1225"/>
      <c r="P3" s="1225"/>
      <c r="Q3" s="1225"/>
      <c r="R3" s="1225"/>
      <c r="S3" s="1225"/>
      <c r="T3" s="1225"/>
      <c r="U3" s="1225"/>
      <c r="V3" s="1225"/>
      <c r="W3" s="1225"/>
      <c r="X3" s="1225"/>
      <c r="Y3" s="1225"/>
      <c r="Z3" s="1225"/>
      <c r="AA3" s="1225"/>
      <c r="AB3" s="1225"/>
      <c r="AC3" s="1225"/>
      <c r="AD3" s="57"/>
      <c r="AE3" s="5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row>
    <row r="4" spans="1:120" s="66" customFormat="1" ht="14.65" thickBot="1">
      <c r="A4" s="65"/>
      <c r="B4" s="65"/>
      <c r="C4" s="65"/>
      <c r="D4" s="65"/>
      <c r="E4" s="65"/>
      <c r="F4" s="65"/>
      <c r="G4" s="65"/>
      <c r="H4" s="65"/>
      <c r="I4" s="65"/>
      <c r="J4" s="65"/>
      <c r="K4" s="65"/>
      <c r="L4" s="65"/>
      <c r="M4" s="65"/>
      <c r="N4" s="65"/>
      <c r="O4" s="65"/>
      <c r="P4" s="65"/>
      <c r="Q4" s="65"/>
      <c r="R4" s="65"/>
      <c r="S4" s="65"/>
      <c r="T4" s="65"/>
      <c r="U4" s="65"/>
      <c r="V4" s="1226" t="s">
        <v>677</v>
      </c>
      <c r="W4" s="1227"/>
      <c r="X4" s="1227"/>
      <c r="Y4" s="1227"/>
      <c r="Z4" s="1227"/>
      <c r="AA4" s="1228"/>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c r="BR4" s="65"/>
      <c r="BS4" s="65"/>
      <c r="BT4" s="65"/>
      <c r="BU4" s="65"/>
      <c r="BV4" s="65"/>
      <c r="BW4" s="65"/>
      <c r="BX4" s="65"/>
      <c r="BY4" s="65"/>
      <c r="BZ4" s="65"/>
      <c r="CA4" s="65"/>
      <c r="CB4" s="65"/>
      <c r="CC4" s="65"/>
      <c r="CD4" s="65"/>
      <c r="CE4" s="65"/>
      <c r="CF4" s="65"/>
      <c r="CG4" s="65"/>
      <c r="CH4" s="65"/>
      <c r="CI4" s="65"/>
      <c r="CJ4" s="65"/>
      <c r="CK4" s="65"/>
      <c r="CL4" s="65"/>
      <c r="CM4" s="65"/>
      <c r="CN4" s="65"/>
      <c r="CO4" s="65"/>
      <c r="CP4" s="65"/>
      <c r="CQ4" s="65"/>
      <c r="CR4" s="65"/>
      <c r="CS4" s="65"/>
      <c r="CT4" s="65"/>
      <c r="CU4" s="65"/>
      <c r="CV4" s="65"/>
      <c r="CW4" s="65"/>
      <c r="CX4" s="65"/>
      <c r="CY4" s="65"/>
      <c r="CZ4" s="65"/>
      <c r="DA4" s="65"/>
      <c r="DB4" s="65"/>
      <c r="DC4" s="65"/>
      <c r="DD4" s="65"/>
      <c r="DE4" s="65"/>
      <c r="DF4" s="65"/>
      <c r="DG4" s="65"/>
      <c r="DH4" s="65"/>
      <c r="DI4" s="65"/>
      <c r="DJ4" s="65"/>
      <c r="DK4" s="65"/>
      <c r="DL4" s="65"/>
      <c r="DM4" s="65"/>
      <c r="DN4" s="65"/>
      <c r="DO4" s="65"/>
      <c r="DP4" s="65"/>
    </row>
    <row r="5" spans="1:120" s="66" customFormat="1" ht="30" customHeight="1">
      <c r="A5" s="67"/>
      <c r="B5" s="1229" t="s">
        <v>46</v>
      </c>
      <c r="C5" s="1229" t="s">
        <v>47</v>
      </c>
      <c r="D5" s="1231" t="s">
        <v>48</v>
      </c>
      <c r="E5" s="1232"/>
      <c r="F5" s="1231" t="s">
        <v>49</v>
      </c>
      <c r="G5" s="1232"/>
      <c r="H5" s="1231" t="s">
        <v>50</v>
      </c>
      <c r="I5" s="1232"/>
      <c r="J5" s="1231" t="s">
        <v>51</v>
      </c>
      <c r="K5" s="1232"/>
      <c r="L5" s="1231" t="s">
        <v>52</v>
      </c>
      <c r="M5" s="1232"/>
      <c r="N5" s="1231" t="s">
        <v>53</v>
      </c>
      <c r="O5" s="1232"/>
      <c r="P5" s="1231" t="s">
        <v>63</v>
      </c>
      <c r="Q5" s="1232"/>
      <c r="R5" s="1231" t="s">
        <v>64</v>
      </c>
      <c r="S5" s="1232"/>
      <c r="T5" s="1231" t="s">
        <v>65</v>
      </c>
      <c r="U5" s="1234"/>
      <c r="V5" s="1233" t="s">
        <v>66</v>
      </c>
      <c r="W5" s="1234"/>
      <c r="X5" s="1231" t="s">
        <v>54</v>
      </c>
      <c r="Y5" s="1234"/>
      <c r="Z5" s="1231" t="s">
        <v>55</v>
      </c>
      <c r="AA5" s="1235"/>
      <c r="AB5" s="1236" t="s">
        <v>56</v>
      </c>
      <c r="AC5" s="1237"/>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c r="CE5" s="65"/>
      <c r="CF5" s="65"/>
      <c r="CG5" s="65"/>
      <c r="CH5" s="65"/>
      <c r="CI5" s="65"/>
      <c r="CJ5" s="65"/>
      <c r="CK5" s="65"/>
      <c r="CL5" s="65"/>
      <c r="CM5" s="65"/>
      <c r="CN5" s="65"/>
      <c r="CO5" s="65"/>
      <c r="CP5" s="65"/>
      <c r="CQ5" s="65"/>
      <c r="CR5" s="65"/>
      <c r="CS5" s="65"/>
      <c r="CT5" s="65"/>
      <c r="CU5" s="65"/>
      <c r="CV5" s="65"/>
      <c r="CW5" s="65"/>
      <c r="CX5" s="65"/>
      <c r="CY5" s="65"/>
      <c r="CZ5" s="65"/>
      <c r="DA5" s="65"/>
      <c r="DB5" s="65"/>
      <c r="DC5" s="65"/>
      <c r="DD5" s="65"/>
      <c r="DE5" s="65"/>
      <c r="DF5" s="65"/>
      <c r="DG5" s="65"/>
      <c r="DH5" s="65"/>
      <c r="DI5" s="65"/>
      <c r="DJ5" s="65"/>
      <c r="DK5" s="65"/>
      <c r="DL5" s="65"/>
      <c r="DM5" s="65"/>
      <c r="DN5" s="65"/>
      <c r="DO5" s="65"/>
      <c r="DP5" s="65"/>
    </row>
    <row r="6" spans="1:120" s="66" customFormat="1" ht="30" customHeight="1" thickBot="1">
      <c r="A6" s="68"/>
      <c r="B6" s="1230"/>
      <c r="C6" s="1230"/>
      <c r="D6" s="864" t="s">
        <v>57</v>
      </c>
      <c r="E6" s="865" t="s">
        <v>58</v>
      </c>
      <c r="F6" s="864" t="s">
        <v>57</v>
      </c>
      <c r="G6" s="865" t="s">
        <v>58</v>
      </c>
      <c r="H6" s="866" t="s">
        <v>57</v>
      </c>
      <c r="I6" s="867" t="s">
        <v>58</v>
      </c>
      <c r="J6" s="864" t="s">
        <v>57</v>
      </c>
      <c r="K6" s="865" t="s">
        <v>58</v>
      </c>
      <c r="L6" s="864" t="s">
        <v>57</v>
      </c>
      <c r="M6" s="865" t="s">
        <v>58</v>
      </c>
      <c r="N6" s="864" t="s">
        <v>57</v>
      </c>
      <c r="O6" s="865" t="s">
        <v>58</v>
      </c>
      <c r="P6" s="864" t="s">
        <v>57</v>
      </c>
      <c r="Q6" s="865" t="s">
        <v>58</v>
      </c>
      <c r="R6" s="864" t="s">
        <v>57</v>
      </c>
      <c r="S6" s="865" t="s">
        <v>58</v>
      </c>
      <c r="T6" s="866" t="s">
        <v>57</v>
      </c>
      <c r="U6" s="868" t="s">
        <v>58</v>
      </c>
      <c r="V6" s="869" t="s">
        <v>57</v>
      </c>
      <c r="W6" s="870" t="s">
        <v>58</v>
      </c>
      <c r="X6" s="864" t="s">
        <v>57</v>
      </c>
      <c r="Y6" s="865" t="s">
        <v>58</v>
      </c>
      <c r="Z6" s="864" t="s">
        <v>57</v>
      </c>
      <c r="AA6" s="871" t="s">
        <v>58</v>
      </c>
      <c r="AB6" s="1238"/>
      <c r="AC6" s="1239"/>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row>
    <row r="7" spans="1:120" s="66" customFormat="1" ht="30" customHeight="1">
      <c r="A7" s="1246" t="s">
        <v>67</v>
      </c>
      <c r="B7" s="279" t="s">
        <v>300</v>
      </c>
      <c r="C7" s="75" t="s">
        <v>59</v>
      </c>
      <c r="D7" s="259" t="s">
        <v>31</v>
      </c>
      <c r="E7" s="222" t="s">
        <v>758</v>
      </c>
      <c r="F7" s="259" t="s">
        <v>31</v>
      </c>
      <c r="G7" s="222"/>
      <c r="H7" s="259" t="s">
        <v>31</v>
      </c>
      <c r="I7" s="222"/>
      <c r="J7" s="69" t="s">
        <v>31</v>
      </c>
      <c r="K7" s="222"/>
      <c r="L7" s="69" t="s">
        <v>31</v>
      </c>
      <c r="M7" s="222"/>
      <c r="N7" s="69" t="s">
        <v>31</v>
      </c>
      <c r="O7" s="222"/>
      <c r="P7" s="69" t="s">
        <v>31</v>
      </c>
      <c r="Q7" s="222"/>
      <c r="R7" s="69" t="s">
        <v>31</v>
      </c>
      <c r="S7" s="222"/>
      <c r="T7" s="70" t="s">
        <v>31</v>
      </c>
      <c r="U7" s="241"/>
      <c r="V7" s="243" t="s">
        <v>31</v>
      </c>
      <c r="W7" s="278"/>
      <c r="X7" s="70" t="s">
        <v>31</v>
      </c>
      <c r="Y7" s="242"/>
      <c r="Z7" s="69" t="s">
        <v>31</v>
      </c>
      <c r="AA7" s="413"/>
      <c r="AB7" s="1252" t="s">
        <v>299</v>
      </c>
      <c r="AC7" s="1251"/>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row>
    <row r="8" spans="1:120" s="66" customFormat="1" ht="30" customHeight="1">
      <c r="A8" s="1246"/>
      <c r="B8" s="275" t="s">
        <v>298</v>
      </c>
      <c r="C8" s="98" t="s">
        <v>59</v>
      </c>
      <c r="D8" s="250" t="s">
        <v>31</v>
      </c>
      <c r="E8" s="256" t="s">
        <v>759</v>
      </c>
      <c r="F8" s="250" t="s">
        <v>31</v>
      </c>
      <c r="G8" s="256"/>
      <c r="H8" s="250" t="s">
        <v>31</v>
      </c>
      <c r="I8" s="256"/>
      <c r="J8" s="71" t="s">
        <v>31</v>
      </c>
      <c r="K8" s="256"/>
      <c r="L8" s="71" t="s">
        <v>31</v>
      </c>
      <c r="M8" s="256"/>
      <c r="N8" s="71" t="s">
        <v>31</v>
      </c>
      <c r="O8" s="256"/>
      <c r="P8" s="71" t="s">
        <v>31</v>
      </c>
      <c r="Q8" s="256"/>
      <c r="R8" s="71" t="s">
        <v>31</v>
      </c>
      <c r="S8" s="256"/>
      <c r="T8" s="71" t="s">
        <v>31</v>
      </c>
      <c r="U8" s="858"/>
      <c r="V8" s="73" t="s">
        <v>31</v>
      </c>
      <c r="W8" s="231"/>
      <c r="X8" s="71" t="s">
        <v>31</v>
      </c>
      <c r="Y8" s="256"/>
      <c r="Z8" s="71" t="s">
        <v>31</v>
      </c>
      <c r="AA8" s="414"/>
      <c r="AB8" s="277"/>
      <c r="AC8" s="276"/>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row>
    <row r="9" spans="1:120" s="66" customFormat="1" ht="30" customHeight="1">
      <c r="A9" s="1246"/>
      <c r="B9" s="275" t="s">
        <v>68</v>
      </c>
      <c r="C9" s="76" t="s">
        <v>120</v>
      </c>
      <c r="D9" s="72"/>
      <c r="E9" s="231"/>
      <c r="F9" s="72"/>
      <c r="G9" s="231"/>
      <c r="H9" s="253"/>
      <c r="I9" s="231"/>
      <c r="J9" s="69"/>
      <c r="K9" s="231"/>
      <c r="L9" s="72"/>
      <c r="M9" s="231"/>
      <c r="N9" s="72"/>
      <c r="O9" s="231"/>
      <c r="P9" s="72"/>
      <c r="Q9" s="231"/>
      <c r="R9" s="72"/>
      <c r="S9" s="231"/>
      <c r="T9" s="72"/>
      <c r="U9" s="233"/>
      <c r="V9" s="232"/>
      <c r="W9" s="231"/>
      <c r="X9" s="72"/>
      <c r="Y9" s="231"/>
      <c r="Z9" s="72" t="s">
        <v>31</v>
      </c>
      <c r="AA9" s="233"/>
      <c r="AB9" s="1240"/>
      <c r="AC9" s="1241"/>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row>
    <row r="10" spans="1:120" s="66" customFormat="1" ht="30" customHeight="1">
      <c r="A10" s="1246"/>
      <c r="B10" s="275" t="s">
        <v>297</v>
      </c>
      <c r="C10" s="76" t="s">
        <v>69</v>
      </c>
      <c r="D10" s="72"/>
      <c r="E10" s="231"/>
      <c r="F10" s="72"/>
      <c r="G10" s="231"/>
      <c r="H10" s="253"/>
      <c r="I10" s="231"/>
      <c r="J10" s="69"/>
      <c r="K10" s="231"/>
      <c r="L10" s="72"/>
      <c r="M10" s="231"/>
      <c r="N10" s="72"/>
      <c r="O10" s="231"/>
      <c r="P10" s="72"/>
      <c r="Q10" s="231"/>
      <c r="R10" s="72"/>
      <c r="S10" s="231"/>
      <c r="T10" s="72"/>
      <c r="U10" s="233"/>
      <c r="V10" s="232"/>
      <c r="W10" s="231"/>
      <c r="X10" s="72"/>
      <c r="Y10" s="231"/>
      <c r="Z10" s="72" t="s">
        <v>31</v>
      </c>
      <c r="AA10" s="233"/>
      <c r="AB10" s="1240"/>
      <c r="AC10" s="1241"/>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row>
    <row r="11" spans="1:120" s="66" customFormat="1" ht="30" customHeight="1">
      <c r="A11" s="1246"/>
      <c r="B11" s="275" t="s">
        <v>70</v>
      </c>
      <c r="C11" s="251" t="s">
        <v>71</v>
      </c>
      <c r="D11" s="861" t="s">
        <v>31</v>
      </c>
      <c r="E11" s="236" t="s">
        <v>758</v>
      </c>
      <c r="F11" s="250" t="s">
        <v>31</v>
      </c>
      <c r="G11" s="236"/>
      <c r="H11" s="250" t="s">
        <v>31</v>
      </c>
      <c r="I11" s="236"/>
      <c r="J11" s="71" t="s">
        <v>31</v>
      </c>
      <c r="K11" s="236"/>
      <c r="L11" s="71" t="s">
        <v>31</v>
      </c>
      <c r="M11" s="236"/>
      <c r="N11" s="71" t="s">
        <v>31</v>
      </c>
      <c r="O11" s="236"/>
      <c r="P11" s="71" t="s">
        <v>31</v>
      </c>
      <c r="Q11" s="236"/>
      <c r="R11" s="71" t="s">
        <v>31</v>
      </c>
      <c r="S11" s="236"/>
      <c r="T11" s="71" t="s">
        <v>31</v>
      </c>
      <c r="U11" s="270"/>
      <c r="V11" s="73" t="s">
        <v>31</v>
      </c>
      <c r="W11" s="236"/>
      <c r="X11" s="71" t="s">
        <v>31</v>
      </c>
      <c r="Y11" s="236"/>
      <c r="Z11" s="71" t="s">
        <v>31</v>
      </c>
      <c r="AA11" s="270"/>
      <c r="AB11" s="1240"/>
      <c r="AC11" s="1241"/>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row>
    <row r="12" spans="1:120" s="66" customFormat="1" ht="30" customHeight="1" thickBot="1">
      <c r="A12" s="1255"/>
      <c r="B12" s="874" t="s">
        <v>296</v>
      </c>
      <c r="C12" s="108" t="s">
        <v>295</v>
      </c>
      <c r="D12" s="859" t="s">
        <v>31</v>
      </c>
      <c r="E12" s="227" t="s">
        <v>758</v>
      </c>
      <c r="F12" s="859" t="s">
        <v>31</v>
      </c>
      <c r="G12" s="227"/>
      <c r="H12" s="859" t="s">
        <v>31</v>
      </c>
      <c r="I12" s="227"/>
      <c r="J12" s="74" t="s">
        <v>31</v>
      </c>
      <c r="K12" s="227"/>
      <c r="L12" s="74" t="s">
        <v>31</v>
      </c>
      <c r="M12" s="227"/>
      <c r="N12" s="74" t="s">
        <v>31</v>
      </c>
      <c r="O12" s="227"/>
      <c r="P12" s="74" t="s">
        <v>31</v>
      </c>
      <c r="Q12" s="227"/>
      <c r="R12" s="74" t="s">
        <v>31</v>
      </c>
      <c r="S12" s="227"/>
      <c r="T12" s="74" t="s">
        <v>31</v>
      </c>
      <c r="U12" s="274"/>
      <c r="V12" s="99" t="s">
        <v>31</v>
      </c>
      <c r="W12" s="227"/>
      <c r="X12" s="74" t="s">
        <v>31</v>
      </c>
      <c r="Y12" s="227"/>
      <c r="Z12" s="74" t="s">
        <v>31</v>
      </c>
      <c r="AA12" s="274"/>
      <c r="AB12" s="1242"/>
      <c r="AC12" s="1243"/>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row>
    <row r="13" spans="1:120" s="66" customFormat="1" ht="30" customHeight="1">
      <c r="A13" s="1245" t="s">
        <v>72</v>
      </c>
      <c r="B13" s="273" t="s">
        <v>73</v>
      </c>
      <c r="C13" s="75" t="s">
        <v>149</v>
      </c>
      <c r="D13" s="69"/>
      <c r="E13" s="222"/>
      <c r="F13" s="255"/>
      <c r="G13" s="222"/>
      <c r="H13" s="255" t="s">
        <v>31</v>
      </c>
      <c r="I13" s="222"/>
      <c r="J13" s="69"/>
      <c r="K13" s="222"/>
      <c r="L13" s="255"/>
      <c r="M13" s="222"/>
      <c r="N13" s="69" t="s">
        <v>31</v>
      </c>
      <c r="O13" s="222"/>
      <c r="P13" s="69"/>
      <c r="Q13" s="222"/>
      <c r="R13" s="255"/>
      <c r="S13" s="222"/>
      <c r="T13" s="69" t="s">
        <v>31</v>
      </c>
      <c r="U13" s="221"/>
      <c r="V13" s="223"/>
      <c r="W13" s="222"/>
      <c r="X13" s="69"/>
      <c r="Y13" s="222"/>
      <c r="Z13" s="69" t="s">
        <v>31</v>
      </c>
      <c r="AA13" s="221"/>
      <c r="AB13" s="1256"/>
      <c r="AC13" s="1257"/>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row>
    <row r="14" spans="1:120" s="66" customFormat="1" ht="30" customHeight="1">
      <c r="A14" s="1246"/>
      <c r="B14" s="875" t="s">
        <v>122</v>
      </c>
      <c r="C14" s="75" t="s">
        <v>74</v>
      </c>
      <c r="D14" s="69"/>
      <c r="E14" s="222"/>
      <c r="F14" s="69"/>
      <c r="G14" s="222"/>
      <c r="H14" s="255"/>
      <c r="I14" s="222"/>
      <c r="J14" s="69"/>
      <c r="K14" s="222"/>
      <c r="L14" s="69"/>
      <c r="M14" s="222"/>
      <c r="N14" s="69"/>
      <c r="O14" s="222"/>
      <c r="P14" s="69"/>
      <c r="Q14" s="222"/>
      <c r="R14" s="69"/>
      <c r="S14" s="222"/>
      <c r="T14" s="69"/>
      <c r="U14" s="221"/>
      <c r="V14" s="223"/>
      <c r="W14" s="231"/>
      <c r="X14" s="69" t="s">
        <v>31</v>
      </c>
      <c r="Y14" s="222"/>
      <c r="Z14" s="69"/>
      <c r="AA14" s="221"/>
      <c r="AB14" s="1240"/>
      <c r="AC14" s="1241"/>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row>
    <row r="15" spans="1:120" s="66" customFormat="1" ht="35.25" customHeight="1">
      <c r="A15" s="1246"/>
      <c r="B15" s="272" t="s">
        <v>294</v>
      </c>
      <c r="C15" s="75" t="s">
        <v>59</v>
      </c>
      <c r="D15" s="255" t="s">
        <v>31</v>
      </c>
      <c r="E15" s="222" t="s">
        <v>760</v>
      </c>
      <c r="F15" s="255" t="s">
        <v>31</v>
      </c>
      <c r="G15" s="222"/>
      <c r="H15" s="255" t="s">
        <v>31</v>
      </c>
      <c r="I15" s="222"/>
      <c r="J15" s="69" t="s">
        <v>31</v>
      </c>
      <c r="K15" s="222"/>
      <c r="L15" s="69" t="s">
        <v>31</v>
      </c>
      <c r="M15" s="222"/>
      <c r="N15" s="69" t="s">
        <v>31</v>
      </c>
      <c r="O15" s="222"/>
      <c r="P15" s="69" t="s">
        <v>31</v>
      </c>
      <c r="Q15" s="222"/>
      <c r="R15" s="69" t="s">
        <v>31</v>
      </c>
      <c r="S15" s="222"/>
      <c r="T15" s="69" t="s">
        <v>31</v>
      </c>
      <c r="U15" s="221"/>
      <c r="V15" s="73" t="s">
        <v>31</v>
      </c>
      <c r="W15" s="231"/>
      <c r="X15" s="69" t="s">
        <v>31</v>
      </c>
      <c r="Y15" s="222"/>
      <c r="Z15" s="69" t="s">
        <v>31</v>
      </c>
      <c r="AA15" s="413"/>
      <c r="AB15" s="1252"/>
      <c r="AC15" s="1251"/>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row>
    <row r="16" spans="1:120" s="66" customFormat="1" ht="35.25" customHeight="1">
      <c r="A16" s="1246"/>
      <c r="B16" s="271" t="s">
        <v>293</v>
      </c>
      <c r="C16" s="98" t="s">
        <v>152</v>
      </c>
      <c r="D16" s="71"/>
      <c r="E16" s="236"/>
      <c r="F16" s="250" t="s">
        <v>31</v>
      </c>
      <c r="G16" s="236"/>
      <c r="H16" s="250"/>
      <c r="I16" s="236"/>
      <c r="J16" s="71"/>
      <c r="K16" s="236"/>
      <c r="L16" s="71" t="s">
        <v>31</v>
      </c>
      <c r="M16" s="236"/>
      <c r="N16" s="71"/>
      <c r="O16" s="236"/>
      <c r="P16" s="71"/>
      <c r="Q16" s="236"/>
      <c r="R16" s="250" t="s">
        <v>31</v>
      </c>
      <c r="S16" s="236"/>
      <c r="T16" s="71"/>
      <c r="U16" s="270"/>
      <c r="V16" s="73"/>
      <c r="W16" s="236"/>
      <c r="X16" s="71" t="s">
        <v>31</v>
      </c>
      <c r="Y16" s="236"/>
      <c r="Z16" s="71"/>
      <c r="AA16" s="270"/>
      <c r="AB16" s="1240"/>
      <c r="AC16" s="1241"/>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row>
    <row r="17" spans="1:120" s="66" customFormat="1" ht="30" customHeight="1" thickBot="1">
      <c r="A17" s="1255"/>
      <c r="B17" s="269" t="s">
        <v>61</v>
      </c>
      <c r="C17" s="179" t="s">
        <v>292</v>
      </c>
      <c r="D17" s="74"/>
      <c r="E17" s="227"/>
      <c r="F17" s="74"/>
      <c r="G17" s="227"/>
      <c r="H17" s="859"/>
      <c r="I17" s="227"/>
      <c r="J17" s="74"/>
      <c r="K17" s="227"/>
      <c r="L17" s="74"/>
      <c r="M17" s="227"/>
      <c r="N17" s="74"/>
      <c r="O17" s="227"/>
      <c r="P17" s="74" t="s">
        <v>31</v>
      </c>
      <c r="Q17" s="227"/>
      <c r="R17" s="74" t="s">
        <v>31</v>
      </c>
      <c r="S17" s="227"/>
      <c r="T17" s="74" t="s">
        <v>31</v>
      </c>
      <c r="U17" s="274"/>
      <c r="V17" s="99" t="s">
        <v>31</v>
      </c>
      <c r="W17" s="227"/>
      <c r="X17" s="74" t="s">
        <v>31</v>
      </c>
      <c r="Y17" s="227"/>
      <c r="Z17" s="74" t="s">
        <v>31</v>
      </c>
      <c r="AA17" s="415"/>
      <c r="AB17" s="1258" t="s">
        <v>291</v>
      </c>
      <c r="AC17" s="1243"/>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row>
    <row r="18" spans="1:120" s="66" customFormat="1" ht="30" customHeight="1">
      <c r="A18" s="1244" t="s">
        <v>75</v>
      </c>
      <c r="B18" s="268" t="s">
        <v>76</v>
      </c>
      <c r="C18" s="75" t="s">
        <v>59</v>
      </c>
      <c r="D18" s="255" t="s">
        <v>31</v>
      </c>
      <c r="E18" s="222" t="s">
        <v>761</v>
      </c>
      <c r="F18" s="255" t="s">
        <v>31</v>
      </c>
      <c r="G18" s="222"/>
      <c r="H18" s="255" t="s">
        <v>31</v>
      </c>
      <c r="I18" s="222"/>
      <c r="J18" s="69" t="s">
        <v>31</v>
      </c>
      <c r="K18" s="222"/>
      <c r="L18" s="69" t="s">
        <v>31</v>
      </c>
      <c r="M18" s="222"/>
      <c r="N18" s="69" t="s">
        <v>31</v>
      </c>
      <c r="O18" s="222"/>
      <c r="P18" s="69" t="s">
        <v>31</v>
      </c>
      <c r="Q18" s="222"/>
      <c r="R18" s="69" t="s">
        <v>31</v>
      </c>
      <c r="S18" s="222"/>
      <c r="T18" s="69" t="s">
        <v>31</v>
      </c>
      <c r="U18" s="221"/>
      <c r="V18" s="243" t="s">
        <v>31</v>
      </c>
      <c r="W18" s="231"/>
      <c r="X18" s="69" t="s">
        <v>31</v>
      </c>
      <c r="Y18" s="222"/>
      <c r="Z18" s="69" t="s">
        <v>31</v>
      </c>
      <c r="AA18" s="413"/>
      <c r="AB18" s="1248"/>
      <c r="AC18" s="1249"/>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row>
    <row r="19" spans="1:120" s="66" customFormat="1" ht="30" customHeight="1">
      <c r="A19" s="1245"/>
      <c r="B19" s="876" t="s">
        <v>290</v>
      </c>
      <c r="C19" s="75" t="s">
        <v>104</v>
      </c>
      <c r="D19" s="69"/>
      <c r="E19" s="222"/>
      <c r="F19" s="69"/>
      <c r="G19" s="222"/>
      <c r="H19" s="255"/>
      <c r="I19" s="222"/>
      <c r="J19" s="69"/>
      <c r="K19" s="222"/>
      <c r="L19" s="69"/>
      <c r="M19" s="222"/>
      <c r="N19" s="69"/>
      <c r="O19" s="222"/>
      <c r="P19" s="69" t="s">
        <v>31</v>
      </c>
      <c r="Q19" s="222"/>
      <c r="R19" s="69"/>
      <c r="S19" s="222"/>
      <c r="T19" s="69"/>
      <c r="U19" s="221"/>
      <c r="V19" s="223" t="s">
        <v>150</v>
      </c>
      <c r="W19" s="231"/>
      <c r="X19" s="69"/>
      <c r="Y19" s="222"/>
      <c r="Z19" s="69"/>
      <c r="AA19" s="267"/>
      <c r="AB19" s="1250"/>
      <c r="AC19" s="1251"/>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row>
    <row r="20" spans="1:120" s="66" customFormat="1" ht="30" customHeight="1">
      <c r="A20" s="1246"/>
      <c r="B20" s="237" t="s">
        <v>289</v>
      </c>
      <c r="C20" s="107" t="s">
        <v>286</v>
      </c>
      <c r="D20" s="69" t="s">
        <v>31</v>
      </c>
      <c r="E20" s="222" t="s">
        <v>758</v>
      </c>
      <c r="F20" s="69"/>
      <c r="G20" s="222"/>
      <c r="H20" s="69" t="s">
        <v>31</v>
      </c>
      <c r="I20" s="222"/>
      <c r="J20" s="69"/>
      <c r="K20" s="222"/>
      <c r="L20" s="69" t="s">
        <v>31</v>
      </c>
      <c r="M20" s="222"/>
      <c r="N20" s="69"/>
      <c r="O20" s="222"/>
      <c r="P20" s="69"/>
      <c r="Q20" s="222"/>
      <c r="R20" s="69" t="s">
        <v>31</v>
      </c>
      <c r="S20" s="222"/>
      <c r="T20" s="69" t="s">
        <v>31</v>
      </c>
      <c r="U20" s="221"/>
      <c r="V20" s="223"/>
      <c r="W20" s="236"/>
      <c r="X20" s="69" t="s">
        <v>31</v>
      </c>
      <c r="Y20" s="222"/>
      <c r="Z20" s="69"/>
      <c r="AA20" s="254"/>
      <c r="AB20" s="1252"/>
      <c r="AC20" s="1251"/>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row>
    <row r="21" spans="1:120" s="66" customFormat="1" ht="30" customHeight="1">
      <c r="A21" s="1246"/>
      <c r="B21" s="266" t="s">
        <v>288</v>
      </c>
      <c r="C21" s="107" t="s">
        <v>286</v>
      </c>
      <c r="D21" s="69" t="s">
        <v>31</v>
      </c>
      <c r="E21" s="222" t="s">
        <v>758</v>
      </c>
      <c r="F21" s="69"/>
      <c r="G21" s="222"/>
      <c r="H21" s="69" t="s">
        <v>31</v>
      </c>
      <c r="I21" s="222"/>
      <c r="J21" s="69"/>
      <c r="K21" s="222"/>
      <c r="L21" s="69" t="s">
        <v>31</v>
      </c>
      <c r="M21" s="222"/>
      <c r="N21" s="69"/>
      <c r="O21" s="222"/>
      <c r="P21" s="69"/>
      <c r="Q21" s="222"/>
      <c r="R21" s="69" t="s">
        <v>31</v>
      </c>
      <c r="S21" s="222"/>
      <c r="T21" s="69" t="s">
        <v>31</v>
      </c>
      <c r="U21" s="221"/>
      <c r="V21" s="223"/>
      <c r="W21" s="236"/>
      <c r="X21" s="69" t="s">
        <v>31</v>
      </c>
      <c r="Y21" s="222"/>
      <c r="Z21" s="69"/>
      <c r="AA21" s="254"/>
      <c r="AB21" s="1240"/>
      <c r="AC21" s="1241"/>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row>
    <row r="22" spans="1:120" s="66" customFormat="1" ht="30" customHeight="1">
      <c r="A22" s="1246"/>
      <c r="B22" s="266" t="s">
        <v>287</v>
      </c>
      <c r="C22" s="107" t="s">
        <v>286</v>
      </c>
      <c r="D22" s="69" t="s">
        <v>31</v>
      </c>
      <c r="E22" s="222" t="s">
        <v>758</v>
      </c>
      <c r="F22" s="69"/>
      <c r="G22" s="222"/>
      <c r="H22" s="69" t="s">
        <v>31</v>
      </c>
      <c r="I22" s="222"/>
      <c r="J22" s="69"/>
      <c r="K22" s="222"/>
      <c r="L22" s="69" t="s">
        <v>31</v>
      </c>
      <c r="M22" s="222"/>
      <c r="N22" s="69"/>
      <c r="O22" s="222"/>
      <c r="P22" s="69"/>
      <c r="Q22" s="222"/>
      <c r="R22" s="69" t="s">
        <v>31</v>
      </c>
      <c r="S22" s="222"/>
      <c r="T22" s="69" t="s">
        <v>31</v>
      </c>
      <c r="U22" s="221"/>
      <c r="V22" s="73"/>
      <c r="W22" s="236"/>
      <c r="X22" s="69" t="s">
        <v>31</v>
      </c>
      <c r="Y22" s="222"/>
      <c r="Z22" s="69"/>
      <c r="AA22" s="254"/>
      <c r="AB22" s="1252"/>
      <c r="AC22" s="1251"/>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row>
    <row r="23" spans="1:120" s="66" customFormat="1" ht="30" customHeight="1">
      <c r="A23" s="1246"/>
      <c r="B23" s="266" t="s">
        <v>285</v>
      </c>
      <c r="C23" s="75" t="s">
        <v>121</v>
      </c>
      <c r="D23" s="69"/>
      <c r="E23" s="222"/>
      <c r="F23" s="69"/>
      <c r="G23" s="222"/>
      <c r="H23" s="255"/>
      <c r="I23" s="222"/>
      <c r="J23" s="69"/>
      <c r="K23" s="222"/>
      <c r="L23" s="69"/>
      <c r="M23" s="222"/>
      <c r="N23" s="69" t="s">
        <v>31</v>
      </c>
      <c r="O23" s="222"/>
      <c r="P23" s="69"/>
      <c r="Q23" s="222"/>
      <c r="R23" s="69"/>
      <c r="S23" s="222"/>
      <c r="T23" s="69"/>
      <c r="U23" s="221"/>
      <c r="V23" s="223"/>
      <c r="W23" s="236"/>
      <c r="X23" s="69"/>
      <c r="Y23" s="222"/>
      <c r="Z23" s="69" t="s">
        <v>31</v>
      </c>
      <c r="AA23" s="221"/>
      <c r="AB23" s="265"/>
      <c r="AC23" s="264"/>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row>
    <row r="24" spans="1:120" s="66" customFormat="1" ht="30" customHeight="1">
      <c r="A24" s="1246"/>
      <c r="B24" s="266" t="s">
        <v>77</v>
      </c>
      <c r="C24" s="75" t="s">
        <v>121</v>
      </c>
      <c r="D24" s="69"/>
      <c r="E24" s="222"/>
      <c r="F24" s="69"/>
      <c r="G24" s="222"/>
      <c r="H24" s="255"/>
      <c r="I24" s="222"/>
      <c r="J24" s="69"/>
      <c r="K24" s="222"/>
      <c r="L24" s="69" t="s">
        <v>31</v>
      </c>
      <c r="M24" s="222"/>
      <c r="N24" s="69"/>
      <c r="O24" s="222"/>
      <c r="P24" s="69"/>
      <c r="Q24" s="222"/>
      <c r="R24" s="69"/>
      <c r="S24" s="222"/>
      <c r="T24" s="69"/>
      <c r="U24" s="221"/>
      <c r="V24" s="223"/>
      <c r="W24" s="236"/>
      <c r="X24" s="69" t="s">
        <v>31</v>
      </c>
      <c r="Y24" s="222"/>
      <c r="Z24" s="69"/>
      <c r="AA24" s="254"/>
      <c r="AB24" s="1240"/>
      <c r="AC24" s="1241"/>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row>
    <row r="25" spans="1:120" s="66" customFormat="1" ht="30" customHeight="1" thickBot="1">
      <c r="A25" s="1247"/>
      <c r="B25" s="263" t="s">
        <v>78</v>
      </c>
      <c r="C25" s="262" t="s">
        <v>59</v>
      </c>
      <c r="D25" s="859" t="s">
        <v>31</v>
      </c>
      <c r="E25" s="227" t="s">
        <v>758</v>
      </c>
      <c r="F25" s="859"/>
      <c r="G25" s="227"/>
      <c r="H25" s="859" t="s">
        <v>31</v>
      </c>
      <c r="I25" s="227"/>
      <c r="J25" s="74"/>
      <c r="K25" s="227"/>
      <c r="L25" s="74" t="s">
        <v>31</v>
      </c>
      <c r="M25" s="227"/>
      <c r="N25" s="74" t="s">
        <v>31</v>
      </c>
      <c r="O25" s="227"/>
      <c r="P25" s="74" t="s">
        <v>31</v>
      </c>
      <c r="Q25" s="227"/>
      <c r="R25" s="74" t="s">
        <v>31</v>
      </c>
      <c r="S25" s="227"/>
      <c r="T25" s="74" t="s">
        <v>31</v>
      </c>
      <c r="U25" s="274"/>
      <c r="V25" s="99" t="s">
        <v>31</v>
      </c>
      <c r="W25" s="227"/>
      <c r="X25" s="74" t="s">
        <v>31</v>
      </c>
      <c r="Y25" s="227"/>
      <c r="Z25" s="74" t="s">
        <v>31</v>
      </c>
      <c r="AA25" s="261"/>
      <c r="AB25" s="1253" t="s">
        <v>284</v>
      </c>
      <c r="AC25" s="1254"/>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row>
    <row r="26" spans="1:120" s="66" customFormat="1" ht="30" customHeight="1">
      <c r="A26" s="1244" t="s">
        <v>79</v>
      </c>
      <c r="B26" s="260" t="s">
        <v>80</v>
      </c>
      <c r="C26" s="107" t="s">
        <v>279</v>
      </c>
      <c r="D26" s="70"/>
      <c r="E26" s="242"/>
      <c r="F26" s="70"/>
      <c r="G26" s="242"/>
      <c r="H26" s="259"/>
      <c r="I26" s="242"/>
      <c r="J26" s="70"/>
      <c r="K26" s="242"/>
      <c r="L26" s="70"/>
      <c r="M26" s="242"/>
      <c r="N26" s="259" t="s">
        <v>228</v>
      </c>
      <c r="O26" s="242"/>
      <c r="P26" s="70"/>
      <c r="Q26" s="242"/>
      <c r="R26" s="70"/>
      <c r="S26" s="242"/>
      <c r="T26" s="70"/>
      <c r="U26" s="241"/>
      <c r="V26" s="243"/>
      <c r="W26" s="242"/>
      <c r="X26" s="70"/>
      <c r="Y26" s="242"/>
      <c r="Z26" s="259"/>
      <c r="AA26" s="258"/>
      <c r="AB26" s="1248"/>
      <c r="AC26" s="1249"/>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row>
    <row r="27" spans="1:120" s="66" customFormat="1" ht="30" customHeight="1">
      <c r="A27" s="1245"/>
      <c r="B27" s="257" t="s">
        <v>81</v>
      </c>
      <c r="C27" s="107" t="s">
        <v>279</v>
      </c>
      <c r="D27" s="69"/>
      <c r="E27" s="222"/>
      <c r="F27" s="69"/>
      <c r="G27" s="222"/>
      <c r="H27" s="255"/>
      <c r="I27" s="222"/>
      <c r="J27" s="69"/>
      <c r="K27" s="222"/>
      <c r="L27" s="69"/>
      <c r="M27" s="222"/>
      <c r="N27" s="255" t="s">
        <v>228</v>
      </c>
      <c r="O27" s="222"/>
      <c r="P27" s="69"/>
      <c r="Q27" s="222"/>
      <c r="R27" s="69"/>
      <c r="S27" s="222"/>
      <c r="T27" s="69"/>
      <c r="U27" s="221"/>
      <c r="V27" s="223"/>
      <c r="W27" s="256"/>
      <c r="X27" s="69"/>
      <c r="Y27" s="222"/>
      <c r="Z27" s="255"/>
      <c r="AA27" s="254"/>
      <c r="AB27" s="1260"/>
      <c r="AC27" s="1261"/>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row>
    <row r="28" spans="1:120" s="66" customFormat="1" ht="30" customHeight="1">
      <c r="A28" s="1245"/>
      <c r="B28" s="252" t="s">
        <v>82</v>
      </c>
      <c r="C28" s="107" t="s">
        <v>279</v>
      </c>
      <c r="D28" s="71"/>
      <c r="E28" s="236"/>
      <c r="F28" s="71"/>
      <c r="G28" s="236"/>
      <c r="H28" s="250"/>
      <c r="I28" s="236"/>
      <c r="J28" s="71"/>
      <c r="K28" s="236"/>
      <c r="L28" s="71"/>
      <c r="M28" s="236"/>
      <c r="N28" s="250" t="s">
        <v>228</v>
      </c>
      <c r="O28" s="236"/>
      <c r="P28" s="71"/>
      <c r="Q28" s="236"/>
      <c r="R28" s="71"/>
      <c r="S28" s="236"/>
      <c r="T28" s="71"/>
      <c r="U28" s="270"/>
      <c r="V28" s="73"/>
      <c r="W28" s="236"/>
      <c r="X28" s="71"/>
      <c r="Y28" s="236"/>
      <c r="Z28" s="250"/>
      <c r="AA28" s="249"/>
      <c r="AB28" s="1240"/>
      <c r="AC28" s="1241"/>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row>
    <row r="29" spans="1:120" s="66" customFormat="1" ht="30" customHeight="1">
      <c r="A29" s="1245"/>
      <c r="B29" s="252" t="s">
        <v>83</v>
      </c>
      <c r="C29" s="107" t="s">
        <v>279</v>
      </c>
      <c r="D29" s="72"/>
      <c r="E29" s="231"/>
      <c r="F29" s="72"/>
      <c r="G29" s="231"/>
      <c r="H29" s="253"/>
      <c r="I29" s="231"/>
      <c r="J29" s="72"/>
      <c r="K29" s="231"/>
      <c r="L29" s="72"/>
      <c r="M29" s="231"/>
      <c r="N29" s="253" t="s">
        <v>228</v>
      </c>
      <c r="O29" s="231"/>
      <c r="P29" s="72"/>
      <c r="Q29" s="231"/>
      <c r="R29" s="72"/>
      <c r="S29" s="231"/>
      <c r="T29" s="72"/>
      <c r="U29" s="233"/>
      <c r="V29" s="232"/>
      <c r="W29" s="231"/>
      <c r="X29" s="72"/>
      <c r="Y29" s="231"/>
      <c r="Z29" s="253"/>
      <c r="AA29" s="230"/>
      <c r="AB29" s="1240"/>
      <c r="AC29" s="1241"/>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row>
    <row r="30" spans="1:120" s="66" customFormat="1" ht="30" customHeight="1">
      <c r="A30" s="1245"/>
      <c r="B30" s="252" t="s">
        <v>283</v>
      </c>
      <c r="C30" s="251" t="s">
        <v>279</v>
      </c>
      <c r="D30" s="71"/>
      <c r="E30" s="236"/>
      <c r="F30" s="71"/>
      <c r="G30" s="236"/>
      <c r="H30" s="250"/>
      <c r="I30" s="236"/>
      <c r="J30" s="71"/>
      <c r="K30" s="236"/>
      <c r="L30" s="71"/>
      <c r="M30" s="236"/>
      <c r="N30" s="250" t="s">
        <v>228</v>
      </c>
      <c r="O30" s="236"/>
      <c r="P30" s="71"/>
      <c r="Q30" s="236"/>
      <c r="R30" s="71"/>
      <c r="S30" s="236"/>
      <c r="T30" s="71"/>
      <c r="U30" s="270"/>
      <c r="V30" s="73"/>
      <c r="W30" s="236"/>
      <c r="X30" s="71"/>
      <c r="Y30" s="236"/>
      <c r="Z30" s="250"/>
      <c r="AA30" s="249"/>
      <c r="AB30" s="1262"/>
      <c r="AC30" s="1263"/>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row>
    <row r="31" spans="1:120" s="66" customFormat="1" ht="30" customHeight="1" thickBot="1">
      <c r="A31" s="1259"/>
      <c r="B31" s="248" t="s">
        <v>282</v>
      </c>
      <c r="C31" s="247" t="s">
        <v>279</v>
      </c>
      <c r="D31" s="217"/>
      <c r="E31" s="218"/>
      <c r="F31" s="217"/>
      <c r="G31" s="218"/>
      <c r="H31" s="246"/>
      <c r="I31" s="218"/>
      <c r="J31" s="217"/>
      <c r="K31" s="218"/>
      <c r="L31" s="217"/>
      <c r="M31" s="218"/>
      <c r="N31" s="246" t="s">
        <v>228</v>
      </c>
      <c r="O31" s="218"/>
      <c r="P31" s="217"/>
      <c r="Q31" s="218"/>
      <c r="R31" s="217"/>
      <c r="S31" s="218"/>
      <c r="T31" s="217"/>
      <c r="U31" s="216"/>
      <c r="V31" s="219"/>
      <c r="W31" s="218"/>
      <c r="X31" s="217"/>
      <c r="Y31" s="218"/>
      <c r="Z31" s="246"/>
      <c r="AA31" s="245"/>
      <c r="AB31" s="1264"/>
      <c r="AC31" s="12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row>
    <row r="32" spans="1:120" s="66" customFormat="1" ht="30" customHeight="1">
      <c r="A32" s="1266" t="s">
        <v>34</v>
      </c>
      <c r="B32" s="244" t="s">
        <v>84</v>
      </c>
      <c r="C32" s="109" t="s">
        <v>120</v>
      </c>
      <c r="D32" s="69"/>
      <c r="E32" s="222"/>
      <c r="F32" s="70"/>
      <c r="G32" s="242"/>
      <c r="H32" s="259"/>
      <c r="I32" s="242"/>
      <c r="J32" s="70"/>
      <c r="K32" s="242"/>
      <c r="L32" s="70"/>
      <c r="M32" s="242"/>
      <c r="N32" s="70"/>
      <c r="O32" s="242"/>
      <c r="P32" s="70"/>
      <c r="Q32" s="242"/>
      <c r="R32" s="70"/>
      <c r="S32" s="242"/>
      <c r="T32" s="70"/>
      <c r="U32" s="241"/>
      <c r="V32" s="243"/>
      <c r="W32" s="242"/>
      <c r="X32" s="70" t="s">
        <v>31</v>
      </c>
      <c r="Y32" s="242"/>
      <c r="Z32" s="70"/>
      <c r="AA32" s="241"/>
      <c r="AB32" s="1256"/>
      <c r="AC32" s="1257"/>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row>
    <row r="33" spans="1:120" s="66" customFormat="1" ht="30" customHeight="1">
      <c r="A33" s="1246"/>
      <c r="B33" s="240" t="s">
        <v>160</v>
      </c>
      <c r="C33" s="107" t="s">
        <v>281</v>
      </c>
      <c r="D33" s="71"/>
      <c r="E33" s="236"/>
      <c r="F33" s="69"/>
      <c r="G33" s="222"/>
      <c r="H33" s="250" t="s">
        <v>31</v>
      </c>
      <c r="I33" s="236"/>
      <c r="J33" s="250" t="s">
        <v>31</v>
      </c>
      <c r="K33" s="236"/>
      <c r="L33" s="250" t="s">
        <v>31</v>
      </c>
      <c r="M33" s="236"/>
      <c r="N33" s="250" t="s">
        <v>31</v>
      </c>
      <c r="O33" s="236"/>
      <c r="P33" s="250" t="s">
        <v>31</v>
      </c>
      <c r="Q33" s="236"/>
      <c r="R33" s="71"/>
      <c r="S33" s="222"/>
      <c r="T33" s="69"/>
      <c r="U33" s="221"/>
      <c r="V33" s="223"/>
      <c r="W33" s="222"/>
      <c r="X33" s="69" t="s">
        <v>31</v>
      </c>
      <c r="Y33" s="222"/>
      <c r="Z33" s="69"/>
      <c r="AA33" s="221"/>
      <c r="AB33" s="239"/>
      <c r="AC33" s="238"/>
      <c r="AD33" s="65"/>
      <c r="AE33" s="65"/>
      <c r="AF33" s="65"/>
      <c r="AG33" s="65"/>
      <c r="AH33" s="65"/>
      <c r="AI33" s="65"/>
      <c r="AJ33" s="65"/>
      <c r="AK33" s="65"/>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c r="CK33" s="65"/>
      <c r="CL33" s="65"/>
      <c r="CM33" s="65"/>
      <c r="CN33" s="65"/>
      <c r="CO33" s="65"/>
      <c r="CP33" s="6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row>
    <row r="34" spans="1:120" s="66" customFormat="1" ht="30" customHeight="1">
      <c r="A34" s="1246"/>
      <c r="B34" s="237" t="s">
        <v>280</v>
      </c>
      <c r="C34" s="107" t="s">
        <v>279</v>
      </c>
      <c r="D34" s="69"/>
      <c r="E34" s="222"/>
      <c r="F34" s="72"/>
      <c r="G34" s="231"/>
      <c r="H34" s="255"/>
      <c r="I34" s="222"/>
      <c r="J34" s="69"/>
      <c r="K34" s="222"/>
      <c r="L34" s="69" t="s">
        <v>31</v>
      </c>
      <c r="M34" s="222"/>
      <c r="N34" s="69"/>
      <c r="O34" s="222"/>
      <c r="P34" s="69"/>
      <c r="Q34" s="222"/>
      <c r="R34" s="69"/>
      <c r="S34" s="222"/>
      <c r="T34" s="69"/>
      <c r="U34" s="221"/>
      <c r="V34" s="73"/>
      <c r="W34" s="236"/>
      <c r="X34" s="69" t="s">
        <v>31</v>
      </c>
      <c r="Y34" s="222"/>
      <c r="Z34" s="69"/>
      <c r="AA34" s="235"/>
      <c r="AB34" s="1271"/>
      <c r="AC34" s="1272"/>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row>
    <row r="35" spans="1:120" s="66" customFormat="1" ht="30" customHeight="1">
      <c r="A35" s="1246"/>
      <c r="B35" s="234" t="s">
        <v>680</v>
      </c>
      <c r="C35" s="76" t="s">
        <v>279</v>
      </c>
      <c r="D35" s="72"/>
      <c r="E35" s="231"/>
      <c r="F35" s="72"/>
      <c r="G35" s="231"/>
      <c r="H35" s="253" t="s">
        <v>31</v>
      </c>
      <c r="I35" s="231"/>
      <c r="J35" s="72"/>
      <c r="K35" s="231"/>
      <c r="L35" s="72"/>
      <c r="M35" s="231"/>
      <c r="N35" s="72"/>
      <c r="O35" s="231"/>
      <c r="P35" s="72"/>
      <c r="Q35" s="231"/>
      <c r="R35" s="72"/>
      <c r="S35" s="231"/>
      <c r="T35" s="72" t="s">
        <v>228</v>
      </c>
      <c r="U35" s="233"/>
      <c r="V35" s="232"/>
      <c r="W35" s="231"/>
      <c r="X35" s="72"/>
      <c r="Y35" s="231"/>
      <c r="Z35" s="72"/>
      <c r="AA35" s="233"/>
      <c r="AB35" s="1273" t="s">
        <v>278</v>
      </c>
      <c r="AC35" s="1274"/>
      <c r="AD35" s="65"/>
      <c r="AE35" s="65"/>
      <c r="AF35" s="65"/>
      <c r="AG35" s="65"/>
      <c r="AH35" s="65"/>
      <c r="AI35" s="65"/>
      <c r="AJ35" s="65"/>
      <c r="AK35" s="65"/>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c r="CE35" s="65"/>
      <c r="CF35" s="65"/>
      <c r="CG35" s="65"/>
      <c r="CH35" s="65"/>
      <c r="CI35" s="65"/>
      <c r="CJ35" s="65"/>
      <c r="CK35" s="65"/>
      <c r="CL35" s="65"/>
      <c r="CM35" s="65"/>
      <c r="CN35" s="65"/>
      <c r="CO35" s="65"/>
      <c r="CP35" s="6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row>
    <row r="36" spans="1:120" s="66" customFormat="1" ht="30" customHeight="1">
      <c r="A36" s="1246"/>
      <c r="B36" s="106" t="s">
        <v>277</v>
      </c>
      <c r="C36" s="76"/>
      <c r="D36" s="72"/>
      <c r="E36" s="231"/>
      <c r="F36" s="72"/>
      <c r="G36" s="231"/>
      <c r="H36" s="253"/>
      <c r="I36" s="231"/>
      <c r="J36" s="72" t="s">
        <v>228</v>
      </c>
      <c r="K36" s="231"/>
      <c r="L36" s="72"/>
      <c r="M36" s="231"/>
      <c r="N36" s="72"/>
      <c r="O36" s="231"/>
      <c r="P36" s="72"/>
      <c r="Q36" s="231"/>
      <c r="R36" s="72"/>
      <c r="S36" s="231"/>
      <c r="T36" s="72"/>
      <c r="U36" s="233"/>
      <c r="V36" s="232" t="s">
        <v>228</v>
      </c>
      <c r="W36" s="231"/>
      <c r="X36" s="72"/>
      <c r="Y36" s="231"/>
      <c r="Z36" s="72"/>
      <c r="AA36" s="230"/>
      <c r="AB36" s="1273"/>
      <c r="AC36" s="1274"/>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c r="CE36" s="65"/>
      <c r="CF36" s="65"/>
      <c r="CG36" s="65"/>
      <c r="CH36" s="65"/>
      <c r="CI36" s="65"/>
      <c r="CJ36" s="65"/>
      <c r="CK36" s="65"/>
      <c r="CL36" s="65"/>
      <c r="CM36" s="65"/>
      <c r="CN36" s="65"/>
      <c r="CO36" s="65"/>
      <c r="CP36" s="6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row>
    <row r="37" spans="1:120" s="66" customFormat="1" ht="30" customHeight="1" thickBot="1">
      <c r="A37" s="1255"/>
      <c r="B37" s="229" t="s">
        <v>276</v>
      </c>
      <c r="C37" s="228" t="s">
        <v>275</v>
      </c>
      <c r="D37" s="74"/>
      <c r="E37" s="227"/>
      <c r="F37" s="74"/>
      <c r="G37" s="227"/>
      <c r="H37" s="859"/>
      <c r="I37" s="227"/>
      <c r="J37" s="74"/>
      <c r="K37" s="227"/>
      <c r="L37" s="74"/>
      <c r="M37" s="227"/>
      <c r="N37" s="74"/>
      <c r="O37" s="227"/>
      <c r="P37" s="74"/>
      <c r="Q37" s="227"/>
      <c r="R37" s="74" t="s">
        <v>31</v>
      </c>
      <c r="S37" s="227"/>
      <c r="T37" s="74"/>
      <c r="U37" s="274"/>
      <c r="V37" s="99"/>
      <c r="W37" s="227"/>
      <c r="X37" s="74"/>
      <c r="Y37" s="227"/>
      <c r="Z37" s="74"/>
      <c r="AA37" s="226"/>
      <c r="AB37" s="1269"/>
      <c r="AC37" s="1270"/>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c r="CE37" s="65"/>
      <c r="CF37" s="65"/>
      <c r="CG37" s="65"/>
      <c r="CH37" s="65"/>
      <c r="CI37" s="65"/>
      <c r="CJ37" s="65"/>
      <c r="CK37" s="65"/>
      <c r="CL37" s="65"/>
      <c r="CM37" s="65"/>
      <c r="CN37" s="65"/>
      <c r="CO37" s="65"/>
      <c r="CP37" s="6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row>
    <row r="38" spans="1:120" s="66" customFormat="1" ht="30" customHeight="1">
      <c r="A38" s="1266" t="s">
        <v>23</v>
      </c>
      <c r="B38" s="225" t="s">
        <v>118</v>
      </c>
      <c r="C38" s="224" t="s">
        <v>120</v>
      </c>
      <c r="D38" s="69" t="s">
        <v>31</v>
      </c>
      <c r="E38" s="222" t="s">
        <v>762</v>
      </c>
      <c r="F38" s="69"/>
      <c r="G38" s="222"/>
      <c r="H38" s="255"/>
      <c r="I38" s="222"/>
      <c r="J38" s="69"/>
      <c r="K38" s="222"/>
      <c r="L38" s="69"/>
      <c r="M38" s="222"/>
      <c r="N38" s="69"/>
      <c r="O38" s="222"/>
      <c r="P38" s="69"/>
      <c r="Q38" s="222"/>
      <c r="R38" s="69" t="s">
        <v>31</v>
      </c>
      <c r="S38" s="222"/>
      <c r="T38" s="69"/>
      <c r="U38" s="221"/>
      <c r="V38" s="223"/>
      <c r="W38" s="222"/>
      <c r="X38" s="69"/>
      <c r="Y38" s="222"/>
      <c r="Z38" s="69"/>
      <c r="AA38" s="221"/>
      <c r="AB38" s="1267"/>
      <c r="AC38" s="1268"/>
      <c r="AD38" s="65"/>
      <c r="AE38" s="65"/>
      <c r="AF38" s="65"/>
      <c r="AG38" s="65"/>
      <c r="AH38" s="65"/>
      <c r="AI38" s="65"/>
      <c r="AJ38" s="65"/>
      <c r="AK38" s="65"/>
      <c r="AL38" s="65"/>
      <c r="AM38" s="65"/>
      <c r="AN38" s="65"/>
      <c r="AO38" s="65"/>
      <c r="AP38" s="65"/>
      <c r="AQ38" s="65"/>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c r="CE38" s="65"/>
      <c r="CF38" s="65"/>
      <c r="CG38" s="65"/>
      <c r="CH38" s="65"/>
      <c r="CI38" s="65"/>
      <c r="CJ38" s="65"/>
      <c r="CK38" s="65"/>
      <c r="CL38" s="65"/>
      <c r="CM38" s="65"/>
      <c r="CN38" s="65"/>
      <c r="CO38" s="65"/>
      <c r="CP38" s="6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row>
    <row r="39" spans="1:120" s="66" customFormat="1" ht="30" customHeight="1" thickBot="1">
      <c r="A39" s="1255"/>
      <c r="B39" s="220" t="s">
        <v>684</v>
      </c>
      <c r="C39" s="107"/>
      <c r="D39" s="217"/>
      <c r="E39" s="218"/>
      <c r="F39" s="860"/>
      <c r="G39" s="256"/>
      <c r="H39" s="246"/>
      <c r="I39" s="218"/>
      <c r="J39" s="860"/>
      <c r="K39" s="256"/>
      <c r="L39" s="860"/>
      <c r="M39" s="256"/>
      <c r="N39" s="860"/>
      <c r="O39" s="256"/>
      <c r="P39" s="860"/>
      <c r="Q39" s="256"/>
      <c r="R39" s="860"/>
      <c r="S39" s="256"/>
      <c r="T39" s="217"/>
      <c r="U39" s="216"/>
      <c r="V39" s="219"/>
      <c r="W39" s="218"/>
      <c r="X39" s="217"/>
      <c r="Y39" s="218"/>
      <c r="Z39" s="217"/>
      <c r="AA39" s="216"/>
      <c r="AB39" s="1269"/>
      <c r="AC39" s="1270"/>
      <c r="AD39" s="65"/>
      <c r="AE39" s="65"/>
      <c r="AF39" s="65"/>
      <c r="AG39" s="65"/>
      <c r="AH39" s="65"/>
      <c r="AI39" s="65"/>
      <c r="AJ39" s="65"/>
      <c r="AK39" s="65"/>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5"/>
      <c r="CA39" s="65"/>
      <c r="CB39" s="65"/>
      <c r="CC39" s="65"/>
      <c r="CD39" s="65"/>
      <c r="CE39" s="65"/>
      <c r="CF39" s="65"/>
      <c r="CG39" s="65"/>
      <c r="CH39" s="65"/>
      <c r="CI39" s="65"/>
      <c r="CJ39" s="65"/>
      <c r="CK39" s="65"/>
      <c r="CL39" s="65"/>
      <c r="CM39" s="65"/>
      <c r="CN39" s="65"/>
      <c r="CO39" s="65"/>
      <c r="CP39" s="6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row>
    <row r="40" spans="1:120" s="66" customFormat="1" ht="14.25" customHeight="1">
      <c r="A40" s="215"/>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65"/>
      <c r="AE40" s="65"/>
      <c r="AF40" s="65"/>
      <c r="AG40" s="65"/>
      <c r="AH40" s="65"/>
      <c r="AI40" s="65"/>
      <c r="AJ40" s="65"/>
      <c r="AK40" s="65"/>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5"/>
      <c r="CA40" s="65"/>
      <c r="CB40" s="65"/>
      <c r="CC40" s="65"/>
      <c r="CD40" s="65"/>
      <c r="CE40" s="65"/>
      <c r="CF40" s="65"/>
      <c r="CG40" s="65"/>
      <c r="CH40" s="65"/>
      <c r="CI40" s="65"/>
      <c r="CJ40" s="65"/>
      <c r="CK40" s="65"/>
      <c r="CL40" s="65"/>
      <c r="CM40" s="65"/>
      <c r="CN40" s="65"/>
      <c r="CO40" s="65"/>
      <c r="CP40" s="6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row>
    <row r="41" spans="1:120" s="66" customFormat="1" ht="14.25">
      <c r="A41" s="213"/>
      <c r="B41" s="211"/>
      <c r="C41" s="211"/>
      <c r="D41" s="211"/>
      <c r="E41" s="211"/>
      <c r="F41" s="211"/>
      <c r="G41" s="211"/>
      <c r="H41" s="211"/>
      <c r="I41" s="211"/>
      <c r="J41" s="211"/>
      <c r="K41" s="211"/>
      <c r="L41" s="211"/>
      <c r="M41" s="211"/>
      <c r="N41" s="211"/>
      <c r="O41" s="211"/>
      <c r="P41" s="211"/>
      <c r="Q41" s="211"/>
      <c r="R41" s="211"/>
      <c r="S41" s="211"/>
      <c r="T41" s="211"/>
      <c r="U41" s="211"/>
      <c r="V41" s="211"/>
      <c r="W41" s="212"/>
      <c r="X41" s="212"/>
      <c r="Y41" s="212"/>
      <c r="Z41" s="211"/>
      <c r="AA41" s="211"/>
      <c r="AB41" s="211"/>
      <c r="AC41" s="211"/>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5"/>
      <c r="CA41" s="65"/>
      <c r="CB41" s="65"/>
      <c r="CC41" s="65"/>
      <c r="CD41" s="65"/>
      <c r="CE41" s="65"/>
      <c r="CF41" s="65"/>
      <c r="CG41" s="65"/>
      <c r="CH41" s="65"/>
      <c r="CI41" s="65"/>
      <c r="CJ41" s="65"/>
      <c r="CK41" s="65"/>
      <c r="CL41" s="65"/>
      <c r="CM41" s="65"/>
      <c r="CN41" s="65"/>
      <c r="CO41" s="65"/>
      <c r="CP41" s="6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row>
    <row r="42" spans="1:120" ht="14.25">
      <c r="B42" s="64"/>
      <c r="D42" s="65"/>
      <c r="E42" s="65"/>
      <c r="F42" s="65"/>
      <c r="G42" s="65"/>
      <c r="H42" s="65"/>
      <c r="I42" s="65"/>
      <c r="J42" s="65"/>
      <c r="K42" s="65"/>
      <c r="L42" s="65"/>
      <c r="M42" s="65"/>
      <c r="N42" s="65"/>
      <c r="O42" s="65"/>
      <c r="P42" s="65"/>
      <c r="Q42" s="65"/>
      <c r="R42" s="65"/>
      <c r="S42" s="65"/>
      <c r="T42" s="65"/>
      <c r="U42" s="65"/>
      <c r="V42" s="65"/>
      <c r="W42" s="210"/>
      <c r="X42" s="210"/>
      <c r="Y42" s="210"/>
      <c r="Z42" s="65"/>
      <c r="AA42" s="65"/>
      <c r="AC42" s="65"/>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c r="DI42" s="64"/>
      <c r="DJ42" s="64"/>
      <c r="DK42" s="64"/>
      <c r="DL42" s="64"/>
      <c r="DM42" s="64"/>
      <c r="DN42" s="64"/>
      <c r="DO42" s="64"/>
      <c r="DP42" s="64"/>
    </row>
    <row r="43" spans="1:120">
      <c r="D43" s="209"/>
    </row>
  </sheetData>
  <mergeCells count="54">
    <mergeCell ref="A38:A39"/>
    <mergeCell ref="AB38:AC38"/>
    <mergeCell ref="AB39:AC39"/>
    <mergeCell ref="A32:A37"/>
    <mergeCell ref="AB32:AC32"/>
    <mergeCell ref="AB34:AC34"/>
    <mergeCell ref="AB35:AC35"/>
    <mergeCell ref="AB36:AC36"/>
    <mergeCell ref="AB37:AC37"/>
    <mergeCell ref="A26:A31"/>
    <mergeCell ref="AB26:AC26"/>
    <mergeCell ref="AB27:AC27"/>
    <mergeCell ref="AB28:AC28"/>
    <mergeCell ref="AB29:AC29"/>
    <mergeCell ref="AB30:AC30"/>
    <mergeCell ref="AB31:AC31"/>
    <mergeCell ref="AB15:AC15"/>
    <mergeCell ref="AB16:AC16"/>
    <mergeCell ref="AB17:AC17"/>
    <mergeCell ref="AB7:AC7"/>
    <mergeCell ref="AB9:AC9"/>
    <mergeCell ref="AB10:AC10"/>
    <mergeCell ref="AB5:AC6"/>
    <mergeCell ref="AB11:AC11"/>
    <mergeCell ref="AB12:AC12"/>
    <mergeCell ref="T5:U5"/>
    <mergeCell ref="A18:A25"/>
    <mergeCell ref="AB18:AC18"/>
    <mergeCell ref="AB19:AC19"/>
    <mergeCell ref="AB20:AC20"/>
    <mergeCell ref="AB21:AC21"/>
    <mergeCell ref="AB22:AC22"/>
    <mergeCell ref="AB24:AC24"/>
    <mergeCell ref="AB25:AC25"/>
    <mergeCell ref="A13:A17"/>
    <mergeCell ref="A7:A12"/>
    <mergeCell ref="AB13:AC13"/>
    <mergeCell ref="AB14:AC14"/>
    <mergeCell ref="A1:AC1"/>
    <mergeCell ref="A3:AC3"/>
    <mergeCell ref="V4:AA4"/>
    <mergeCell ref="B5:B6"/>
    <mergeCell ref="C5:C6"/>
    <mergeCell ref="D5:E5"/>
    <mergeCell ref="F5:G5"/>
    <mergeCell ref="H5:I5"/>
    <mergeCell ref="V5:W5"/>
    <mergeCell ref="X5:Y5"/>
    <mergeCell ref="J5:K5"/>
    <mergeCell ref="L5:M5"/>
    <mergeCell ref="N5:O5"/>
    <mergeCell ref="P5:Q5"/>
    <mergeCell ref="R5:S5"/>
    <mergeCell ref="Z5:AA5"/>
  </mergeCells>
  <phoneticPr fontId="8"/>
  <printOptions horizontalCentered="1" verticalCentered="1"/>
  <pageMargins left="0.19685039370078741" right="0.19685039370078741" top="0.59055118110236227" bottom="0.19685039370078741" header="0" footer="0"/>
  <pageSetup paperSize="9" scale="47"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pageSetUpPr fitToPage="1"/>
  </sheetPr>
  <dimension ref="A1:AE39"/>
  <sheetViews>
    <sheetView topLeftCell="A7" zoomScale="85" zoomScaleNormal="85" workbookViewId="0">
      <selection activeCell="Q32" sqref="Q32"/>
    </sheetView>
  </sheetViews>
  <sheetFormatPr defaultRowHeight="14.25"/>
  <cols>
    <col min="1" max="1" width="5.86328125" style="49" customWidth="1"/>
    <col min="2" max="2" width="22.73046875" style="49" customWidth="1"/>
    <col min="3" max="3" width="7.265625" style="49" customWidth="1"/>
    <col min="4" max="27" width="5" style="50" customWidth="1"/>
    <col min="28" max="28" width="25.1328125" style="50" customWidth="1"/>
    <col min="29" max="29" width="39.59765625" style="50" customWidth="1"/>
    <col min="30" max="120" width="2.265625" style="49" customWidth="1"/>
    <col min="121" max="256" width="9" style="49"/>
    <col min="257" max="257" width="5.86328125" style="49" customWidth="1"/>
    <col min="258" max="258" width="22.73046875" style="49" customWidth="1"/>
    <col min="259" max="259" width="7.265625" style="49" customWidth="1"/>
    <col min="260" max="283" width="5" style="49" customWidth="1"/>
    <col min="284" max="284" width="25.1328125" style="49" customWidth="1"/>
    <col min="285" max="285" width="39.59765625" style="49" customWidth="1"/>
    <col min="286" max="376" width="2.265625" style="49" customWidth="1"/>
    <col min="377" max="512" width="9" style="49"/>
    <col min="513" max="513" width="5.86328125" style="49" customWidth="1"/>
    <col min="514" max="514" width="22.73046875" style="49" customWidth="1"/>
    <col min="515" max="515" width="7.265625" style="49" customWidth="1"/>
    <col min="516" max="539" width="5" style="49" customWidth="1"/>
    <col min="540" max="540" width="25.1328125" style="49" customWidth="1"/>
    <col min="541" max="541" width="39.59765625" style="49" customWidth="1"/>
    <col min="542" max="632" width="2.265625" style="49" customWidth="1"/>
    <col min="633" max="768" width="9" style="49"/>
    <col min="769" max="769" width="5.86328125" style="49" customWidth="1"/>
    <col min="770" max="770" width="22.73046875" style="49" customWidth="1"/>
    <col min="771" max="771" width="7.265625" style="49" customWidth="1"/>
    <col min="772" max="795" width="5" style="49" customWidth="1"/>
    <col min="796" max="796" width="25.1328125" style="49" customWidth="1"/>
    <col min="797" max="797" width="39.59765625" style="49" customWidth="1"/>
    <col min="798" max="888" width="2.265625" style="49" customWidth="1"/>
    <col min="889" max="1024" width="9" style="49"/>
    <col min="1025" max="1025" width="5.86328125" style="49" customWidth="1"/>
    <col min="1026" max="1026" width="22.73046875" style="49" customWidth="1"/>
    <col min="1027" max="1027" width="7.265625" style="49" customWidth="1"/>
    <col min="1028" max="1051" width="5" style="49" customWidth="1"/>
    <col min="1052" max="1052" width="25.1328125" style="49" customWidth="1"/>
    <col min="1053" max="1053" width="39.59765625" style="49" customWidth="1"/>
    <col min="1054" max="1144" width="2.265625" style="49" customWidth="1"/>
    <col min="1145" max="1280" width="9" style="49"/>
    <col min="1281" max="1281" width="5.86328125" style="49" customWidth="1"/>
    <col min="1282" max="1282" width="22.73046875" style="49" customWidth="1"/>
    <col min="1283" max="1283" width="7.265625" style="49" customWidth="1"/>
    <col min="1284" max="1307" width="5" style="49" customWidth="1"/>
    <col min="1308" max="1308" width="25.1328125" style="49" customWidth="1"/>
    <col min="1309" max="1309" width="39.59765625" style="49" customWidth="1"/>
    <col min="1310" max="1400" width="2.265625" style="49" customWidth="1"/>
    <col min="1401" max="1536" width="9" style="49"/>
    <col min="1537" max="1537" width="5.86328125" style="49" customWidth="1"/>
    <col min="1538" max="1538" width="22.73046875" style="49" customWidth="1"/>
    <col min="1539" max="1539" width="7.265625" style="49" customWidth="1"/>
    <col min="1540" max="1563" width="5" style="49" customWidth="1"/>
    <col min="1564" max="1564" width="25.1328125" style="49" customWidth="1"/>
    <col min="1565" max="1565" width="39.59765625" style="49" customWidth="1"/>
    <col min="1566" max="1656" width="2.265625" style="49" customWidth="1"/>
    <col min="1657" max="1792" width="9" style="49"/>
    <col min="1793" max="1793" width="5.86328125" style="49" customWidth="1"/>
    <col min="1794" max="1794" width="22.73046875" style="49" customWidth="1"/>
    <col min="1795" max="1795" width="7.265625" style="49" customWidth="1"/>
    <col min="1796" max="1819" width="5" style="49" customWidth="1"/>
    <col min="1820" max="1820" width="25.1328125" style="49" customWidth="1"/>
    <col min="1821" max="1821" width="39.59765625" style="49" customWidth="1"/>
    <col min="1822" max="1912" width="2.265625" style="49" customWidth="1"/>
    <col min="1913" max="2048" width="9" style="49"/>
    <col min="2049" max="2049" width="5.86328125" style="49" customWidth="1"/>
    <col min="2050" max="2050" width="22.73046875" style="49" customWidth="1"/>
    <col min="2051" max="2051" width="7.265625" style="49" customWidth="1"/>
    <col min="2052" max="2075" width="5" style="49" customWidth="1"/>
    <col min="2076" max="2076" width="25.1328125" style="49" customWidth="1"/>
    <col min="2077" max="2077" width="39.59765625" style="49" customWidth="1"/>
    <col min="2078" max="2168" width="2.265625" style="49" customWidth="1"/>
    <col min="2169" max="2304" width="9" style="49"/>
    <col min="2305" max="2305" width="5.86328125" style="49" customWidth="1"/>
    <col min="2306" max="2306" width="22.73046875" style="49" customWidth="1"/>
    <col min="2307" max="2307" width="7.265625" style="49" customWidth="1"/>
    <col min="2308" max="2331" width="5" style="49" customWidth="1"/>
    <col min="2332" max="2332" width="25.1328125" style="49" customWidth="1"/>
    <col min="2333" max="2333" width="39.59765625" style="49" customWidth="1"/>
    <col min="2334" max="2424" width="2.265625" style="49" customWidth="1"/>
    <col min="2425" max="2560" width="9" style="49"/>
    <col min="2561" max="2561" width="5.86328125" style="49" customWidth="1"/>
    <col min="2562" max="2562" width="22.73046875" style="49" customWidth="1"/>
    <col min="2563" max="2563" width="7.265625" style="49" customWidth="1"/>
    <col min="2564" max="2587" width="5" style="49" customWidth="1"/>
    <col min="2588" max="2588" width="25.1328125" style="49" customWidth="1"/>
    <col min="2589" max="2589" width="39.59765625" style="49" customWidth="1"/>
    <col min="2590" max="2680" width="2.265625" style="49" customWidth="1"/>
    <col min="2681" max="2816" width="9" style="49"/>
    <col min="2817" max="2817" width="5.86328125" style="49" customWidth="1"/>
    <col min="2818" max="2818" width="22.73046875" style="49" customWidth="1"/>
    <col min="2819" max="2819" width="7.265625" style="49" customWidth="1"/>
    <col min="2820" max="2843" width="5" style="49" customWidth="1"/>
    <col min="2844" max="2844" width="25.1328125" style="49" customWidth="1"/>
    <col min="2845" max="2845" width="39.59765625" style="49" customWidth="1"/>
    <col min="2846" max="2936" width="2.265625" style="49" customWidth="1"/>
    <col min="2937" max="3072" width="9" style="49"/>
    <col min="3073" max="3073" width="5.86328125" style="49" customWidth="1"/>
    <col min="3074" max="3074" width="22.73046875" style="49" customWidth="1"/>
    <col min="3075" max="3075" width="7.265625" style="49" customWidth="1"/>
    <col min="3076" max="3099" width="5" style="49" customWidth="1"/>
    <col min="3100" max="3100" width="25.1328125" style="49" customWidth="1"/>
    <col min="3101" max="3101" width="39.59765625" style="49" customWidth="1"/>
    <col min="3102" max="3192" width="2.265625" style="49" customWidth="1"/>
    <col min="3193" max="3328" width="9" style="49"/>
    <col min="3329" max="3329" width="5.86328125" style="49" customWidth="1"/>
    <col min="3330" max="3330" width="22.73046875" style="49" customWidth="1"/>
    <col min="3331" max="3331" width="7.265625" style="49" customWidth="1"/>
    <col min="3332" max="3355" width="5" style="49" customWidth="1"/>
    <col min="3356" max="3356" width="25.1328125" style="49" customWidth="1"/>
    <col min="3357" max="3357" width="39.59765625" style="49" customWidth="1"/>
    <col min="3358" max="3448" width="2.265625" style="49" customWidth="1"/>
    <col min="3449" max="3584" width="9" style="49"/>
    <col min="3585" max="3585" width="5.86328125" style="49" customWidth="1"/>
    <col min="3586" max="3586" width="22.73046875" style="49" customWidth="1"/>
    <col min="3587" max="3587" width="7.265625" style="49" customWidth="1"/>
    <col min="3588" max="3611" width="5" style="49" customWidth="1"/>
    <col min="3612" max="3612" width="25.1328125" style="49" customWidth="1"/>
    <col min="3613" max="3613" width="39.59765625" style="49" customWidth="1"/>
    <col min="3614" max="3704" width="2.265625" style="49" customWidth="1"/>
    <col min="3705" max="3840" width="9" style="49"/>
    <col min="3841" max="3841" width="5.86328125" style="49" customWidth="1"/>
    <col min="3842" max="3842" width="22.73046875" style="49" customWidth="1"/>
    <col min="3843" max="3843" width="7.265625" style="49" customWidth="1"/>
    <col min="3844" max="3867" width="5" style="49" customWidth="1"/>
    <col min="3868" max="3868" width="25.1328125" style="49" customWidth="1"/>
    <col min="3869" max="3869" width="39.59765625" style="49" customWidth="1"/>
    <col min="3870" max="3960" width="2.265625" style="49" customWidth="1"/>
    <col min="3961" max="4096" width="9" style="49"/>
    <col min="4097" max="4097" width="5.86328125" style="49" customWidth="1"/>
    <col min="4098" max="4098" width="22.73046875" style="49" customWidth="1"/>
    <col min="4099" max="4099" width="7.265625" style="49" customWidth="1"/>
    <col min="4100" max="4123" width="5" style="49" customWidth="1"/>
    <col min="4124" max="4124" width="25.1328125" style="49" customWidth="1"/>
    <col min="4125" max="4125" width="39.59765625" style="49" customWidth="1"/>
    <col min="4126" max="4216" width="2.265625" style="49" customWidth="1"/>
    <col min="4217" max="4352" width="9" style="49"/>
    <col min="4353" max="4353" width="5.86328125" style="49" customWidth="1"/>
    <col min="4354" max="4354" width="22.73046875" style="49" customWidth="1"/>
    <col min="4355" max="4355" width="7.265625" style="49" customWidth="1"/>
    <col min="4356" max="4379" width="5" style="49" customWidth="1"/>
    <col min="4380" max="4380" width="25.1328125" style="49" customWidth="1"/>
    <col min="4381" max="4381" width="39.59765625" style="49" customWidth="1"/>
    <col min="4382" max="4472" width="2.265625" style="49" customWidth="1"/>
    <col min="4473" max="4608" width="9" style="49"/>
    <col min="4609" max="4609" width="5.86328125" style="49" customWidth="1"/>
    <col min="4610" max="4610" width="22.73046875" style="49" customWidth="1"/>
    <col min="4611" max="4611" width="7.265625" style="49" customWidth="1"/>
    <col min="4612" max="4635" width="5" style="49" customWidth="1"/>
    <col min="4636" max="4636" width="25.1328125" style="49" customWidth="1"/>
    <col min="4637" max="4637" width="39.59765625" style="49" customWidth="1"/>
    <col min="4638" max="4728" width="2.265625" style="49" customWidth="1"/>
    <col min="4729" max="4864" width="9" style="49"/>
    <col min="4865" max="4865" width="5.86328125" style="49" customWidth="1"/>
    <col min="4866" max="4866" width="22.73046875" style="49" customWidth="1"/>
    <col min="4867" max="4867" width="7.265625" style="49" customWidth="1"/>
    <col min="4868" max="4891" width="5" style="49" customWidth="1"/>
    <col min="4892" max="4892" width="25.1328125" style="49" customWidth="1"/>
    <col min="4893" max="4893" width="39.59765625" style="49" customWidth="1"/>
    <col min="4894" max="4984" width="2.265625" style="49" customWidth="1"/>
    <col min="4985" max="5120" width="9" style="49"/>
    <col min="5121" max="5121" width="5.86328125" style="49" customWidth="1"/>
    <col min="5122" max="5122" width="22.73046875" style="49" customWidth="1"/>
    <col min="5123" max="5123" width="7.265625" style="49" customWidth="1"/>
    <col min="5124" max="5147" width="5" style="49" customWidth="1"/>
    <col min="5148" max="5148" width="25.1328125" style="49" customWidth="1"/>
    <col min="5149" max="5149" width="39.59765625" style="49" customWidth="1"/>
    <col min="5150" max="5240" width="2.265625" style="49" customWidth="1"/>
    <col min="5241" max="5376" width="9" style="49"/>
    <col min="5377" max="5377" width="5.86328125" style="49" customWidth="1"/>
    <col min="5378" max="5378" width="22.73046875" style="49" customWidth="1"/>
    <col min="5379" max="5379" width="7.265625" style="49" customWidth="1"/>
    <col min="5380" max="5403" width="5" style="49" customWidth="1"/>
    <col min="5404" max="5404" width="25.1328125" style="49" customWidth="1"/>
    <col min="5405" max="5405" width="39.59765625" style="49" customWidth="1"/>
    <col min="5406" max="5496" width="2.265625" style="49" customWidth="1"/>
    <col min="5497" max="5632" width="9" style="49"/>
    <col min="5633" max="5633" width="5.86328125" style="49" customWidth="1"/>
    <col min="5634" max="5634" width="22.73046875" style="49" customWidth="1"/>
    <col min="5635" max="5635" width="7.265625" style="49" customWidth="1"/>
    <col min="5636" max="5659" width="5" style="49" customWidth="1"/>
    <col min="5660" max="5660" width="25.1328125" style="49" customWidth="1"/>
    <col min="5661" max="5661" width="39.59765625" style="49" customWidth="1"/>
    <col min="5662" max="5752" width="2.265625" style="49" customWidth="1"/>
    <col min="5753" max="5888" width="9" style="49"/>
    <col min="5889" max="5889" width="5.86328125" style="49" customWidth="1"/>
    <col min="5890" max="5890" width="22.73046875" style="49" customWidth="1"/>
    <col min="5891" max="5891" width="7.265625" style="49" customWidth="1"/>
    <col min="5892" max="5915" width="5" style="49" customWidth="1"/>
    <col min="5916" max="5916" width="25.1328125" style="49" customWidth="1"/>
    <col min="5917" max="5917" width="39.59765625" style="49" customWidth="1"/>
    <col min="5918" max="6008" width="2.265625" style="49" customWidth="1"/>
    <col min="6009" max="6144" width="9" style="49"/>
    <col min="6145" max="6145" width="5.86328125" style="49" customWidth="1"/>
    <col min="6146" max="6146" width="22.73046875" style="49" customWidth="1"/>
    <col min="6147" max="6147" width="7.265625" style="49" customWidth="1"/>
    <col min="6148" max="6171" width="5" style="49" customWidth="1"/>
    <col min="6172" max="6172" width="25.1328125" style="49" customWidth="1"/>
    <col min="6173" max="6173" width="39.59765625" style="49" customWidth="1"/>
    <col min="6174" max="6264" width="2.265625" style="49" customWidth="1"/>
    <col min="6265" max="6400" width="9" style="49"/>
    <col min="6401" max="6401" width="5.86328125" style="49" customWidth="1"/>
    <col min="6402" max="6402" width="22.73046875" style="49" customWidth="1"/>
    <col min="6403" max="6403" width="7.265625" style="49" customWidth="1"/>
    <col min="6404" max="6427" width="5" style="49" customWidth="1"/>
    <col min="6428" max="6428" width="25.1328125" style="49" customWidth="1"/>
    <col min="6429" max="6429" width="39.59765625" style="49" customWidth="1"/>
    <col min="6430" max="6520" width="2.265625" style="49" customWidth="1"/>
    <col min="6521" max="6656" width="9" style="49"/>
    <col min="6657" max="6657" width="5.86328125" style="49" customWidth="1"/>
    <col min="6658" max="6658" width="22.73046875" style="49" customWidth="1"/>
    <col min="6659" max="6659" width="7.265625" style="49" customWidth="1"/>
    <col min="6660" max="6683" width="5" style="49" customWidth="1"/>
    <col min="6684" max="6684" width="25.1328125" style="49" customWidth="1"/>
    <col min="6685" max="6685" width="39.59765625" style="49" customWidth="1"/>
    <col min="6686" max="6776" width="2.265625" style="49" customWidth="1"/>
    <col min="6777" max="6912" width="9" style="49"/>
    <col min="6913" max="6913" width="5.86328125" style="49" customWidth="1"/>
    <col min="6914" max="6914" width="22.73046875" style="49" customWidth="1"/>
    <col min="6915" max="6915" width="7.265625" style="49" customWidth="1"/>
    <col min="6916" max="6939" width="5" style="49" customWidth="1"/>
    <col min="6940" max="6940" width="25.1328125" style="49" customWidth="1"/>
    <col min="6941" max="6941" width="39.59765625" style="49" customWidth="1"/>
    <col min="6942" max="7032" width="2.265625" style="49" customWidth="1"/>
    <col min="7033" max="7168" width="9" style="49"/>
    <col min="7169" max="7169" width="5.86328125" style="49" customWidth="1"/>
    <col min="7170" max="7170" width="22.73046875" style="49" customWidth="1"/>
    <col min="7171" max="7171" width="7.265625" style="49" customWidth="1"/>
    <col min="7172" max="7195" width="5" style="49" customWidth="1"/>
    <col min="7196" max="7196" width="25.1328125" style="49" customWidth="1"/>
    <col min="7197" max="7197" width="39.59765625" style="49" customWidth="1"/>
    <col min="7198" max="7288" width="2.265625" style="49" customWidth="1"/>
    <col min="7289" max="7424" width="9" style="49"/>
    <col min="7425" max="7425" width="5.86328125" style="49" customWidth="1"/>
    <col min="7426" max="7426" width="22.73046875" style="49" customWidth="1"/>
    <col min="7427" max="7427" width="7.265625" style="49" customWidth="1"/>
    <col min="7428" max="7451" width="5" style="49" customWidth="1"/>
    <col min="7452" max="7452" width="25.1328125" style="49" customWidth="1"/>
    <col min="7453" max="7453" width="39.59765625" style="49" customWidth="1"/>
    <col min="7454" max="7544" width="2.265625" style="49" customWidth="1"/>
    <col min="7545" max="7680" width="9" style="49"/>
    <col min="7681" max="7681" width="5.86328125" style="49" customWidth="1"/>
    <col min="7682" max="7682" width="22.73046875" style="49" customWidth="1"/>
    <col min="7683" max="7683" width="7.265625" style="49" customWidth="1"/>
    <col min="7684" max="7707" width="5" style="49" customWidth="1"/>
    <col min="7708" max="7708" width="25.1328125" style="49" customWidth="1"/>
    <col min="7709" max="7709" width="39.59765625" style="49" customWidth="1"/>
    <col min="7710" max="7800" width="2.265625" style="49" customWidth="1"/>
    <col min="7801" max="7936" width="9" style="49"/>
    <col min="7937" max="7937" width="5.86328125" style="49" customWidth="1"/>
    <col min="7938" max="7938" width="22.73046875" style="49" customWidth="1"/>
    <col min="7939" max="7939" width="7.265625" style="49" customWidth="1"/>
    <col min="7940" max="7963" width="5" style="49" customWidth="1"/>
    <col min="7964" max="7964" width="25.1328125" style="49" customWidth="1"/>
    <col min="7965" max="7965" width="39.59765625" style="49" customWidth="1"/>
    <col min="7966" max="8056" width="2.265625" style="49" customWidth="1"/>
    <col min="8057" max="8192" width="9" style="49"/>
    <col min="8193" max="8193" width="5.86328125" style="49" customWidth="1"/>
    <col min="8194" max="8194" width="22.73046875" style="49" customWidth="1"/>
    <col min="8195" max="8195" width="7.265625" style="49" customWidth="1"/>
    <col min="8196" max="8219" width="5" style="49" customWidth="1"/>
    <col min="8220" max="8220" width="25.1328125" style="49" customWidth="1"/>
    <col min="8221" max="8221" width="39.59765625" style="49" customWidth="1"/>
    <col min="8222" max="8312" width="2.265625" style="49" customWidth="1"/>
    <col min="8313" max="8448" width="9" style="49"/>
    <col min="8449" max="8449" width="5.86328125" style="49" customWidth="1"/>
    <col min="8450" max="8450" width="22.73046875" style="49" customWidth="1"/>
    <col min="8451" max="8451" width="7.265625" style="49" customWidth="1"/>
    <col min="8452" max="8475" width="5" style="49" customWidth="1"/>
    <col min="8476" max="8476" width="25.1328125" style="49" customWidth="1"/>
    <col min="8477" max="8477" width="39.59765625" style="49" customWidth="1"/>
    <col min="8478" max="8568" width="2.265625" style="49" customWidth="1"/>
    <col min="8569" max="8704" width="9" style="49"/>
    <col min="8705" max="8705" width="5.86328125" style="49" customWidth="1"/>
    <col min="8706" max="8706" width="22.73046875" style="49" customWidth="1"/>
    <col min="8707" max="8707" width="7.265625" style="49" customWidth="1"/>
    <col min="8708" max="8731" width="5" style="49" customWidth="1"/>
    <col min="8732" max="8732" width="25.1328125" style="49" customWidth="1"/>
    <col min="8733" max="8733" width="39.59765625" style="49" customWidth="1"/>
    <col min="8734" max="8824" width="2.265625" style="49" customWidth="1"/>
    <col min="8825" max="8960" width="9" style="49"/>
    <col min="8961" max="8961" width="5.86328125" style="49" customWidth="1"/>
    <col min="8962" max="8962" width="22.73046875" style="49" customWidth="1"/>
    <col min="8963" max="8963" width="7.265625" style="49" customWidth="1"/>
    <col min="8964" max="8987" width="5" style="49" customWidth="1"/>
    <col min="8988" max="8988" width="25.1328125" style="49" customWidth="1"/>
    <col min="8989" max="8989" width="39.59765625" style="49" customWidth="1"/>
    <col min="8990" max="9080" width="2.265625" style="49" customWidth="1"/>
    <col min="9081" max="9216" width="9" style="49"/>
    <col min="9217" max="9217" width="5.86328125" style="49" customWidth="1"/>
    <col min="9218" max="9218" width="22.73046875" style="49" customWidth="1"/>
    <col min="9219" max="9219" width="7.265625" style="49" customWidth="1"/>
    <col min="9220" max="9243" width="5" style="49" customWidth="1"/>
    <col min="9244" max="9244" width="25.1328125" style="49" customWidth="1"/>
    <col min="9245" max="9245" width="39.59765625" style="49" customWidth="1"/>
    <col min="9246" max="9336" width="2.265625" style="49" customWidth="1"/>
    <col min="9337" max="9472" width="9" style="49"/>
    <col min="9473" max="9473" width="5.86328125" style="49" customWidth="1"/>
    <col min="9474" max="9474" width="22.73046875" style="49" customWidth="1"/>
    <col min="9475" max="9475" width="7.265625" style="49" customWidth="1"/>
    <col min="9476" max="9499" width="5" style="49" customWidth="1"/>
    <col min="9500" max="9500" width="25.1328125" style="49" customWidth="1"/>
    <col min="9501" max="9501" width="39.59765625" style="49" customWidth="1"/>
    <col min="9502" max="9592" width="2.265625" style="49" customWidth="1"/>
    <col min="9593" max="9728" width="9" style="49"/>
    <col min="9729" max="9729" width="5.86328125" style="49" customWidth="1"/>
    <col min="9730" max="9730" width="22.73046875" style="49" customWidth="1"/>
    <col min="9731" max="9731" width="7.265625" style="49" customWidth="1"/>
    <col min="9732" max="9755" width="5" style="49" customWidth="1"/>
    <col min="9756" max="9756" width="25.1328125" style="49" customWidth="1"/>
    <col min="9757" max="9757" width="39.59765625" style="49" customWidth="1"/>
    <col min="9758" max="9848" width="2.265625" style="49" customWidth="1"/>
    <col min="9849" max="9984" width="9" style="49"/>
    <col min="9985" max="9985" width="5.86328125" style="49" customWidth="1"/>
    <col min="9986" max="9986" width="22.73046875" style="49" customWidth="1"/>
    <col min="9987" max="9987" width="7.265625" style="49" customWidth="1"/>
    <col min="9988" max="10011" width="5" style="49" customWidth="1"/>
    <col min="10012" max="10012" width="25.1328125" style="49" customWidth="1"/>
    <col min="10013" max="10013" width="39.59765625" style="49" customWidth="1"/>
    <col min="10014" max="10104" width="2.265625" style="49" customWidth="1"/>
    <col min="10105" max="10240" width="9" style="49"/>
    <col min="10241" max="10241" width="5.86328125" style="49" customWidth="1"/>
    <col min="10242" max="10242" width="22.73046875" style="49" customWidth="1"/>
    <col min="10243" max="10243" width="7.265625" style="49" customWidth="1"/>
    <col min="10244" max="10267" width="5" style="49" customWidth="1"/>
    <col min="10268" max="10268" width="25.1328125" style="49" customWidth="1"/>
    <col min="10269" max="10269" width="39.59765625" style="49" customWidth="1"/>
    <col min="10270" max="10360" width="2.265625" style="49" customWidth="1"/>
    <col min="10361" max="10496" width="9" style="49"/>
    <col min="10497" max="10497" width="5.86328125" style="49" customWidth="1"/>
    <col min="10498" max="10498" width="22.73046875" style="49" customWidth="1"/>
    <col min="10499" max="10499" width="7.265625" style="49" customWidth="1"/>
    <col min="10500" max="10523" width="5" style="49" customWidth="1"/>
    <col min="10524" max="10524" width="25.1328125" style="49" customWidth="1"/>
    <col min="10525" max="10525" width="39.59765625" style="49" customWidth="1"/>
    <col min="10526" max="10616" width="2.265625" style="49" customWidth="1"/>
    <col min="10617" max="10752" width="9" style="49"/>
    <col min="10753" max="10753" width="5.86328125" style="49" customWidth="1"/>
    <col min="10754" max="10754" width="22.73046875" style="49" customWidth="1"/>
    <col min="10755" max="10755" width="7.265625" style="49" customWidth="1"/>
    <col min="10756" max="10779" width="5" style="49" customWidth="1"/>
    <col min="10780" max="10780" width="25.1328125" style="49" customWidth="1"/>
    <col min="10781" max="10781" width="39.59765625" style="49" customWidth="1"/>
    <col min="10782" max="10872" width="2.265625" style="49" customWidth="1"/>
    <col min="10873" max="11008" width="9" style="49"/>
    <col min="11009" max="11009" width="5.86328125" style="49" customWidth="1"/>
    <col min="11010" max="11010" width="22.73046875" style="49" customWidth="1"/>
    <col min="11011" max="11011" width="7.265625" style="49" customWidth="1"/>
    <col min="11012" max="11035" width="5" style="49" customWidth="1"/>
    <col min="11036" max="11036" width="25.1328125" style="49" customWidth="1"/>
    <col min="11037" max="11037" width="39.59765625" style="49" customWidth="1"/>
    <col min="11038" max="11128" width="2.265625" style="49" customWidth="1"/>
    <col min="11129" max="11264" width="9" style="49"/>
    <col min="11265" max="11265" width="5.86328125" style="49" customWidth="1"/>
    <col min="11266" max="11266" width="22.73046875" style="49" customWidth="1"/>
    <col min="11267" max="11267" width="7.265625" style="49" customWidth="1"/>
    <col min="11268" max="11291" width="5" style="49" customWidth="1"/>
    <col min="11292" max="11292" width="25.1328125" style="49" customWidth="1"/>
    <col min="11293" max="11293" width="39.59765625" style="49" customWidth="1"/>
    <col min="11294" max="11384" width="2.265625" style="49" customWidth="1"/>
    <col min="11385" max="11520" width="9" style="49"/>
    <col min="11521" max="11521" width="5.86328125" style="49" customWidth="1"/>
    <col min="11522" max="11522" width="22.73046875" style="49" customWidth="1"/>
    <col min="11523" max="11523" width="7.265625" style="49" customWidth="1"/>
    <col min="11524" max="11547" width="5" style="49" customWidth="1"/>
    <col min="11548" max="11548" width="25.1328125" style="49" customWidth="1"/>
    <col min="11549" max="11549" width="39.59765625" style="49" customWidth="1"/>
    <col min="11550" max="11640" width="2.265625" style="49" customWidth="1"/>
    <col min="11641" max="11776" width="9" style="49"/>
    <col min="11777" max="11777" width="5.86328125" style="49" customWidth="1"/>
    <col min="11778" max="11778" width="22.73046875" style="49" customWidth="1"/>
    <col min="11779" max="11779" width="7.265625" style="49" customWidth="1"/>
    <col min="11780" max="11803" width="5" style="49" customWidth="1"/>
    <col min="11804" max="11804" width="25.1328125" style="49" customWidth="1"/>
    <col min="11805" max="11805" width="39.59765625" style="49" customWidth="1"/>
    <col min="11806" max="11896" width="2.265625" style="49" customWidth="1"/>
    <col min="11897" max="12032" width="9" style="49"/>
    <col min="12033" max="12033" width="5.86328125" style="49" customWidth="1"/>
    <col min="12034" max="12034" width="22.73046875" style="49" customWidth="1"/>
    <col min="12035" max="12035" width="7.265625" style="49" customWidth="1"/>
    <col min="12036" max="12059" width="5" style="49" customWidth="1"/>
    <col min="12060" max="12060" width="25.1328125" style="49" customWidth="1"/>
    <col min="12061" max="12061" width="39.59765625" style="49" customWidth="1"/>
    <col min="12062" max="12152" width="2.265625" style="49" customWidth="1"/>
    <col min="12153" max="12288" width="9" style="49"/>
    <col min="12289" max="12289" width="5.86328125" style="49" customWidth="1"/>
    <col min="12290" max="12290" width="22.73046875" style="49" customWidth="1"/>
    <col min="12291" max="12291" width="7.265625" style="49" customWidth="1"/>
    <col min="12292" max="12315" width="5" style="49" customWidth="1"/>
    <col min="12316" max="12316" width="25.1328125" style="49" customWidth="1"/>
    <col min="12317" max="12317" width="39.59765625" style="49" customWidth="1"/>
    <col min="12318" max="12408" width="2.265625" style="49" customWidth="1"/>
    <col min="12409" max="12544" width="9" style="49"/>
    <col min="12545" max="12545" width="5.86328125" style="49" customWidth="1"/>
    <col min="12546" max="12546" width="22.73046875" style="49" customWidth="1"/>
    <col min="12547" max="12547" width="7.265625" style="49" customWidth="1"/>
    <col min="12548" max="12571" width="5" style="49" customWidth="1"/>
    <col min="12572" max="12572" width="25.1328125" style="49" customWidth="1"/>
    <col min="12573" max="12573" width="39.59765625" style="49" customWidth="1"/>
    <col min="12574" max="12664" width="2.265625" style="49" customWidth="1"/>
    <col min="12665" max="12800" width="9" style="49"/>
    <col min="12801" max="12801" width="5.86328125" style="49" customWidth="1"/>
    <col min="12802" max="12802" width="22.73046875" style="49" customWidth="1"/>
    <col min="12803" max="12803" width="7.265625" style="49" customWidth="1"/>
    <col min="12804" max="12827" width="5" style="49" customWidth="1"/>
    <col min="12828" max="12828" width="25.1328125" style="49" customWidth="1"/>
    <col min="12829" max="12829" width="39.59765625" style="49" customWidth="1"/>
    <col min="12830" max="12920" width="2.265625" style="49" customWidth="1"/>
    <col min="12921" max="13056" width="9" style="49"/>
    <col min="13057" max="13057" width="5.86328125" style="49" customWidth="1"/>
    <col min="13058" max="13058" width="22.73046875" style="49" customWidth="1"/>
    <col min="13059" max="13059" width="7.265625" style="49" customWidth="1"/>
    <col min="13060" max="13083" width="5" style="49" customWidth="1"/>
    <col min="13084" max="13084" width="25.1328125" style="49" customWidth="1"/>
    <col min="13085" max="13085" width="39.59765625" style="49" customWidth="1"/>
    <col min="13086" max="13176" width="2.265625" style="49" customWidth="1"/>
    <col min="13177" max="13312" width="9" style="49"/>
    <col min="13313" max="13313" width="5.86328125" style="49" customWidth="1"/>
    <col min="13314" max="13314" width="22.73046875" style="49" customWidth="1"/>
    <col min="13315" max="13315" width="7.265625" style="49" customWidth="1"/>
    <col min="13316" max="13339" width="5" style="49" customWidth="1"/>
    <col min="13340" max="13340" width="25.1328125" style="49" customWidth="1"/>
    <col min="13341" max="13341" width="39.59765625" style="49" customWidth="1"/>
    <col min="13342" max="13432" width="2.265625" style="49" customWidth="1"/>
    <col min="13433" max="13568" width="9" style="49"/>
    <col min="13569" max="13569" width="5.86328125" style="49" customWidth="1"/>
    <col min="13570" max="13570" width="22.73046875" style="49" customWidth="1"/>
    <col min="13571" max="13571" width="7.265625" style="49" customWidth="1"/>
    <col min="13572" max="13595" width="5" style="49" customWidth="1"/>
    <col min="13596" max="13596" width="25.1328125" style="49" customWidth="1"/>
    <col min="13597" max="13597" width="39.59765625" style="49" customWidth="1"/>
    <col min="13598" max="13688" width="2.265625" style="49" customWidth="1"/>
    <col min="13689" max="13824" width="9" style="49"/>
    <col min="13825" max="13825" width="5.86328125" style="49" customWidth="1"/>
    <col min="13826" max="13826" width="22.73046875" style="49" customWidth="1"/>
    <col min="13827" max="13827" width="7.265625" style="49" customWidth="1"/>
    <col min="13828" max="13851" width="5" style="49" customWidth="1"/>
    <col min="13852" max="13852" width="25.1328125" style="49" customWidth="1"/>
    <col min="13853" max="13853" width="39.59765625" style="49" customWidth="1"/>
    <col min="13854" max="13944" width="2.265625" style="49" customWidth="1"/>
    <col min="13945" max="14080" width="9" style="49"/>
    <col min="14081" max="14081" width="5.86328125" style="49" customWidth="1"/>
    <col min="14082" max="14082" width="22.73046875" style="49" customWidth="1"/>
    <col min="14083" max="14083" width="7.265625" style="49" customWidth="1"/>
    <col min="14084" max="14107" width="5" style="49" customWidth="1"/>
    <col min="14108" max="14108" width="25.1328125" style="49" customWidth="1"/>
    <col min="14109" max="14109" width="39.59765625" style="49" customWidth="1"/>
    <col min="14110" max="14200" width="2.265625" style="49" customWidth="1"/>
    <col min="14201" max="14336" width="9" style="49"/>
    <col min="14337" max="14337" width="5.86328125" style="49" customWidth="1"/>
    <col min="14338" max="14338" width="22.73046875" style="49" customWidth="1"/>
    <col min="14339" max="14339" width="7.265625" style="49" customWidth="1"/>
    <col min="14340" max="14363" width="5" style="49" customWidth="1"/>
    <col min="14364" max="14364" width="25.1328125" style="49" customWidth="1"/>
    <col min="14365" max="14365" width="39.59765625" style="49" customWidth="1"/>
    <col min="14366" max="14456" width="2.265625" style="49" customWidth="1"/>
    <col min="14457" max="14592" width="9" style="49"/>
    <col min="14593" max="14593" width="5.86328125" style="49" customWidth="1"/>
    <col min="14594" max="14594" width="22.73046875" style="49" customWidth="1"/>
    <col min="14595" max="14595" width="7.265625" style="49" customWidth="1"/>
    <col min="14596" max="14619" width="5" style="49" customWidth="1"/>
    <col min="14620" max="14620" width="25.1328125" style="49" customWidth="1"/>
    <col min="14621" max="14621" width="39.59765625" style="49" customWidth="1"/>
    <col min="14622" max="14712" width="2.265625" style="49" customWidth="1"/>
    <col min="14713" max="14848" width="9" style="49"/>
    <col min="14849" max="14849" width="5.86328125" style="49" customWidth="1"/>
    <col min="14850" max="14850" width="22.73046875" style="49" customWidth="1"/>
    <col min="14851" max="14851" width="7.265625" style="49" customWidth="1"/>
    <col min="14852" max="14875" width="5" style="49" customWidth="1"/>
    <col min="14876" max="14876" width="25.1328125" style="49" customWidth="1"/>
    <col min="14877" max="14877" width="39.59765625" style="49" customWidth="1"/>
    <col min="14878" max="14968" width="2.265625" style="49" customWidth="1"/>
    <col min="14969" max="15104" width="9" style="49"/>
    <col min="15105" max="15105" width="5.86328125" style="49" customWidth="1"/>
    <col min="15106" max="15106" width="22.73046875" style="49" customWidth="1"/>
    <col min="15107" max="15107" width="7.265625" style="49" customWidth="1"/>
    <col min="15108" max="15131" width="5" style="49" customWidth="1"/>
    <col min="15132" max="15132" width="25.1328125" style="49" customWidth="1"/>
    <col min="15133" max="15133" width="39.59765625" style="49" customWidth="1"/>
    <col min="15134" max="15224" width="2.265625" style="49" customWidth="1"/>
    <col min="15225" max="15360" width="9" style="49"/>
    <col min="15361" max="15361" width="5.86328125" style="49" customWidth="1"/>
    <col min="15362" max="15362" width="22.73046875" style="49" customWidth="1"/>
    <col min="15363" max="15363" width="7.265625" style="49" customWidth="1"/>
    <col min="15364" max="15387" width="5" style="49" customWidth="1"/>
    <col min="15388" max="15388" width="25.1328125" style="49" customWidth="1"/>
    <col min="15389" max="15389" width="39.59765625" style="49" customWidth="1"/>
    <col min="15390" max="15480" width="2.265625" style="49" customWidth="1"/>
    <col min="15481" max="15616" width="9" style="49"/>
    <col min="15617" max="15617" width="5.86328125" style="49" customWidth="1"/>
    <col min="15618" max="15618" width="22.73046875" style="49" customWidth="1"/>
    <col min="15619" max="15619" width="7.265625" style="49" customWidth="1"/>
    <col min="15620" max="15643" width="5" style="49" customWidth="1"/>
    <col min="15644" max="15644" width="25.1328125" style="49" customWidth="1"/>
    <col min="15645" max="15645" width="39.59765625" style="49" customWidth="1"/>
    <col min="15646" max="15736" width="2.265625" style="49" customWidth="1"/>
    <col min="15737" max="15872" width="9" style="49"/>
    <col min="15873" max="15873" width="5.86328125" style="49" customWidth="1"/>
    <col min="15874" max="15874" width="22.73046875" style="49" customWidth="1"/>
    <col min="15875" max="15875" width="7.265625" style="49" customWidth="1"/>
    <col min="15876" max="15899" width="5" style="49" customWidth="1"/>
    <col min="15900" max="15900" width="25.1328125" style="49" customWidth="1"/>
    <col min="15901" max="15901" width="39.59765625" style="49" customWidth="1"/>
    <col min="15902" max="15992" width="2.265625" style="49" customWidth="1"/>
    <col min="15993" max="16128" width="9" style="49"/>
    <col min="16129" max="16129" width="5.86328125" style="49" customWidth="1"/>
    <col min="16130" max="16130" width="22.73046875" style="49" customWidth="1"/>
    <col min="16131" max="16131" width="7.265625" style="49" customWidth="1"/>
    <col min="16132" max="16155" width="5" style="49" customWidth="1"/>
    <col min="16156" max="16156" width="25.1328125" style="49" customWidth="1"/>
    <col min="16157" max="16157" width="39.59765625" style="49" customWidth="1"/>
    <col min="16158" max="16248" width="2.265625" style="49" customWidth="1"/>
    <col min="16249" max="16384" width="9" style="49"/>
  </cols>
  <sheetData>
    <row r="1" spans="1:31" s="48" customFormat="1" ht="30" customHeight="1">
      <c r="A1" s="1222" t="s">
        <v>301</v>
      </c>
      <c r="B1" s="1223"/>
      <c r="C1" s="1223"/>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row>
    <row r="2" spans="1:31" s="48" customFormat="1" ht="21" customHeight="1">
      <c r="A2" s="49"/>
      <c r="B2" s="49"/>
      <c r="C2" s="49"/>
      <c r="D2" s="50"/>
      <c r="E2" s="50"/>
      <c r="F2" s="50"/>
      <c r="G2" s="50"/>
      <c r="H2" s="50"/>
      <c r="I2" s="50"/>
      <c r="J2" s="50"/>
      <c r="K2" s="50"/>
      <c r="L2" s="50"/>
      <c r="M2" s="50"/>
      <c r="N2" s="50"/>
      <c r="O2" s="50"/>
      <c r="P2" s="50"/>
      <c r="Q2" s="50"/>
      <c r="R2" s="50"/>
      <c r="S2" s="50"/>
      <c r="T2" s="50"/>
      <c r="U2" s="50"/>
      <c r="V2" s="50"/>
      <c r="W2" s="50"/>
      <c r="X2" s="50"/>
      <c r="Y2" s="50"/>
      <c r="Z2" s="50"/>
      <c r="AA2" s="50"/>
      <c r="AB2" s="50"/>
      <c r="AC2" s="50"/>
    </row>
    <row r="3" spans="1:31" s="48" customFormat="1" ht="25.5" customHeight="1">
      <c r="A3" s="1275" t="s">
        <v>757</v>
      </c>
      <c r="B3" s="1276"/>
      <c r="C3" s="1276"/>
      <c r="D3" s="1276"/>
      <c r="E3" s="1276"/>
      <c r="F3" s="1276"/>
      <c r="G3" s="1276"/>
      <c r="H3" s="1276"/>
      <c r="I3" s="1276"/>
      <c r="J3" s="1276"/>
      <c r="K3" s="1276"/>
      <c r="L3" s="1276"/>
      <c r="M3" s="1276"/>
      <c r="N3" s="1276"/>
      <c r="O3" s="1276"/>
      <c r="P3" s="1276"/>
      <c r="Q3" s="1276"/>
      <c r="R3" s="1276"/>
      <c r="S3" s="1276"/>
      <c r="T3" s="1276"/>
      <c r="U3" s="1276"/>
      <c r="V3" s="1276"/>
      <c r="W3" s="1276"/>
      <c r="X3" s="1276"/>
      <c r="Y3" s="1276"/>
      <c r="Z3" s="1276"/>
      <c r="AA3" s="1276"/>
      <c r="AB3" s="1276"/>
      <c r="AC3" s="54"/>
    </row>
    <row r="4" spans="1:31" s="59" customFormat="1" ht="13.5" customHeight="1">
      <c r="A4" s="55"/>
      <c r="B4" s="56"/>
      <c r="C4" s="54"/>
      <c r="D4" s="54"/>
      <c r="E4" s="54"/>
      <c r="F4" s="54"/>
      <c r="G4" s="54"/>
      <c r="H4" s="57"/>
      <c r="I4" s="54"/>
      <c r="J4" s="57"/>
      <c r="K4" s="57"/>
      <c r="L4" s="54"/>
      <c r="M4" s="58"/>
      <c r="N4" s="58"/>
      <c r="O4" s="58"/>
      <c r="P4" s="58"/>
      <c r="Q4" s="58"/>
      <c r="R4" s="58"/>
      <c r="S4" s="58"/>
      <c r="T4" s="58"/>
      <c r="U4" s="58"/>
      <c r="V4" s="58"/>
      <c r="W4" s="58"/>
      <c r="X4" s="57"/>
      <c r="Y4" s="54"/>
      <c r="Z4" s="57"/>
      <c r="AA4" s="54"/>
      <c r="AB4" s="57"/>
      <c r="AC4" s="54"/>
      <c r="AD4" s="57"/>
      <c r="AE4" s="54"/>
    </row>
    <row r="5" spans="1:31" ht="19.149999999999999" thickBot="1">
      <c r="B5" s="60"/>
    </row>
    <row r="6" spans="1:31" ht="23.25" customHeight="1">
      <c r="A6" s="1277"/>
      <c r="B6" s="1279" t="s">
        <v>25</v>
      </c>
      <c r="C6" s="1281" t="s">
        <v>153</v>
      </c>
      <c r="D6" s="1283" t="s">
        <v>302</v>
      </c>
      <c r="E6" s="1284"/>
      <c r="F6" s="1283" t="s">
        <v>303</v>
      </c>
      <c r="G6" s="1284"/>
      <c r="H6" s="1283" t="s">
        <v>304</v>
      </c>
      <c r="I6" s="1284"/>
      <c r="J6" s="1283" t="s">
        <v>305</v>
      </c>
      <c r="K6" s="1284"/>
      <c r="L6" s="1283" t="s">
        <v>306</v>
      </c>
      <c r="M6" s="1284"/>
      <c r="N6" s="1283" t="s">
        <v>307</v>
      </c>
      <c r="O6" s="1284"/>
      <c r="P6" s="1283" t="s">
        <v>308</v>
      </c>
      <c r="Q6" s="1284"/>
      <c r="R6" s="1283" t="s">
        <v>309</v>
      </c>
      <c r="S6" s="1284"/>
      <c r="T6" s="1283" t="s">
        <v>310</v>
      </c>
      <c r="U6" s="1284"/>
      <c r="V6" s="1293" t="s">
        <v>690</v>
      </c>
      <c r="W6" s="1294"/>
      <c r="X6" s="1288" t="s">
        <v>311</v>
      </c>
      <c r="Y6" s="1294"/>
      <c r="Z6" s="1288" t="s">
        <v>312</v>
      </c>
      <c r="AA6" s="1289"/>
      <c r="AB6" s="281" t="s">
        <v>154</v>
      </c>
      <c r="AC6" s="1279" t="s">
        <v>26</v>
      </c>
    </row>
    <row r="7" spans="1:31" ht="23.25" customHeight="1" thickBot="1">
      <c r="A7" s="1278"/>
      <c r="B7" s="1280"/>
      <c r="C7" s="1282"/>
      <c r="D7" s="862" t="s">
        <v>27</v>
      </c>
      <c r="E7" s="863" t="s">
        <v>28</v>
      </c>
      <c r="F7" s="862" t="s">
        <v>27</v>
      </c>
      <c r="G7" s="863" t="s">
        <v>28</v>
      </c>
      <c r="H7" s="862" t="s">
        <v>27</v>
      </c>
      <c r="I7" s="863" t="s">
        <v>28</v>
      </c>
      <c r="J7" s="862" t="s">
        <v>27</v>
      </c>
      <c r="K7" s="863" t="s">
        <v>28</v>
      </c>
      <c r="L7" s="862" t="s">
        <v>27</v>
      </c>
      <c r="M7" s="863" t="s">
        <v>28</v>
      </c>
      <c r="N7" s="862" t="s">
        <v>27</v>
      </c>
      <c r="O7" s="863" t="s">
        <v>28</v>
      </c>
      <c r="P7" s="862" t="s">
        <v>27</v>
      </c>
      <c r="Q7" s="863" t="s">
        <v>28</v>
      </c>
      <c r="R7" s="862" t="s">
        <v>27</v>
      </c>
      <c r="S7" s="863" t="s">
        <v>28</v>
      </c>
      <c r="T7" s="862" t="s">
        <v>27</v>
      </c>
      <c r="U7" s="863" t="s">
        <v>28</v>
      </c>
      <c r="V7" s="282" t="s">
        <v>27</v>
      </c>
      <c r="W7" s="283" t="s">
        <v>28</v>
      </c>
      <c r="X7" s="282" t="s">
        <v>27</v>
      </c>
      <c r="Y7" s="283" t="s">
        <v>28</v>
      </c>
      <c r="Z7" s="284" t="s">
        <v>27</v>
      </c>
      <c r="AA7" s="285" t="s">
        <v>28</v>
      </c>
      <c r="AB7" s="286" t="s">
        <v>29</v>
      </c>
      <c r="AC7" s="1280"/>
    </row>
    <row r="8" spans="1:31" ht="23.25" customHeight="1">
      <c r="A8" s="1287" t="s">
        <v>98</v>
      </c>
      <c r="B8" s="287" t="s">
        <v>99</v>
      </c>
      <c r="C8" s="288" t="s">
        <v>30</v>
      </c>
      <c r="D8" s="371" t="s">
        <v>119</v>
      </c>
      <c r="E8" s="290" t="s">
        <v>361</v>
      </c>
      <c r="F8" s="373" t="s">
        <v>119</v>
      </c>
      <c r="G8" s="290"/>
      <c r="H8" s="373" t="s">
        <v>119</v>
      </c>
      <c r="I8" s="290"/>
      <c r="J8" s="373" t="s">
        <v>119</v>
      </c>
      <c r="K8" s="290"/>
      <c r="L8" s="373" t="s">
        <v>119</v>
      </c>
      <c r="M8" s="290"/>
      <c r="N8" s="373" t="s">
        <v>119</v>
      </c>
      <c r="O8" s="290"/>
      <c r="P8" s="373" t="s">
        <v>119</v>
      </c>
      <c r="Q8" s="290"/>
      <c r="R8" s="373" t="s">
        <v>119</v>
      </c>
      <c r="S8" s="290"/>
      <c r="T8" s="373" t="s">
        <v>119</v>
      </c>
      <c r="U8" s="290"/>
      <c r="V8" s="289" t="s">
        <v>119</v>
      </c>
      <c r="W8" s="290"/>
      <c r="X8" s="289" t="s">
        <v>119</v>
      </c>
      <c r="Y8" s="290"/>
      <c r="Z8" s="289" t="s">
        <v>119</v>
      </c>
      <c r="AA8" s="290"/>
      <c r="AB8" s="292" t="s">
        <v>147</v>
      </c>
      <c r="AC8" s="293"/>
      <c r="AD8" s="77"/>
    </row>
    <row r="9" spans="1:31" ht="23.25" customHeight="1">
      <c r="A9" s="1285"/>
      <c r="B9" s="294" t="s">
        <v>100</v>
      </c>
      <c r="C9" s="295" t="s">
        <v>30</v>
      </c>
      <c r="D9" s="374" t="s">
        <v>119</v>
      </c>
      <c r="E9" s="297" t="s">
        <v>361</v>
      </c>
      <c r="F9" s="376" t="s">
        <v>119</v>
      </c>
      <c r="G9" s="297"/>
      <c r="H9" s="376" t="s">
        <v>119</v>
      </c>
      <c r="I9" s="885"/>
      <c r="J9" s="376" t="s">
        <v>119</v>
      </c>
      <c r="K9" s="885"/>
      <c r="L9" s="376" t="s">
        <v>119</v>
      </c>
      <c r="M9" s="885"/>
      <c r="N9" s="376" t="s">
        <v>119</v>
      </c>
      <c r="O9" s="885"/>
      <c r="P9" s="376" t="s">
        <v>119</v>
      </c>
      <c r="Q9" s="885"/>
      <c r="R9" s="376" t="s">
        <v>119</v>
      </c>
      <c r="S9" s="885"/>
      <c r="T9" s="376" t="s">
        <v>119</v>
      </c>
      <c r="U9" s="885"/>
      <c r="V9" s="296" t="s">
        <v>119</v>
      </c>
      <c r="W9" s="885"/>
      <c r="X9" s="296" t="s">
        <v>119</v>
      </c>
      <c r="Y9" s="885"/>
      <c r="Z9" s="296" t="s">
        <v>119</v>
      </c>
      <c r="AA9" s="885"/>
      <c r="AB9" s="299" t="s">
        <v>147</v>
      </c>
      <c r="AC9" s="300"/>
    </row>
    <row r="10" spans="1:31" ht="23.25" customHeight="1">
      <c r="A10" s="1285"/>
      <c r="B10" s="294" t="s">
        <v>32</v>
      </c>
      <c r="C10" s="295" t="s">
        <v>30</v>
      </c>
      <c r="D10" s="374" t="s">
        <v>119</v>
      </c>
      <c r="E10" s="297" t="s">
        <v>361</v>
      </c>
      <c r="F10" s="376" t="s">
        <v>119</v>
      </c>
      <c r="G10" s="297"/>
      <c r="H10" s="376" t="s">
        <v>119</v>
      </c>
      <c r="I10" s="885"/>
      <c r="J10" s="376" t="s">
        <v>119</v>
      </c>
      <c r="K10" s="885"/>
      <c r="L10" s="376" t="s">
        <v>119</v>
      </c>
      <c r="M10" s="885"/>
      <c r="N10" s="376" t="s">
        <v>119</v>
      </c>
      <c r="O10" s="885"/>
      <c r="P10" s="376" t="s">
        <v>119</v>
      </c>
      <c r="Q10" s="885"/>
      <c r="R10" s="376" t="s">
        <v>119</v>
      </c>
      <c r="S10" s="885"/>
      <c r="T10" s="376" t="s">
        <v>119</v>
      </c>
      <c r="U10" s="885"/>
      <c r="V10" s="296" t="s">
        <v>119</v>
      </c>
      <c r="W10" s="885"/>
      <c r="X10" s="296" t="s">
        <v>119</v>
      </c>
      <c r="Y10" s="885"/>
      <c r="Z10" s="296" t="s">
        <v>119</v>
      </c>
      <c r="AA10" s="885"/>
      <c r="AB10" s="299" t="s">
        <v>313</v>
      </c>
      <c r="AC10" s="301" t="s">
        <v>33</v>
      </c>
      <c r="AD10" s="77"/>
    </row>
    <row r="11" spans="1:31" ht="23.25" customHeight="1" thickBot="1">
      <c r="A11" s="1286"/>
      <c r="B11" s="302" t="s">
        <v>101</v>
      </c>
      <c r="C11" s="303" t="s">
        <v>30</v>
      </c>
      <c r="D11" s="327" t="s">
        <v>119</v>
      </c>
      <c r="E11" s="305" t="s">
        <v>361</v>
      </c>
      <c r="F11" s="347" t="s">
        <v>119</v>
      </c>
      <c r="G11" s="305"/>
      <c r="H11" s="347" t="s">
        <v>119</v>
      </c>
      <c r="I11" s="305"/>
      <c r="J11" s="347" t="s">
        <v>119</v>
      </c>
      <c r="K11" s="305"/>
      <c r="L11" s="347" t="s">
        <v>119</v>
      </c>
      <c r="M11" s="305"/>
      <c r="N11" s="347" t="s">
        <v>119</v>
      </c>
      <c r="O11" s="305"/>
      <c r="P11" s="347" t="s">
        <v>119</v>
      </c>
      <c r="Q11" s="305"/>
      <c r="R11" s="347" t="s">
        <v>119</v>
      </c>
      <c r="S11" s="305"/>
      <c r="T11" s="347" t="s">
        <v>119</v>
      </c>
      <c r="U11" s="305"/>
      <c r="V11" s="304" t="s">
        <v>119</v>
      </c>
      <c r="W11" s="305"/>
      <c r="X11" s="304" t="s">
        <v>119</v>
      </c>
      <c r="Y11" s="305"/>
      <c r="Z11" s="304" t="s">
        <v>119</v>
      </c>
      <c r="AA11" s="305"/>
      <c r="AB11" s="307" t="s">
        <v>314</v>
      </c>
      <c r="AC11" s="308"/>
      <c r="AD11" s="78"/>
    </row>
    <row r="12" spans="1:31" ht="23.25" customHeight="1">
      <c r="A12" s="1290" t="s">
        <v>34</v>
      </c>
      <c r="B12" s="309" t="s">
        <v>35</v>
      </c>
      <c r="C12" s="310" t="s">
        <v>120</v>
      </c>
      <c r="D12" s="378"/>
      <c r="E12" s="379"/>
      <c r="F12" s="380"/>
      <c r="G12" s="379"/>
      <c r="H12" s="380"/>
      <c r="I12" s="379"/>
      <c r="J12" s="380"/>
      <c r="K12" s="379"/>
      <c r="L12" s="380"/>
      <c r="M12" s="379"/>
      <c r="N12" s="380" t="s">
        <v>148</v>
      </c>
      <c r="O12" s="379"/>
      <c r="P12" s="373"/>
      <c r="Q12" s="379"/>
      <c r="R12" s="373"/>
      <c r="S12" s="379"/>
      <c r="T12" s="380"/>
      <c r="U12" s="379"/>
      <c r="V12" s="311"/>
      <c r="W12" s="291"/>
      <c r="X12" s="289"/>
      <c r="Y12" s="291"/>
      <c r="Z12" s="312"/>
      <c r="AA12" s="313"/>
      <c r="AB12" s="314" t="s">
        <v>315</v>
      </c>
      <c r="AC12" s="315" t="s">
        <v>316</v>
      </c>
    </row>
    <row r="13" spans="1:31" ht="23.25" customHeight="1">
      <c r="A13" s="1291"/>
      <c r="B13" s="316" t="s">
        <v>158</v>
      </c>
      <c r="C13" s="295" t="s">
        <v>317</v>
      </c>
      <c r="D13" s="374"/>
      <c r="E13" s="375"/>
      <c r="F13" s="376"/>
      <c r="G13" s="375"/>
      <c r="H13" s="376"/>
      <c r="I13" s="375"/>
      <c r="J13" s="376"/>
      <c r="K13" s="375"/>
      <c r="L13" s="376"/>
      <c r="M13" s="375"/>
      <c r="N13" s="376" t="s">
        <v>148</v>
      </c>
      <c r="O13" s="375"/>
      <c r="P13" s="380"/>
      <c r="Q13" s="379"/>
      <c r="R13" s="376"/>
      <c r="S13" s="379"/>
      <c r="T13" s="376"/>
      <c r="U13" s="375"/>
      <c r="V13" s="296"/>
      <c r="W13" s="298"/>
      <c r="X13" s="296"/>
      <c r="Y13" s="298"/>
      <c r="Z13" s="296"/>
      <c r="AA13" s="298"/>
      <c r="AB13" s="317" t="s">
        <v>315</v>
      </c>
      <c r="AC13" s="318" t="s">
        <v>318</v>
      </c>
    </row>
    <row r="14" spans="1:31" ht="23.25" customHeight="1">
      <c r="A14" s="1291"/>
      <c r="B14" s="319" t="s">
        <v>86</v>
      </c>
      <c r="C14" s="320" t="s">
        <v>319</v>
      </c>
      <c r="D14" s="378"/>
      <c r="E14" s="379"/>
      <c r="F14" s="380"/>
      <c r="G14" s="379"/>
      <c r="H14" s="381"/>
      <c r="I14" s="382"/>
      <c r="J14" s="380"/>
      <c r="K14" s="383"/>
      <c r="L14" s="380"/>
      <c r="M14" s="382"/>
      <c r="N14" s="381" t="s">
        <v>148</v>
      </c>
      <c r="O14" s="379"/>
      <c r="P14" s="380"/>
      <c r="Q14" s="379"/>
      <c r="R14" s="380"/>
      <c r="S14" s="379"/>
      <c r="T14" s="381"/>
      <c r="U14" s="379"/>
      <c r="V14" s="321"/>
      <c r="W14" s="313"/>
      <c r="X14" s="312"/>
      <c r="Y14" s="313"/>
      <c r="Z14" s="296"/>
      <c r="AA14" s="298"/>
      <c r="AB14" s="299"/>
      <c r="AC14" s="315" t="s">
        <v>316</v>
      </c>
    </row>
    <row r="15" spans="1:31" ht="23.25" customHeight="1">
      <c r="A15" s="1291"/>
      <c r="B15" s="316" t="s">
        <v>36</v>
      </c>
      <c r="C15" s="295" t="s">
        <v>159</v>
      </c>
      <c r="D15" s="374"/>
      <c r="E15" s="387"/>
      <c r="F15" s="376"/>
      <c r="G15" s="375"/>
      <c r="H15" s="376"/>
      <c r="I15" s="375"/>
      <c r="J15" s="376"/>
      <c r="K15" s="375"/>
      <c r="L15" s="376"/>
      <c r="M15" s="375"/>
      <c r="N15" s="384"/>
      <c r="O15" s="375"/>
      <c r="P15" s="385"/>
      <c r="Q15" s="386"/>
      <c r="R15" s="376"/>
      <c r="S15" s="386"/>
      <c r="T15" s="376" t="s">
        <v>150</v>
      </c>
      <c r="U15" s="375"/>
      <c r="V15" s="296"/>
      <c r="W15" s="322"/>
      <c r="X15" s="296"/>
      <c r="Y15" s="298"/>
      <c r="Z15" s="296"/>
      <c r="AA15" s="298"/>
      <c r="AB15" s="299" t="s">
        <v>320</v>
      </c>
      <c r="AC15" s="318"/>
    </row>
    <row r="16" spans="1:31" ht="23.25" customHeight="1">
      <c r="A16" s="1291"/>
      <c r="B16" s="316" t="s">
        <v>37</v>
      </c>
      <c r="C16" s="323" t="s">
        <v>321</v>
      </c>
      <c r="D16" s="374" t="s">
        <v>322</v>
      </c>
      <c r="E16" s="298" t="s">
        <v>361</v>
      </c>
      <c r="F16" s="376" t="s">
        <v>150</v>
      </c>
      <c r="G16" s="387"/>
      <c r="H16" s="376" t="s">
        <v>322</v>
      </c>
      <c r="I16" s="298"/>
      <c r="J16" s="376" t="s">
        <v>322</v>
      </c>
      <c r="K16" s="298"/>
      <c r="L16" s="376" t="s">
        <v>150</v>
      </c>
      <c r="M16" s="382"/>
      <c r="N16" s="376" t="s">
        <v>322</v>
      </c>
      <c r="O16" s="298"/>
      <c r="P16" s="376" t="s">
        <v>322</v>
      </c>
      <c r="Q16" s="298"/>
      <c r="R16" s="376" t="s">
        <v>150</v>
      </c>
      <c r="S16" s="382"/>
      <c r="T16" s="376" t="s">
        <v>322</v>
      </c>
      <c r="U16" s="298"/>
      <c r="V16" s="376" t="s">
        <v>322</v>
      </c>
      <c r="W16" s="298"/>
      <c r="X16" s="376" t="s">
        <v>150</v>
      </c>
      <c r="Y16" s="324"/>
      <c r="Z16" s="376" t="s">
        <v>150</v>
      </c>
      <c r="AA16" s="324"/>
      <c r="AB16" s="299" t="s">
        <v>323</v>
      </c>
      <c r="AC16" s="325" t="s">
        <v>324</v>
      </c>
    </row>
    <row r="17" spans="1:29" ht="23.25" customHeight="1" thickBot="1">
      <c r="A17" s="1292"/>
      <c r="B17" s="326" t="s">
        <v>325</v>
      </c>
      <c r="C17" s="295" t="s">
        <v>326</v>
      </c>
      <c r="D17" s="327" t="s">
        <v>150</v>
      </c>
      <c r="E17" s="377" t="s">
        <v>758</v>
      </c>
      <c r="F17" s="327" t="s">
        <v>150</v>
      </c>
      <c r="G17" s="377"/>
      <c r="H17" s="327" t="s">
        <v>150</v>
      </c>
      <c r="I17" s="387"/>
      <c r="J17" s="327" t="s">
        <v>150</v>
      </c>
      <c r="K17" s="387"/>
      <c r="L17" s="347" t="s">
        <v>119</v>
      </c>
      <c r="M17" s="387"/>
      <c r="N17" s="327" t="s">
        <v>150</v>
      </c>
      <c r="O17" s="387"/>
      <c r="P17" s="327" t="s">
        <v>150</v>
      </c>
      <c r="Q17" s="387"/>
      <c r="R17" s="347" t="s">
        <v>119</v>
      </c>
      <c r="S17" s="387"/>
      <c r="T17" s="327" t="s">
        <v>150</v>
      </c>
      <c r="U17" s="387"/>
      <c r="V17" s="327" t="s">
        <v>150</v>
      </c>
      <c r="W17" s="324"/>
      <c r="X17" s="327" t="s">
        <v>365</v>
      </c>
      <c r="Y17" s="324"/>
      <c r="Z17" s="376" t="s">
        <v>150</v>
      </c>
      <c r="AA17" s="328"/>
      <c r="AB17" s="329" t="s">
        <v>327</v>
      </c>
      <c r="AC17" s="330" t="s">
        <v>328</v>
      </c>
    </row>
    <row r="18" spans="1:29" ht="23.25" customHeight="1">
      <c r="A18" s="1287" t="s">
        <v>38</v>
      </c>
      <c r="B18" s="331" t="s">
        <v>39</v>
      </c>
      <c r="C18" s="288" t="s">
        <v>329</v>
      </c>
      <c r="D18" s="373" t="s">
        <v>119</v>
      </c>
      <c r="E18" s="372" t="s">
        <v>759</v>
      </c>
      <c r="F18" s="373"/>
      <c r="G18" s="372"/>
      <c r="H18" s="373" t="s">
        <v>119</v>
      </c>
      <c r="I18" s="372"/>
      <c r="J18" s="373"/>
      <c r="K18" s="372"/>
      <c r="L18" s="373" t="s">
        <v>119</v>
      </c>
      <c r="M18" s="372"/>
      <c r="N18" s="373"/>
      <c r="O18" s="372"/>
      <c r="P18" s="373" t="s">
        <v>151</v>
      </c>
      <c r="Q18" s="372"/>
      <c r="R18" s="373"/>
      <c r="S18" s="372"/>
      <c r="T18" s="373" t="s">
        <v>150</v>
      </c>
      <c r="U18" s="372"/>
      <c r="V18" s="289"/>
      <c r="W18" s="291"/>
      <c r="X18" s="289" t="s">
        <v>119</v>
      </c>
      <c r="Y18" s="291"/>
      <c r="Z18" s="289"/>
      <c r="AA18" s="291"/>
      <c r="AB18" s="292" t="s">
        <v>330</v>
      </c>
      <c r="AC18" s="332" t="s">
        <v>331</v>
      </c>
    </row>
    <row r="19" spans="1:29" ht="23.25" customHeight="1">
      <c r="A19" s="1285"/>
      <c r="B19" s="333" t="s">
        <v>332</v>
      </c>
      <c r="C19" s="334" t="s">
        <v>319</v>
      </c>
      <c r="D19" s="388"/>
      <c r="E19" s="382"/>
      <c r="F19" s="389"/>
      <c r="G19" s="382"/>
      <c r="H19" s="389"/>
      <c r="I19" s="382"/>
      <c r="J19" s="389"/>
      <c r="K19" s="382"/>
      <c r="L19" s="389"/>
      <c r="M19" s="382"/>
      <c r="N19" s="389"/>
      <c r="O19" s="382"/>
      <c r="P19" s="389" t="s">
        <v>150</v>
      </c>
      <c r="Q19" s="382"/>
      <c r="R19" s="389"/>
      <c r="S19" s="382"/>
      <c r="T19" s="389"/>
      <c r="U19" s="382"/>
      <c r="V19" s="335"/>
      <c r="W19" s="336"/>
      <c r="X19" s="335"/>
      <c r="Y19" s="336"/>
      <c r="Z19" s="335"/>
      <c r="AA19" s="336"/>
      <c r="AB19" s="337" t="s">
        <v>333</v>
      </c>
      <c r="AC19" s="338"/>
    </row>
    <row r="20" spans="1:29" ht="23.25" customHeight="1" thickBot="1">
      <c r="A20" s="1286"/>
      <c r="B20" s="339" t="s">
        <v>334</v>
      </c>
      <c r="C20" s="303" t="s">
        <v>319</v>
      </c>
      <c r="D20" s="327"/>
      <c r="E20" s="377"/>
      <c r="F20" s="347"/>
      <c r="G20" s="377"/>
      <c r="H20" s="347"/>
      <c r="I20" s="377"/>
      <c r="J20" s="347"/>
      <c r="K20" s="377"/>
      <c r="L20" s="347"/>
      <c r="M20" s="377"/>
      <c r="N20" s="347"/>
      <c r="O20" s="377"/>
      <c r="P20" s="347" t="s">
        <v>685</v>
      </c>
      <c r="Q20" s="377"/>
      <c r="R20" s="347"/>
      <c r="S20" s="377"/>
      <c r="T20" s="347"/>
      <c r="U20" s="377"/>
      <c r="V20" s="304"/>
      <c r="W20" s="306"/>
      <c r="X20" s="304"/>
      <c r="Y20" s="306"/>
      <c r="Z20" s="304"/>
      <c r="AA20" s="328"/>
      <c r="AB20" s="340" t="s">
        <v>333</v>
      </c>
      <c r="AC20" s="341" t="s">
        <v>335</v>
      </c>
    </row>
    <row r="21" spans="1:29" ht="23.25" customHeight="1">
      <c r="A21" s="1287" t="s">
        <v>22</v>
      </c>
      <c r="B21" s="342" t="s">
        <v>40</v>
      </c>
      <c r="C21" s="288" t="s">
        <v>156</v>
      </c>
      <c r="D21" s="376" t="s">
        <v>119</v>
      </c>
      <c r="E21" s="291" t="s">
        <v>361</v>
      </c>
      <c r="F21" s="373" t="s">
        <v>150</v>
      </c>
      <c r="G21" s="291"/>
      <c r="H21" s="376" t="s">
        <v>119</v>
      </c>
      <c r="I21" s="291"/>
      <c r="J21" s="376" t="s">
        <v>119</v>
      </c>
      <c r="K21" s="291"/>
      <c r="L21" s="376" t="s">
        <v>119</v>
      </c>
      <c r="M21" s="291"/>
      <c r="N21" s="376" t="s">
        <v>151</v>
      </c>
      <c r="O21" s="372"/>
      <c r="P21" s="376" t="s">
        <v>119</v>
      </c>
      <c r="Q21" s="372"/>
      <c r="R21" s="376" t="s">
        <v>119</v>
      </c>
      <c r="S21" s="372"/>
      <c r="T21" s="376" t="s">
        <v>119</v>
      </c>
      <c r="U21" s="372"/>
      <c r="V21" s="296" t="s">
        <v>119</v>
      </c>
      <c r="W21" s="291"/>
      <c r="X21" s="296" t="s">
        <v>119</v>
      </c>
      <c r="Y21" s="291"/>
      <c r="Z21" s="296" t="s">
        <v>150</v>
      </c>
      <c r="AA21" s="291"/>
      <c r="AB21" s="292" t="s">
        <v>336</v>
      </c>
      <c r="AC21" s="343" t="s">
        <v>337</v>
      </c>
    </row>
    <row r="22" spans="1:29" ht="23.25" customHeight="1">
      <c r="A22" s="1285"/>
      <c r="B22" s="333" t="s">
        <v>41</v>
      </c>
      <c r="C22" s="334" t="s">
        <v>338</v>
      </c>
      <c r="D22" s="388"/>
      <c r="E22" s="382"/>
      <c r="F22" s="376"/>
      <c r="G22" s="382"/>
      <c r="H22" s="380" t="s">
        <v>150</v>
      </c>
      <c r="I22" s="379"/>
      <c r="J22" s="389"/>
      <c r="K22" s="390"/>
      <c r="L22" s="376"/>
      <c r="M22" s="379"/>
      <c r="N22" s="380" t="s">
        <v>150</v>
      </c>
      <c r="O22" s="379"/>
      <c r="P22" s="389"/>
      <c r="Q22" s="390"/>
      <c r="R22" s="376"/>
      <c r="S22" s="379"/>
      <c r="T22" s="380" t="s">
        <v>150</v>
      </c>
      <c r="U22" s="379"/>
      <c r="V22" s="335"/>
      <c r="W22" s="344"/>
      <c r="X22" s="296"/>
      <c r="Y22" s="336"/>
      <c r="Z22" s="312" t="s">
        <v>150</v>
      </c>
      <c r="AA22" s="345"/>
      <c r="AB22" s="314" t="s">
        <v>339</v>
      </c>
      <c r="AC22" s="346"/>
    </row>
    <row r="23" spans="1:29" ht="23.25" customHeight="1" thickBot="1">
      <c r="A23" s="1286"/>
      <c r="B23" s="339" t="s">
        <v>155</v>
      </c>
      <c r="C23" s="303" t="s">
        <v>105</v>
      </c>
      <c r="D23" s="327"/>
      <c r="E23" s="377"/>
      <c r="F23" s="347" t="s">
        <v>150</v>
      </c>
      <c r="G23" s="377"/>
      <c r="H23" s="347"/>
      <c r="I23" s="377"/>
      <c r="J23" s="347" t="s">
        <v>150</v>
      </c>
      <c r="K23" s="377"/>
      <c r="L23" s="347"/>
      <c r="M23" s="377"/>
      <c r="N23" s="347" t="s">
        <v>150</v>
      </c>
      <c r="O23" s="347"/>
      <c r="P23" s="347"/>
      <c r="Q23" s="391"/>
      <c r="R23" s="347" t="s">
        <v>150</v>
      </c>
      <c r="S23" s="377"/>
      <c r="T23" s="347"/>
      <c r="U23" s="377"/>
      <c r="V23" s="347" t="s">
        <v>150</v>
      </c>
      <c r="W23" s="348"/>
      <c r="X23" s="347"/>
      <c r="Y23" s="306"/>
      <c r="Z23" s="347" t="s">
        <v>150</v>
      </c>
      <c r="AA23" s="306"/>
      <c r="AB23" s="340" t="s">
        <v>340</v>
      </c>
      <c r="AC23" s="349"/>
    </row>
    <row r="24" spans="1:29" ht="23.25" customHeight="1">
      <c r="A24" s="1285" t="s">
        <v>87</v>
      </c>
      <c r="B24" s="294" t="s">
        <v>85</v>
      </c>
      <c r="C24" s="350" t="s">
        <v>60</v>
      </c>
      <c r="D24" s="374"/>
      <c r="E24" s="375"/>
      <c r="F24" s="376"/>
      <c r="G24" s="375"/>
      <c r="H24" s="376"/>
      <c r="I24" s="375"/>
      <c r="J24" s="376"/>
      <c r="K24" s="375"/>
      <c r="L24" s="392"/>
      <c r="M24" s="375"/>
      <c r="N24" s="376"/>
      <c r="O24" s="375"/>
      <c r="P24" s="376" t="s">
        <v>150</v>
      </c>
      <c r="Q24" s="375"/>
      <c r="R24" s="376"/>
      <c r="S24" s="375"/>
      <c r="T24" s="376"/>
      <c r="U24" s="375"/>
      <c r="V24" s="296"/>
      <c r="W24" s="298"/>
      <c r="X24" s="296"/>
      <c r="Y24" s="298"/>
      <c r="Z24" s="296"/>
      <c r="AA24" s="298"/>
      <c r="AB24" s="299" t="s">
        <v>341</v>
      </c>
      <c r="AC24" s="351"/>
    </row>
    <row r="25" spans="1:29" ht="23.25" customHeight="1" thickBot="1">
      <c r="A25" s="1286"/>
      <c r="B25" s="302" t="s">
        <v>342</v>
      </c>
      <c r="C25" s="352" t="s">
        <v>321</v>
      </c>
      <c r="D25" s="347" t="s">
        <v>119</v>
      </c>
      <c r="E25" s="377" t="s">
        <v>763</v>
      </c>
      <c r="F25" s="347" t="s">
        <v>119</v>
      </c>
      <c r="G25" s="377"/>
      <c r="H25" s="347" t="s">
        <v>151</v>
      </c>
      <c r="I25" s="377"/>
      <c r="J25" s="347" t="s">
        <v>119</v>
      </c>
      <c r="K25" s="377"/>
      <c r="L25" s="347" t="s">
        <v>119</v>
      </c>
      <c r="M25" s="377"/>
      <c r="N25" s="347" t="s">
        <v>119</v>
      </c>
      <c r="O25" s="377"/>
      <c r="P25" s="347" t="s">
        <v>119</v>
      </c>
      <c r="Q25" s="377"/>
      <c r="R25" s="347" t="s">
        <v>119</v>
      </c>
      <c r="S25" s="377"/>
      <c r="T25" s="347" t="s">
        <v>151</v>
      </c>
      <c r="U25" s="377"/>
      <c r="V25" s="304" t="s">
        <v>119</v>
      </c>
      <c r="W25" s="306"/>
      <c r="X25" s="304" t="s">
        <v>119</v>
      </c>
      <c r="Y25" s="306"/>
      <c r="Z25" s="304" t="s">
        <v>119</v>
      </c>
      <c r="AA25" s="306"/>
      <c r="AB25" s="340" t="s">
        <v>343</v>
      </c>
      <c r="AC25" s="341" t="s">
        <v>344</v>
      </c>
    </row>
    <row r="26" spans="1:29" ht="23.25" customHeight="1">
      <c r="A26" s="1285" t="s">
        <v>24</v>
      </c>
      <c r="B26" s="319" t="s">
        <v>42</v>
      </c>
      <c r="C26" s="320" t="s">
        <v>159</v>
      </c>
      <c r="D26" s="371"/>
      <c r="E26" s="372"/>
      <c r="F26" s="373"/>
      <c r="G26" s="372"/>
      <c r="H26" s="373" t="s">
        <v>150</v>
      </c>
      <c r="I26" s="372"/>
      <c r="J26" s="373"/>
      <c r="K26" s="372"/>
      <c r="L26" s="373"/>
      <c r="M26" s="372"/>
      <c r="N26" s="373"/>
      <c r="O26" s="372"/>
      <c r="P26" s="373"/>
      <c r="Q26" s="379"/>
      <c r="R26" s="373"/>
      <c r="S26" s="379"/>
      <c r="T26" s="373" t="s">
        <v>151</v>
      </c>
      <c r="U26" s="372"/>
      <c r="V26" s="289"/>
      <c r="W26" s="313"/>
      <c r="X26" s="289"/>
      <c r="Y26" s="313"/>
      <c r="Z26" s="289"/>
      <c r="AA26" s="313"/>
      <c r="AB26" s="314" t="s">
        <v>345</v>
      </c>
      <c r="AC26" s="315" t="s">
        <v>346</v>
      </c>
    </row>
    <row r="27" spans="1:29" ht="23.25" customHeight="1" thickBot="1">
      <c r="A27" s="1285"/>
      <c r="B27" s="294" t="s">
        <v>43</v>
      </c>
      <c r="C27" s="295" t="s">
        <v>347</v>
      </c>
      <c r="D27" s="374"/>
      <c r="E27" s="375"/>
      <c r="F27" s="376"/>
      <c r="G27" s="375"/>
      <c r="H27" s="393"/>
      <c r="I27" s="387"/>
      <c r="J27" s="376"/>
      <c r="K27" s="394"/>
      <c r="L27" s="376"/>
      <c r="M27" s="387"/>
      <c r="N27" s="393"/>
      <c r="O27" s="375"/>
      <c r="P27" s="376"/>
      <c r="Q27" s="375"/>
      <c r="R27" s="376"/>
      <c r="S27" s="375"/>
      <c r="T27" s="393"/>
      <c r="U27" s="375"/>
      <c r="V27" s="296"/>
      <c r="W27" s="298"/>
      <c r="X27" s="296"/>
      <c r="Y27" s="298"/>
      <c r="Z27" s="353"/>
      <c r="AA27" s="298"/>
      <c r="AB27" s="299" t="s">
        <v>348</v>
      </c>
      <c r="AC27" s="354" t="s">
        <v>349</v>
      </c>
    </row>
    <row r="28" spans="1:29" ht="23.25" customHeight="1">
      <c r="A28" s="1287" t="s">
        <v>23</v>
      </c>
      <c r="B28" s="355" t="s">
        <v>350</v>
      </c>
      <c r="C28" s="356" t="s">
        <v>321</v>
      </c>
      <c r="D28" s="373" t="s">
        <v>119</v>
      </c>
      <c r="E28" s="372" t="s">
        <v>764</v>
      </c>
      <c r="F28" s="373" t="s">
        <v>119</v>
      </c>
      <c r="G28" s="372"/>
      <c r="H28" s="373" t="s">
        <v>119</v>
      </c>
      <c r="I28" s="372"/>
      <c r="J28" s="373" t="s">
        <v>119</v>
      </c>
      <c r="K28" s="372"/>
      <c r="L28" s="373" t="s">
        <v>119</v>
      </c>
      <c r="M28" s="372"/>
      <c r="N28" s="373" t="s">
        <v>119</v>
      </c>
      <c r="O28" s="372"/>
      <c r="P28" s="373" t="s">
        <v>119</v>
      </c>
      <c r="Q28" s="372"/>
      <c r="R28" s="373" t="s">
        <v>119</v>
      </c>
      <c r="S28" s="372"/>
      <c r="T28" s="289" t="s">
        <v>150</v>
      </c>
      <c r="U28" s="372"/>
      <c r="V28" s="289"/>
      <c r="W28" s="291"/>
      <c r="X28" s="289" t="s">
        <v>150</v>
      </c>
      <c r="Y28" s="291"/>
      <c r="Z28" s="289"/>
      <c r="AA28" s="291"/>
      <c r="AB28" s="292" t="s">
        <v>147</v>
      </c>
      <c r="AC28" s="357" t="s">
        <v>351</v>
      </c>
    </row>
    <row r="29" spans="1:29" ht="23.25" customHeight="1">
      <c r="A29" s="1285"/>
      <c r="B29" s="358" t="s">
        <v>62</v>
      </c>
      <c r="C29" s="350" t="s">
        <v>321</v>
      </c>
      <c r="D29" s="376" t="s">
        <v>119</v>
      </c>
      <c r="E29" s="394" t="s">
        <v>765</v>
      </c>
      <c r="F29" s="376" t="s">
        <v>119</v>
      </c>
      <c r="G29" s="394"/>
      <c r="H29" s="376" t="s">
        <v>119</v>
      </c>
      <c r="I29" s="375"/>
      <c r="J29" s="376" t="s">
        <v>119</v>
      </c>
      <c r="K29" s="375"/>
      <c r="L29" s="376" t="s">
        <v>119</v>
      </c>
      <c r="M29" s="375"/>
      <c r="N29" s="376" t="s">
        <v>119</v>
      </c>
      <c r="O29" s="375"/>
      <c r="P29" s="376" t="s">
        <v>119</v>
      </c>
      <c r="Q29" s="375"/>
      <c r="R29" s="376" t="s">
        <v>119</v>
      </c>
      <c r="S29" s="375"/>
      <c r="T29" s="376" t="s">
        <v>119</v>
      </c>
      <c r="U29" s="375"/>
      <c r="V29" s="296" t="s">
        <v>119</v>
      </c>
      <c r="W29" s="298"/>
      <c r="X29" s="296" t="s">
        <v>119</v>
      </c>
      <c r="Y29" s="298"/>
      <c r="Z29" s="296" t="s">
        <v>119</v>
      </c>
      <c r="AA29" s="359"/>
      <c r="AB29" s="325" t="s">
        <v>352</v>
      </c>
      <c r="AC29" s="301"/>
    </row>
    <row r="30" spans="1:29" ht="23.25" customHeight="1">
      <c r="A30" s="1285"/>
      <c r="B30" s="360" t="s">
        <v>353</v>
      </c>
      <c r="C30" s="295" t="s">
        <v>354</v>
      </c>
      <c r="D30" s="392"/>
      <c r="E30" s="387"/>
      <c r="F30" s="392"/>
      <c r="G30" s="387"/>
      <c r="H30" s="376"/>
      <c r="I30" s="387"/>
      <c r="J30" s="392" t="s">
        <v>150</v>
      </c>
      <c r="K30" s="387"/>
      <c r="L30" s="385"/>
      <c r="M30" s="386"/>
      <c r="N30" s="376"/>
      <c r="O30" s="375"/>
      <c r="P30" s="376"/>
      <c r="Q30" s="375"/>
      <c r="R30" s="376" t="s">
        <v>150</v>
      </c>
      <c r="S30" s="375"/>
      <c r="T30" s="385"/>
      <c r="U30" s="386"/>
      <c r="V30" s="296"/>
      <c r="W30" s="298"/>
      <c r="X30" s="296"/>
      <c r="Y30" s="298"/>
      <c r="Z30" s="296" t="s">
        <v>150</v>
      </c>
      <c r="AA30" s="298"/>
      <c r="AB30" s="299" t="s">
        <v>352</v>
      </c>
      <c r="AC30" s="300"/>
    </row>
    <row r="31" spans="1:29" ht="23.25" customHeight="1">
      <c r="A31" s="1285"/>
      <c r="B31" s="361" t="s">
        <v>44</v>
      </c>
      <c r="C31" s="295" t="s">
        <v>321</v>
      </c>
      <c r="D31" s="376" t="s">
        <v>119</v>
      </c>
      <c r="E31" s="394" t="s">
        <v>759</v>
      </c>
      <c r="F31" s="376" t="s">
        <v>119</v>
      </c>
      <c r="G31" s="394"/>
      <c r="H31" s="376" t="s">
        <v>119</v>
      </c>
      <c r="I31" s="375"/>
      <c r="J31" s="376" t="s">
        <v>119</v>
      </c>
      <c r="K31" s="375"/>
      <c r="L31" s="376" t="s">
        <v>119</v>
      </c>
      <c r="M31" s="375"/>
      <c r="N31" s="376" t="s">
        <v>119</v>
      </c>
      <c r="O31" s="375"/>
      <c r="P31" s="376" t="s">
        <v>119</v>
      </c>
      <c r="Q31" s="375"/>
      <c r="R31" s="376" t="s">
        <v>119</v>
      </c>
      <c r="S31" s="375"/>
      <c r="T31" s="376" t="s">
        <v>119</v>
      </c>
      <c r="U31" s="375"/>
      <c r="V31" s="296" t="s">
        <v>119</v>
      </c>
      <c r="W31" s="298"/>
      <c r="X31" s="296" t="s">
        <v>119</v>
      </c>
      <c r="Y31" s="298"/>
      <c r="Z31" s="296" t="s">
        <v>119</v>
      </c>
      <c r="AA31" s="359"/>
      <c r="AB31" s="362" t="s">
        <v>355</v>
      </c>
      <c r="AC31" s="300"/>
    </row>
    <row r="32" spans="1:29" ht="23.25" customHeight="1">
      <c r="A32" s="1285"/>
      <c r="B32" s="361" t="s">
        <v>45</v>
      </c>
      <c r="C32" s="320" t="s">
        <v>60</v>
      </c>
      <c r="D32" s="374"/>
      <c r="E32" s="375"/>
      <c r="F32" s="376"/>
      <c r="G32" s="375"/>
      <c r="H32" s="376"/>
      <c r="I32" s="375"/>
      <c r="J32" s="376"/>
      <c r="K32" s="375"/>
      <c r="L32" s="376"/>
      <c r="M32" s="375"/>
      <c r="N32" s="376"/>
      <c r="O32" s="375"/>
      <c r="P32" s="376"/>
      <c r="Q32" s="375"/>
      <c r="R32" s="376"/>
      <c r="S32" s="375"/>
      <c r="T32" s="385" t="s">
        <v>119</v>
      </c>
      <c r="U32" s="375"/>
      <c r="V32" s="296"/>
      <c r="W32" s="298"/>
      <c r="X32" s="296"/>
      <c r="Y32" s="298"/>
      <c r="Z32" s="296"/>
      <c r="AA32" s="298"/>
      <c r="AB32" s="299" t="s">
        <v>356</v>
      </c>
      <c r="AC32" s="300"/>
    </row>
    <row r="33" spans="1:30" ht="23.25" customHeight="1">
      <c r="A33" s="1285"/>
      <c r="B33" s="363" t="s">
        <v>357</v>
      </c>
      <c r="C33" s="323" t="s">
        <v>338</v>
      </c>
      <c r="D33" s="395"/>
      <c r="E33" s="375"/>
      <c r="F33" s="376"/>
      <c r="G33" s="375"/>
      <c r="H33" s="376" t="s">
        <v>150</v>
      </c>
      <c r="I33" s="375"/>
      <c r="J33" s="376"/>
      <c r="K33" s="375"/>
      <c r="L33" s="376"/>
      <c r="M33" s="375"/>
      <c r="N33" s="376"/>
      <c r="O33" s="375"/>
      <c r="P33" s="376"/>
      <c r="Q33" s="375"/>
      <c r="R33" s="376"/>
      <c r="S33" s="375"/>
      <c r="T33" s="376" t="s">
        <v>150</v>
      </c>
      <c r="U33" s="375"/>
      <c r="V33" s="296"/>
      <c r="W33" s="298"/>
      <c r="X33" s="296"/>
      <c r="Y33" s="298"/>
      <c r="Z33" s="364" t="s">
        <v>150</v>
      </c>
      <c r="AA33" s="324"/>
      <c r="AB33" s="365" t="s">
        <v>147</v>
      </c>
      <c r="AC33" s="366"/>
    </row>
    <row r="34" spans="1:30" ht="23.25" customHeight="1">
      <c r="A34" s="1285"/>
      <c r="B34" s="367" t="s">
        <v>358</v>
      </c>
      <c r="C34" s="323" t="s">
        <v>359</v>
      </c>
      <c r="D34" s="392" t="s">
        <v>119</v>
      </c>
      <c r="E34" s="336" t="s">
        <v>361</v>
      </c>
      <c r="F34" s="392" t="s">
        <v>119</v>
      </c>
      <c r="G34" s="336"/>
      <c r="H34" s="392" t="s">
        <v>119</v>
      </c>
      <c r="I34" s="336"/>
      <c r="J34" s="392" t="s">
        <v>119</v>
      </c>
      <c r="K34" s="336"/>
      <c r="L34" s="392" t="s">
        <v>119</v>
      </c>
      <c r="M34" s="336"/>
      <c r="N34" s="392" t="s">
        <v>119</v>
      </c>
      <c r="O34" s="336"/>
      <c r="P34" s="392" t="s">
        <v>119</v>
      </c>
      <c r="Q34" s="336"/>
      <c r="R34" s="392" t="s">
        <v>119</v>
      </c>
      <c r="S34" s="336"/>
      <c r="T34" s="392" t="s">
        <v>119</v>
      </c>
      <c r="U34" s="336"/>
      <c r="V34" s="368" t="s">
        <v>119</v>
      </c>
      <c r="W34" s="336"/>
      <c r="X34" s="368" t="s">
        <v>119</v>
      </c>
      <c r="Y34" s="336"/>
      <c r="Z34" s="368" t="s">
        <v>119</v>
      </c>
      <c r="AA34" s="359"/>
      <c r="AB34" s="329" t="s">
        <v>313</v>
      </c>
      <c r="AC34" s="366"/>
    </row>
    <row r="35" spans="1:30" ht="23.25" customHeight="1" thickBot="1">
      <c r="A35" s="1286"/>
      <c r="B35" s="339" t="s">
        <v>107</v>
      </c>
      <c r="C35" s="303" t="s">
        <v>60</v>
      </c>
      <c r="D35" s="347"/>
      <c r="E35" s="377"/>
      <c r="F35" s="347"/>
      <c r="G35" s="377"/>
      <c r="H35" s="347"/>
      <c r="I35" s="377"/>
      <c r="J35" s="347"/>
      <c r="K35" s="377"/>
      <c r="L35" s="347" t="s">
        <v>150</v>
      </c>
      <c r="M35" s="377"/>
      <c r="N35" s="347"/>
      <c r="O35" s="377"/>
      <c r="P35" s="347"/>
      <c r="Q35" s="377"/>
      <c r="R35" s="347"/>
      <c r="S35" s="377"/>
      <c r="T35" s="347"/>
      <c r="U35" s="377"/>
      <c r="V35" s="304"/>
      <c r="W35" s="306"/>
      <c r="X35" s="304"/>
      <c r="Y35" s="306"/>
      <c r="Z35" s="304"/>
      <c r="AA35" s="328"/>
      <c r="AB35" s="340" t="s">
        <v>157</v>
      </c>
      <c r="AC35" s="369" t="s">
        <v>360</v>
      </c>
    </row>
    <row r="36" spans="1:30">
      <c r="A36" s="370"/>
      <c r="B36" s="370"/>
      <c r="C36" s="370"/>
      <c r="D36" s="370"/>
      <c r="E36" s="370"/>
      <c r="F36" s="370"/>
      <c r="G36" s="370"/>
      <c r="H36" s="370"/>
      <c r="I36" s="370"/>
      <c r="J36" s="370"/>
      <c r="K36" s="370"/>
      <c r="L36" s="370"/>
      <c r="M36" s="370"/>
      <c r="N36" s="370"/>
      <c r="O36" s="370"/>
      <c r="P36" s="370"/>
      <c r="Q36" s="370"/>
      <c r="R36" s="370"/>
      <c r="S36" s="370"/>
      <c r="T36" s="370"/>
      <c r="U36" s="370"/>
      <c r="V36" s="370"/>
      <c r="W36" s="370"/>
      <c r="X36" s="370"/>
      <c r="Y36" s="370"/>
      <c r="Z36" s="370"/>
      <c r="AA36" s="370"/>
      <c r="AB36" s="370"/>
      <c r="AC36" s="370"/>
      <c r="AD36" s="61"/>
    </row>
    <row r="37" spans="1:30" ht="14.25" customHeight="1"/>
    <row r="39" spans="1:30">
      <c r="B39" s="49" t="s">
        <v>684</v>
      </c>
    </row>
  </sheetData>
  <mergeCells count="25">
    <mergeCell ref="A24:A25"/>
    <mergeCell ref="A26:A27"/>
    <mergeCell ref="A28:A35"/>
    <mergeCell ref="Z6:AA6"/>
    <mergeCell ref="AC6:AC7"/>
    <mergeCell ref="A8:A11"/>
    <mergeCell ref="A12:A17"/>
    <mergeCell ref="A18:A20"/>
    <mergeCell ref="A21:A23"/>
    <mergeCell ref="N6:O6"/>
    <mergeCell ref="P6:Q6"/>
    <mergeCell ref="R6:S6"/>
    <mergeCell ref="T6:U6"/>
    <mergeCell ref="V6:W6"/>
    <mergeCell ref="X6:Y6"/>
    <mergeCell ref="A1:AC1"/>
    <mergeCell ref="A3:AB3"/>
    <mergeCell ref="A6:A7"/>
    <mergeCell ref="B6:B7"/>
    <mergeCell ref="C6:C7"/>
    <mergeCell ref="D6:E6"/>
    <mergeCell ref="F6:G6"/>
    <mergeCell ref="H6:I6"/>
    <mergeCell ref="J6:K6"/>
    <mergeCell ref="L6:M6"/>
  </mergeCells>
  <phoneticPr fontId="8"/>
  <conditionalFormatting sqref="B17">
    <cfRule type="expression" dxfId="340" priority="5" stopIfTrue="1">
      <formula>$F17="無"</formula>
    </cfRule>
  </conditionalFormatting>
  <conditionalFormatting sqref="B17">
    <cfRule type="expression" dxfId="339" priority="4" stopIfTrue="1">
      <formula>$F17="無"</formula>
    </cfRule>
  </conditionalFormatting>
  <conditionalFormatting sqref="B17">
    <cfRule type="expression" dxfId="338" priority="3" stopIfTrue="1">
      <formula>$F17="無"</formula>
    </cfRule>
  </conditionalFormatting>
  <conditionalFormatting sqref="B17">
    <cfRule type="expression" dxfId="337" priority="2" stopIfTrue="1">
      <formula>$F17="無"</formula>
    </cfRule>
  </conditionalFormatting>
  <conditionalFormatting sqref="B17">
    <cfRule type="expression" dxfId="336" priority="1" stopIfTrue="1">
      <formula>$F17="無"</formula>
    </cfRule>
  </conditionalFormatting>
  <printOptions horizontalCentered="1" verticalCentered="1"/>
  <pageMargins left="0.59055118110236227" right="0" top="0.19685039370078741" bottom="0.19685039370078741" header="0.31496062992125984" footer="0.31496062992125984"/>
  <pageSetup paperSize="9" scale="63"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pageSetUpPr fitToPage="1"/>
  </sheetPr>
  <dimension ref="A2:AH189"/>
  <sheetViews>
    <sheetView view="pageBreakPreview" topLeftCell="H130" zoomScale="55" zoomScaleNormal="100" zoomScaleSheetLayoutView="55" workbookViewId="0">
      <selection activeCell="AG97" sqref="AG97"/>
    </sheetView>
  </sheetViews>
  <sheetFormatPr defaultColWidth="9" defaultRowHeight="12.75"/>
  <cols>
    <col min="1" max="1" width="4.59765625" style="855" customWidth="1"/>
    <col min="2" max="2" width="15.265625" style="857" customWidth="1"/>
    <col min="3" max="3" width="62.73046875" style="857" bestFit="1" customWidth="1"/>
    <col min="4" max="4" width="19.86328125" style="857" customWidth="1"/>
    <col min="5" max="8" width="25.73046875" style="857" customWidth="1"/>
    <col min="9" max="9" width="34" style="857" customWidth="1"/>
    <col min="10" max="33" width="11.265625" style="857" customWidth="1"/>
    <col min="34" max="34" width="134.3984375" style="857" bestFit="1" customWidth="1"/>
    <col min="35" max="16384" width="9" style="440"/>
  </cols>
  <sheetData>
    <row r="2" spans="1:34" ht="33" thickBot="1">
      <c r="A2" s="434" t="s">
        <v>367</v>
      </c>
      <c r="B2" s="435"/>
      <c r="C2" s="435"/>
      <c r="D2" s="435"/>
      <c r="E2" s="435"/>
      <c r="F2" s="435"/>
      <c r="G2" s="436"/>
      <c r="H2" s="437"/>
      <c r="I2" s="435"/>
      <c r="J2" s="435"/>
      <c r="K2" s="438"/>
      <c r="L2" s="435"/>
      <c r="M2" s="438"/>
      <c r="N2" s="435"/>
      <c r="O2" s="435"/>
      <c r="P2" s="435"/>
      <c r="Q2" s="435"/>
      <c r="R2" s="435"/>
      <c r="S2" s="435"/>
      <c r="T2" s="435"/>
      <c r="U2" s="435"/>
      <c r="V2" s="435"/>
      <c r="W2" s="435"/>
      <c r="X2" s="435"/>
      <c r="Y2" s="435"/>
      <c r="Z2" s="435"/>
      <c r="AA2" s="435"/>
      <c r="AB2" s="435"/>
      <c r="AC2" s="435"/>
      <c r="AD2" s="435"/>
      <c r="AE2" s="435"/>
      <c r="AF2" s="435"/>
      <c r="AG2" s="435"/>
      <c r="AH2" s="439">
        <f ca="1">TODAY()</f>
        <v>45080</v>
      </c>
    </row>
    <row r="3" spans="1:34" ht="28.15" thickTop="1">
      <c r="A3" s="441"/>
      <c r="B3" s="442"/>
      <c r="C3" s="442"/>
      <c r="D3" s="442"/>
      <c r="E3" s="442"/>
      <c r="F3" s="442"/>
      <c r="G3" s="442"/>
      <c r="H3" s="442"/>
      <c r="I3" s="442"/>
      <c r="J3" s="442"/>
      <c r="K3" s="443"/>
      <c r="L3" s="442"/>
      <c r="M3" s="443"/>
      <c r="N3" s="442"/>
      <c r="O3" s="442"/>
      <c r="P3" s="442"/>
      <c r="Q3" s="442"/>
      <c r="R3" s="442"/>
      <c r="S3" s="442"/>
      <c r="T3" s="442"/>
      <c r="U3" s="442"/>
      <c r="V3" s="442"/>
      <c r="W3" s="442"/>
      <c r="X3" s="442"/>
      <c r="Y3" s="442"/>
      <c r="Z3" s="442"/>
      <c r="AA3" s="442"/>
      <c r="AB3" s="442"/>
      <c r="AC3" s="442"/>
      <c r="AD3" s="442"/>
      <c r="AE3" s="442"/>
      <c r="AF3" s="442"/>
      <c r="AG3" s="442"/>
      <c r="AH3" s="442"/>
    </row>
    <row r="4" spans="1:34" ht="28.5" customHeight="1" thickBot="1">
      <c r="A4" s="444"/>
      <c r="B4" s="445" t="s">
        <v>368</v>
      </c>
      <c r="C4" s="446"/>
      <c r="D4" s="446"/>
      <c r="E4" s="446"/>
      <c r="F4" s="446"/>
      <c r="G4" s="446"/>
      <c r="H4" s="446"/>
      <c r="I4" s="446"/>
      <c r="J4" s="446"/>
      <c r="K4" s="446"/>
      <c r="L4" s="446"/>
      <c r="M4" s="446"/>
      <c r="N4" s="446"/>
      <c r="O4" s="446"/>
      <c r="P4" s="446"/>
      <c r="Q4" s="446"/>
      <c r="R4" s="446"/>
      <c r="S4" s="446"/>
      <c r="T4" s="446"/>
      <c r="U4" s="446"/>
      <c r="V4" s="446"/>
      <c r="W4" s="446"/>
      <c r="X4" s="446"/>
      <c r="Y4" s="446"/>
      <c r="Z4" s="446"/>
      <c r="AA4" s="446"/>
      <c r="AB4" s="446"/>
      <c r="AC4" s="446"/>
      <c r="AD4" s="446"/>
      <c r="AE4" s="446"/>
      <c r="AF4" s="446"/>
      <c r="AG4" s="446"/>
      <c r="AH4" s="446"/>
    </row>
    <row r="5" spans="1:34" ht="23.25" customHeight="1">
      <c r="A5" s="447"/>
      <c r="B5" s="1295" t="s">
        <v>369</v>
      </c>
      <c r="C5" s="1296"/>
      <c r="D5" s="1296"/>
      <c r="E5" s="1296"/>
      <c r="F5" s="1296"/>
      <c r="G5" s="1296"/>
      <c r="H5" s="1296"/>
      <c r="I5" s="1297"/>
      <c r="J5" s="1295" t="s">
        <v>370</v>
      </c>
      <c r="K5" s="1296"/>
      <c r="L5" s="1296"/>
      <c r="M5" s="1296"/>
      <c r="N5" s="1296"/>
      <c r="O5" s="1296"/>
      <c r="P5" s="1296"/>
      <c r="Q5" s="1296"/>
      <c r="R5" s="1296"/>
      <c r="S5" s="1296"/>
      <c r="T5" s="1297"/>
      <c r="U5" s="1295" t="s">
        <v>23</v>
      </c>
      <c r="V5" s="1296"/>
      <c r="W5" s="1297"/>
      <c r="X5" s="448"/>
      <c r="Y5" s="448"/>
      <c r="Z5" s="448"/>
      <c r="AA5" s="448"/>
      <c r="AB5" s="448"/>
      <c r="AC5" s="448"/>
      <c r="AD5" s="448"/>
      <c r="AE5" s="448"/>
      <c r="AF5" s="448"/>
      <c r="AG5" s="448"/>
      <c r="AH5" s="448"/>
    </row>
    <row r="6" spans="1:34" ht="23.25" customHeight="1">
      <c r="A6" s="449"/>
      <c r="B6" s="450" t="s">
        <v>371</v>
      </c>
      <c r="C6" s="451" t="s">
        <v>372</v>
      </c>
      <c r="D6" s="451" t="s">
        <v>373</v>
      </c>
      <c r="E6" s="451" t="s">
        <v>374</v>
      </c>
      <c r="F6" s="1298" t="s">
        <v>375</v>
      </c>
      <c r="G6" s="1299"/>
      <c r="H6" s="1299"/>
      <c r="I6" s="1300"/>
      <c r="J6" s="1301" t="s">
        <v>376</v>
      </c>
      <c r="K6" s="1299"/>
      <c r="L6" s="1302"/>
      <c r="M6" s="1298" t="s">
        <v>377</v>
      </c>
      <c r="N6" s="1299"/>
      <c r="O6" s="1299"/>
      <c r="P6" s="1302"/>
      <c r="Q6" s="1298" t="s">
        <v>378</v>
      </c>
      <c r="R6" s="1299"/>
      <c r="S6" s="1299"/>
      <c r="T6" s="1300"/>
      <c r="U6" s="450" t="s">
        <v>379</v>
      </c>
      <c r="V6" s="452" t="s">
        <v>380</v>
      </c>
      <c r="W6" s="453" t="s">
        <v>381</v>
      </c>
      <c r="X6" s="454"/>
      <c r="Y6" s="454"/>
      <c r="Z6" s="454"/>
      <c r="AA6" s="454"/>
      <c r="AB6" s="454"/>
      <c r="AC6" s="454"/>
      <c r="AD6" s="454"/>
      <c r="AE6" s="454"/>
      <c r="AF6" s="454"/>
      <c r="AG6" s="454"/>
      <c r="AH6" s="454"/>
    </row>
    <row r="7" spans="1:34" ht="23.25" customHeight="1">
      <c r="A7" s="449"/>
      <c r="B7" s="455"/>
      <c r="C7" s="456"/>
      <c r="D7" s="457"/>
      <c r="E7" s="458"/>
      <c r="F7" s="459" t="s">
        <v>382</v>
      </c>
      <c r="G7" s="459" t="s">
        <v>383</v>
      </c>
      <c r="H7" s="459" t="s">
        <v>384</v>
      </c>
      <c r="I7" s="460" t="s">
        <v>385</v>
      </c>
      <c r="J7" s="461" t="s">
        <v>386</v>
      </c>
      <c r="K7" s="462" t="s">
        <v>387</v>
      </c>
      <c r="L7" s="462" t="s">
        <v>388</v>
      </c>
      <c r="M7" s="462" t="s">
        <v>389</v>
      </c>
      <c r="N7" s="462" t="s">
        <v>390</v>
      </c>
      <c r="O7" s="462" t="s">
        <v>391</v>
      </c>
      <c r="P7" s="462" t="s">
        <v>392</v>
      </c>
      <c r="Q7" s="462" t="s">
        <v>393</v>
      </c>
      <c r="R7" s="462" t="s">
        <v>394</v>
      </c>
      <c r="S7" s="462" t="s">
        <v>395</v>
      </c>
      <c r="T7" s="463" t="s">
        <v>396</v>
      </c>
      <c r="U7" s="464"/>
      <c r="V7" s="465"/>
      <c r="W7" s="466"/>
      <c r="X7" s="454"/>
      <c r="Y7" s="454"/>
      <c r="Z7" s="454"/>
      <c r="AA7" s="454"/>
      <c r="AB7" s="454"/>
      <c r="AC7" s="454"/>
      <c r="AD7" s="454"/>
      <c r="AE7" s="454"/>
      <c r="AF7" s="454"/>
      <c r="AG7" s="454"/>
      <c r="AH7" s="454"/>
    </row>
    <row r="8" spans="1:34" ht="23.25" customHeight="1" thickBot="1">
      <c r="A8" s="447"/>
      <c r="B8" s="467" t="s">
        <v>397</v>
      </c>
      <c r="C8" s="468" t="s">
        <v>398</v>
      </c>
      <c r="D8" s="469">
        <v>44558</v>
      </c>
      <c r="E8" s="470" t="str">
        <f ca="1">DATEDIF(D8,TODAY(),"Y")&amp;"年"&amp;DATEDIF(D8,TODAY(),"YM")&amp;"ヵ月"</f>
        <v>1年5ヵ月</v>
      </c>
      <c r="F8" s="471">
        <v>10</v>
      </c>
      <c r="G8" s="471" t="s">
        <v>399</v>
      </c>
      <c r="H8" s="471">
        <v>1</v>
      </c>
      <c r="I8" s="472"/>
      <c r="J8" s="473" t="s">
        <v>400</v>
      </c>
      <c r="K8" s="473" t="s">
        <v>401</v>
      </c>
      <c r="L8" s="473" t="s">
        <v>401</v>
      </c>
      <c r="M8" s="474" t="s">
        <v>401</v>
      </c>
      <c r="N8" s="474" t="s">
        <v>401</v>
      </c>
      <c r="O8" s="473" t="s">
        <v>401</v>
      </c>
      <c r="P8" s="473" t="s">
        <v>401</v>
      </c>
      <c r="Q8" s="475" t="s">
        <v>402</v>
      </c>
      <c r="R8" s="473" t="s">
        <v>401</v>
      </c>
      <c r="S8" s="473" t="s">
        <v>401</v>
      </c>
      <c r="T8" s="476" t="s">
        <v>401</v>
      </c>
      <c r="U8" s="477" t="s">
        <v>401</v>
      </c>
      <c r="V8" s="473" t="s">
        <v>401</v>
      </c>
      <c r="W8" s="478" t="s">
        <v>401</v>
      </c>
      <c r="X8" s="448"/>
      <c r="Y8" s="448"/>
      <c r="Z8" s="448"/>
      <c r="AA8" s="448"/>
      <c r="AB8" s="448"/>
      <c r="AC8" s="448"/>
      <c r="AD8" s="448"/>
      <c r="AE8" s="448"/>
      <c r="AF8" s="448"/>
      <c r="AG8" s="448"/>
      <c r="AH8" s="448"/>
    </row>
    <row r="9" spans="1:34" ht="23.25" customHeight="1">
      <c r="A9" s="447"/>
      <c r="B9" s="448"/>
      <c r="C9" s="448"/>
      <c r="D9" s="448"/>
      <c r="E9" s="448"/>
      <c r="F9" s="443"/>
      <c r="G9" s="443"/>
      <c r="H9" s="443"/>
      <c r="I9" s="443"/>
      <c r="J9" s="448"/>
      <c r="K9" s="448"/>
      <c r="L9" s="448"/>
      <c r="M9" s="448"/>
      <c r="N9" s="448"/>
      <c r="O9" s="448"/>
      <c r="P9" s="448"/>
      <c r="Q9" s="448"/>
      <c r="R9" s="448"/>
      <c r="S9" s="448"/>
      <c r="T9" s="448"/>
      <c r="U9" s="448"/>
      <c r="V9" s="448"/>
      <c r="W9" s="448"/>
      <c r="X9" s="448"/>
      <c r="Y9" s="448"/>
      <c r="Z9" s="448"/>
      <c r="AA9" s="448"/>
      <c r="AB9" s="448"/>
      <c r="AC9" s="448"/>
      <c r="AD9" s="448"/>
      <c r="AE9" s="448"/>
      <c r="AF9" s="448"/>
      <c r="AG9" s="448"/>
      <c r="AH9" s="448"/>
    </row>
    <row r="10" spans="1:34" ht="23.25" customHeight="1" thickBot="1">
      <c r="A10" s="447"/>
      <c r="B10" s="445" t="s">
        <v>403</v>
      </c>
      <c r="C10" s="448"/>
      <c r="D10" s="448"/>
      <c r="E10" s="448"/>
      <c r="F10" s="448"/>
      <c r="G10" s="448"/>
      <c r="H10" s="448"/>
      <c r="I10" s="448"/>
      <c r="J10" s="448"/>
      <c r="K10" s="448"/>
      <c r="L10" s="448"/>
      <c r="M10" s="448"/>
      <c r="N10" s="448"/>
      <c r="O10" s="448"/>
      <c r="P10" s="448"/>
      <c r="Q10" s="448"/>
      <c r="R10" s="448"/>
      <c r="S10" s="448"/>
      <c r="T10" s="448"/>
      <c r="U10" s="448"/>
      <c r="V10" s="448"/>
      <c r="W10" s="448"/>
      <c r="X10" s="448"/>
      <c r="Y10" s="448"/>
      <c r="Z10" s="448"/>
      <c r="AA10" s="448"/>
      <c r="AB10" s="448"/>
      <c r="AC10" s="448"/>
      <c r="AD10" s="448"/>
      <c r="AE10" s="448"/>
      <c r="AF10" s="448"/>
      <c r="AG10" s="448"/>
      <c r="AH10" s="448"/>
    </row>
    <row r="11" spans="1:34" ht="23.25" customHeight="1">
      <c r="A11" s="444"/>
      <c r="B11" s="1295" t="s">
        <v>404</v>
      </c>
      <c r="C11" s="1326"/>
      <c r="D11" s="1326"/>
      <c r="E11" s="1326"/>
      <c r="F11" s="1326"/>
      <c r="G11" s="1327"/>
      <c r="H11" s="479" t="s">
        <v>405</v>
      </c>
      <c r="I11" s="1295" t="s">
        <v>406</v>
      </c>
      <c r="J11" s="1326"/>
      <c r="K11" s="1326"/>
      <c r="L11" s="1326"/>
      <c r="M11" s="1326"/>
      <c r="N11" s="1326"/>
      <c r="O11" s="1327"/>
      <c r="P11" s="448"/>
      <c r="Q11" s="454"/>
      <c r="R11" s="448"/>
      <c r="S11" s="454"/>
      <c r="T11" s="448"/>
      <c r="U11" s="448"/>
      <c r="V11" s="448"/>
      <c r="W11" s="448"/>
      <c r="X11" s="448"/>
      <c r="Y11" s="448"/>
      <c r="Z11" s="448"/>
      <c r="AA11" s="448"/>
      <c r="AB11" s="448"/>
      <c r="AC11" s="448"/>
      <c r="AD11" s="448"/>
      <c r="AE11" s="448"/>
      <c r="AF11" s="448"/>
      <c r="AG11" s="448"/>
      <c r="AH11" s="448"/>
    </row>
    <row r="12" spans="1:34" ht="30" customHeight="1">
      <c r="A12" s="444"/>
      <c r="B12" s="480" t="s">
        <v>407</v>
      </c>
      <c r="C12" s="459" t="s">
        <v>408</v>
      </c>
      <c r="D12" s="459" t="s">
        <v>409</v>
      </c>
      <c r="E12" s="481" t="s">
        <v>410</v>
      </c>
      <c r="F12" s="482" t="s">
        <v>411</v>
      </c>
      <c r="G12" s="483" t="s">
        <v>412</v>
      </c>
      <c r="H12" s="484" t="s">
        <v>413</v>
      </c>
      <c r="I12" s="450" t="s">
        <v>414</v>
      </c>
      <c r="J12" s="1299" t="s">
        <v>415</v>
      </c>
      <c r="K12" s="1302"/>
      <c r="L12" s="1298" t="s">
        <v>416</v>
      </c>
      <c r="M12" s="1302"/>
      <c r="N12" s="1328" t="s">
        <v>417</v>
      </c>
      <c r="O12" s="1329"/>
      <c r="P12" s="485"/>
      <c r="Q12" s="448"/>
      <c r="R12" s="454"/>
      <c r="S12" s="448"/>
      <c r="T12" s="454"/>
      <c r="U12" s="448"/>
      <c r="V12" s="448"/>
      <c r="W12" s="448"/>
      <c r="X12" s="448"/>
      <c r="Y12" s="448"/>
      <c r="Z12" s="448"/>
      <c r="AA12" s="448"/>
      <c r="AB12" s="448"/>
      <c r="AC12" s="448"/>
      <c r="AD12" s="448"/>
      <c r="AE12" s="448"/>
      <c r="AF12" s="448"/>
      <c r="AG12" s="448"/>
      <c r="AH12" s="448"/>
    </row>
    <row r="13" spans="1:34" ht="23.25" customHeight="1" thickBot="1">
      <c r="A13" s="444"/>
      <c r="B13" s="467" t="s">
        <v>418</v>
      </c>
      <c r="C13" s="474" t="s">
        <v>419</v>
      </c>
      <c r="D13" s="474" t="s">
        <v>420</v>
      </c>
      <c r="E13" s="473" t="s">
        <v>401</v>
      </c>
      <c r="F13" s="473" t="s">
        <v>401</v>
      </c>
      <c r="G13" s="473" t="s">
        <v>401</v>
      </c>
      <c r="H13" s="486" t="s">
        <v>400</v>
      </c>
      <c r="I13" s="477" t="s">
        <v>400</v>
      </c>
      <c r="J13" s="1330" t="s">
        <v>421</v>
      </c>
      <c r="K13" s="1331"/>
      <c r="L13" s="1332"/>
      <c r="M13" s="1331"/>
      <c r="N13" s="1330" t="s">
        <v>399</v>
      </c>
      <c r="O13" s="1333"/>
      <c r="P13" s="487"/>
      <c r="Q13" s="454"/>
      <c r="R13" s="454"/>
      <c r="S13" s="454"/>
      <c r="T13" s="454"/>
      <c r="U13" s="448"/>
      <c r="V13" s="448"/>
      <c r="W13" s="448"/>
      <c r="X13" s="448"/>
      <c r="Y13" s="448"/>
      <c r="Z13" s="448"/>
      <c r="AA13" s="448"/>
      <c r="AB13" s="448"/>
      <c r="AC13" s="448"/>
      <c r="AD13" s="448"/>
      <c r="AE13" s="448"/>
      <c r="AF13" s="448"/>
      <c r="AG13" s="448"/>
      <c r="AH13" s="448"/>
    </row>
    <row r="14" spans="1:34" ht="16.149999999999999">
      <c r="A14" s="444"/>
      <c r="B14" s="448"/>
      <c r="C14" s="448"/>
      <c r="D14" s="448"/>
      <c r="E14" s="448"/>
      <c r="F14" s="448"/>
      <c r="G14" s="448"/>
      <c r="H14" s="448"/>
      <c r="I14" s="488"/>
      <c r="J14" s="454"/>
      <c r="K14" s="448"/>
      <c r="L14" s="454"/>
      <c r="M14" s="448"/>
      <c r="N14" s="454"/>
      <c r="O14" s="454"/>
      <c r="P14" s="454"/>
      <c r="Q14" s="454"/>
      <c r="R14" s="454"/>
      <c r="S14" s="454"/>
      <c r="T14" s="454"/>
      <c r="U14" s="448"/>
      <c r="V14" s="448"/>
      <c r="W14" s="448"/>
      <c r="X14" s="448"/>
      <c r="Y14" s="448"/>
      <c r="Z14" s="448"/>
      <c r="AA14" s="448"/>
      <c r="AB14" s="448"/>
      <c r="AC14" s="448"/>
      <c r="AD14" s="448"/>
      <c r="AE14" s="448"/>
      <c r="AF14" s="448"/>
      <c r="AG14" s="448"/>
      <c r="AH14" s="448"/>
    </row>
    <row r="15" spans="1:34" ht="22.9">
      <c r="A15" s="444"/>
      <c r="B15" s="445" t="s">
        <v>422</v>
      </c>
      <c r="C15" s="448"/>
      <c r="D15" s="448"/>
      <c r="E15" s="448"/>
      <c r="F15" s="448"/>
      <c r="G15" s="448"/>
      <c r="H15" s="448"/>
      <c r="I15" s="448"/>
      <c r="J15" s="448"/>
      <c r="K15" s="448"/>
      <c r="L15" s="448"/>
      <c r="M15" s="448"/>
      <c r="N15" s="448"/>
      <c r="O15" s="448"/>
      <c r="P15" s="448"/>
      <c r="Q15" s="448"/>
      <c r="R15" s="448"/>
      <c r="S15" s="448"/>
      <c r="T15" s="448"/>
      <c r="U15" s="448"/>
      <c r="V15" s="448"/>
      <c r="W15" s="448"/>
      <c r="X15" s="448"/>
      <c r="Y15" s="448"/>
      <c r="Z15" s="448"/>
      <c r="AA15" s="448"/>
      <c r="AB15" s="448"/>
      <c r="AC15" s="448"/>
      <c r="AD15" s="448"/>
      <c r="AE15" s="448"/>
      <c r="AF15" s="448"/>
      <c r="AG15" s="448"/>
      <c r="AH15" s="448"/>
    </row>
    <row r="16" spans="1:34" ht="23.25" customHeight="1" thickBot="1">
      <c r="A16" s="444"/>
      <c r="B16" s="489" t="s">
        <v>423</v>
      </c>
      <c r="C16" s="448"/>
      <c r="D16" s="448"/>
      <c r="E16" s="448"/>
      <c r="F16" s="448"/>
      <c r="G16" s="448"/>
      <c r="H16" s="448"/>
      <c r="I16" s="448"/>
      <c r="J16" s="448"/>
      <c r="K16" s="448"/>
      <c r="L16" s="448"/>
      <c r="M16" s="448"/>
      <c r="N16" s="448"/>
      <c r="O16" s="448"/>
      <c r="P16" s="448"/>
      <c r="Q16" s="448"/>
      <c r="R16" s="448"/>
      <c r="S16" s="448"/>
      <c r="T16" s="448"/>
      <c r="U16" s="490"/>
      <c r="V16" s="448"/>
      <c r="W16" s="448"/>
      <c r="X16" s="448"/>
      <c r="Y16" s="448"/>
      <c r="Z16" s="448"/>
      <c r="AA16" s="448"/>
      <c r="AB16" s="448"/>
      <c r="AC16" s="448"/>
      <c r="AD16" s="448"/>
      <c r="AE16" s="448"/>
      <c r="AF16" s="448"/>
      <c r="AG16" s="448"/>
      <c r="AH16" s="448"/>
    </row>
    <row r="17" spans="1:34" ht="23.25" customHeight="1">
      <c r="A17" s="444"/>
      <c r="B17" s="1303" t="s">
        <v>424</v>
      </c>
      <c r="C17" s="1306" t="s">
        <v>425</v>
      </c>
      <c r="D17" s="1309" t="s">
        <v>426</v>
      </c>
      <c r="E17" s="1310"/>
      <c r="F17" s="1315" t="s">
        <v>427</v>
      </c>
      <c r="G17" s="1316"/>
      <c r="H17" s="1316"/>
      <c r="I17" s="1317"/>
      <c r="J17" s="1295" t="s">
        <v>428</v>
      </c>
      <c r="K17" s="1324"/>
      <c r="L17" s="1325" t="s">
        <v>88</v>
      </c>
      <c r="M17" s="1324"/>
      <c r="N17" s="1325" t="s">
        <v>89</v>
      </c>
      <c r="O17" s="1324"/>
      <c r="P17" s="1325" t="s">
        <v>90</v>
      </c>
      <c r="Q17" s="1324"/>
      <c r="R17" s="1325" t="s">
        <v>91</v>
      </c>
      <c r="S17" s="1324"/>
      <c r="T17" s="1325" t="s">
        <v>92</v>
      </c>
      <c r="U17" s="1324"/>
      <c r="V17" s="1326" t="s">
        <v>93</v>
      </c>
      <c r="W17" s="1324"/>
      <c r="X17" s="1325" t="s">
        <v>94</v>
      </c>
      <c r="Y17" s="1324"/>
      <c r="Z17" s="1325" t="s">
        <v>95</v>
      </c>
      <c r="AA17" s="1324"/>
      <c r="AB17" s="1325" t="s">
        <v>429</v>
      </c>
      <c r="AC17" s="1324"/>
      <c r="AD17" s="1325" t="s">
        <v>430</v>
      </c>
      <c r="AE17" s="1324"/>
      <c r="AF17" s="1325" t="s">
        <v>431</v>
      </c>
      <c r="AG17" s="1324"/>
      <c r="AH17" s="491" t="s">
        <v>103</v>
      </c>
    </row>
    <row r="18" spans="1:34" ht="23.25" customHeight="1">
      <c r="A18" s="444"/>
      <c r="B18" s="1304"/>
      <c r="C18" s="1307"/>
      <c r="D18" s="1311"/>
      <c r="E18" s="1312"/>
      <c r="F18" s="1318"/>
      <c r="G18" s="1319"/>
      <c r="H18" s="1319"/>
      <c r="I18" s="1320"/>
      <c r="J18" s="1334" t="s">
        <v>57</v>
      </c>
      <c r="K18" s="1336" t="s">
        <v>58</v>
      </c>
      <c r="L18" s="1338" t="s">
        <v>57</v>
      </c>
      <c r="M18" s="1340" t="s">
        <v>58</v>
      </c>
      <c r="N18" s="1338" t="s">
        <v>57</v>
      </c>
      <c r="O18" s="1340" t="s">
        <v>58</v>
      </c>
      <c r="P18" s="1338" t="s">
        <v>57</v>
      </c>
      <c r="Q18" s="1340" t="s">
        <v>58</v>
      </c>
      <c r="R18" s="1338" t="s">
        <v>57</v>
      </c>
      <c r="S18" s="1340" t="s">
        <v>58</v>
      </c>
      <c r="T18" s="1338" t="s">
        <v>57</v>
      </c>
      <c r="U18" s="1340" t="s">
        <v>58</v>
      </c>
      <c r="V18" s="1342" t="s">
        <v>57</v>
      </c>
      <c r="W18" s="1340" t="s">
        <v>58</v>
      </c>
      <c r="X18" s="1338" t="s">
        <v>57</v>
      </c>
      <c r="Y18" s="1340" t="s">
        <v>58</v>
      </c>
      <c r="Z18" s="1338" t="s">
        <v>57</v>
      </c>
      <c r="AA18" s="1340" t="s">
        <v>58</v>
      </c>
      <c r="AB18" s="1338" t="s">
        <v>57</v>
      </c>
      <c r="AC18" s="1340" t="s">
        <v>58</v>
      </c>
      <c r="AD18" s="1338" t="s">
        <v>57</v>
      </c>
      <c r="AE18" s="1340" t="s">
        <v>58</v>
      </c>
      <c r="AF18" s="1338" t="s">
        <v>57</v>
      </c>
      <c r="AG18" s="1340" t="s">
        <v>58</v>
      </c>
      <c r="AH18" s="492"/>
    </row>
    <row r="19" spans="1:34" ht="23.25" customHeight="1">
      <c r="A19" s="444"/>
      <c r="B19" s="1305"/>
      <c r="C19" s="1308"/>
      <c r="D19" s="1313"/>
      <c r="E19" s="1314"/>
      <c r="F19" s="1321"/>
      <c r="G19" s="1322"/>
      <c r="H19" s="1322"/>
      <c r="I19" s="1323"/>
      <c r="J19" s="1335"/>
      <c r="K19" s="1337"/>
      <c r="L19" s="1339"/>
      <c r="M19" s="1341"/>
      <c r="N19" s="1339"/>
      <c r="O19" s="1341"/>
      <c r="P19" s="1339"/>
      <c r="Q19" s="1341"/>
      <c r="R19" s="1339"/>
      <c r="S19" s="1341"/>
      <c r="T19" s="1339"/>
      <c r="U19" s="1341"/>
      <c r="V19" s="1343"/>
      <c r="W19" s="1341"/>
      <c r="X19" s="1339"/>
      <c r="Y19" s="1341"/>
      <c r="Z19" s="1339"/>
      <c r="AA19" s="1341"/>
      <c r="AB19" s="1339"/>
      <c r="AC19" s="1341"/>
      <c r="AD19" s="1339"/>
      <c r="AE19" s="1341"/>
      <c r="AF19" s="1339"/>
      <c r="AG19" s="1341"/>
      <c r="AH19" s="493"/>
    </row>
    <row r="20" spans="1:34" ht="23.25" customHeight="1">
      <c r="A20" s="444"/>
      <c r="B20" s="494"/>
      <c r="C20" s="495"/>
      <c r="D20" s="1344"/>
      <c r="E20" s="1345"/>
      <c r="F20" s="1346"/>
      <c r="G20" s="1346"/>
      <c r="H20" s="1346"/>
      <c r="I20" s="1347"/>
      <c r="J20" s="496"/>
      <c r="K20" s="497"/>
      <c r="L20" s="498"/>
      <c r="M20" s="497"/>
      <c r="N20" s="498"/>
      <c r="O20" s="497"/>
      <c r="P20" s="498"/>
      <c r="Q20" s="497"/>
      <c r="R20" s="498"/>
      <c r="S20" s="497"/>
      <c r="T20" s="498"/>
      <c r="U20" s="497"/>
      <c r="V20" s="499"/>
      <c r="W20" s="497"/>
      <c r="X20" s="498"/>
      <c r="Y20" s="497"/>
      <c r="Z20" s="498"/>
      <c r="AA20" s="497"/>
      <c r="AB20" s="498"/>
      <c r="AC20" s="497"/>
      <c r="AD20" s="498"/>
      <c r="AE20" s="497"/>
      <c r="AF20" s="498"/>
      <c r="AG20" s="497"/>
      <c r="AH20" s="500"/>
    </row>
    <row r="21" spans="1:34" ht="23.25" customHeight="1">
      <c r="A21" s="444"/>
      <c r="B21" s="494"/>
      <c r="C21" s="501"/>
      <c r="D21" s="1348"/>
      <c r="E21" s="1349"/>
      <c r="F21" s="502"/>
      <c r="G21" s="502"/>
      <c r="H21" s="502"/>
      <c r="I21" s="503"/>
      <c r="J21" s="504"/>
      <c r="K21" s="505"/>
      <c r="L21" s="506"/>
      <c r="M21" s="505"/>
      <c r="N21" s="506"/>
      <c r="O21" s="505"/>
      <c r="P21" s="506"/>
      <c r="Q21" s="505"/>
      <c r="R21" s="506"/>
      <c r="S21" s="505"/>
      <c r="T21" s="506"/>
      <c r="U21" s="505"/>
      <c r="V21" s="507"/>
      <c r="W21" s="505"/>
      <c r="X21" s="506"/>
      <c r="Y21" s="505"/>
      <c r="Z21" s="506"/>
      <c r="AA21" s="505"/>
      <c r="AB21" s="506"/>
      <c r="AC21" s="505"/>
      <c r="AD21" s="506"/>
      <c r="AE21" s="505"/>
      <c r="AF21" s="506"/>
      <c r="AG21" s="505"/>
      <c r="AH21" s="508"/>
    </row>
    <row r="22" spans="1:34" ht="23.25" customHeight="1" thickBot="1">
      <c r="A22" s="444"/>
      <c r="B22" s="509"/>
      <c r="C22" s="510"/>
      <c r="D22" s="1350"/>
      <c r="E22" s="1351"/>
      <c r="F22" s="1352"/>
      <c r="G22" s="1353"/>
      <c r="H22" s="1353"/>
      <c r="I22" s="1354"/>
      <c r="J22" s="511"/>
      <c r="K22" s="512"/>
      <c r="L22" s="513"/>
      <c r="M22" s="512"/>
      <c r="N22" s="513"/>
      <c r="O22" s="512"/>
      <c r="P22" s="513"/>
      <c r="Q22" s="512"/>
      <c r="R22" s="513"/>
      <c r="S22" s="512"/>
      <c r="T22" s="513"/>
      <c r="U22" s="512"/>
      <c r="V22" s="514"/>
      <c r="W22" s="512"/>
      <c r="X22" s="513"/>
      <c r="Y22" s="512"/>
      <c r="Z22" s="513"/>
      <c r="AA22" s="512"/>
      <c r="AB22" s="513"/>
      <c r="AC22" s="512"/>
      <c r="AD22" s="513"/>
      <c r="AE22" s="512"/>
      <c r="AF22" s="513"/>
      <c r="AG22" s="512"/>
      <c r="AH22" s="515"/>
    </row>
    <row r="23" spans="1:34" ht="22.9">
      <c r="A23" s="444"/>
      <c r="B23" s="445"/>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8"/>
      <c r="AD23" s="448"/>
      <c r="AE23" s="448"/>
      <c r="AF23" s="448"/>
      <c r="AG23" s="448"/>
      <c r="AH23" s="448"/>
    </row>
    <row r="24" spans="1:34" ht="19.149999999999999" thickBot="1">
      <c r="A24" s="444"/>
      <c r="B24" s="489" t="s">
        <v>432</v>
      </c>
      <c r="C24" s="448"/>
      <c r="D24" s="448"/>
      <c r="E24" s="448"/>
      <c r="F24" s="448"/>
      <c r="G24" s="516"/>
      <c r="H24" s="448"/>
      <c r="I24" s="517" t="s">
        <v>433</v>
      </c>
      <c r="J24" s="448"/>
      <c r="K24" s="448"/>
      <c r="L24" s="448"/>
      <c r="M24" s="448"/>
      <c r="N24" s="448"/>
      <c r="O24" s="448"/>
      <c r="P24" s="448"/>
      <c r="Q24" s="448"/>
      <c r="R24" s="448"/>
      <c r="S24" s="448"/>
      <c r="T24" s="448"/>
      <c r="U24" s="448"/>
      <c r="V24" s="448"/>
      <c r="W24" s="448"/>
      <c r="X24" s="448"/>
      <c r="Y24" s="448"/>
      <c r="Z24" s="448"/>
      <c r="AA24" s="448"/>
      <c r="AB24" s="448"/>
      <c r="AC24" s="448"/>
      <c r="AD24" s="448"/>
      <c r="AE24" s="448"/>
      <c r="AF24" s="448"/>
      <c r="AG24" s="448"/>
      <c r="AH24" s="448"/>
    </row>
    <row r="25" spans="1:34" ht="16.149999999999999">
      <c r="A25" s="518"/>
      <c r="B25" s="1303" t="s">
        <v>424</v>
      </c>
      <c r="C25" s="1306" t="s">
        <v>425</v>
      </c>
      <c r="D25" s="1309" t="s">
        <v>434</v>
      </c>
      <c r="E25" s="519"/>
      <c r="F25" s="519"/>
      <c r="G25" s="520"/>
      <c r="H25" s="521"/>
      <c r="I25" s="1355" t="s">
        <v>435</v>
      </c>
      <c r="J25" s="1295" t="s">
        <v>428</v>
      </c>
      <c r="K25" s="1324"/>
      <c r="L25" s="1325" t="s">
        <v>88</v>
      </c>
      <c r="M25" s="1324"/>
      <c r="N25" s="1325" t="s">
        <v>89</v>
      </c>
      <c r="O25" s="1324"/>
      <c r="P25" s="1325" t="s">
        <v>90</v>
      </c>
      <c r="Q25" s="1324"/>
      <c r="R25" s="1325" t="s">
        <v>91</v>
      </c>
      <c r="S25" s="1324"/>
      <c r="T25" s="1325" t="s">
        <v>92</v>
      </c>
      <c r="U25" s="1324"/>
      <c r="V25" s="1326" t="s">
        <v>93</v>
      </c>
      <c r="W25" s="1324"/>
      <c r="X25" s="1325" t="s">
        <v>94</v>
      </c>
      <c r="Y25" s="1324"/>
      <c r="Z25" s="1325" t="s">
        <v>95</v>
      </c>
      <c r="AA25" s="1324"/>
      <c r="AB25" s="1325" t="s">
        <v>429</v>
      </c>
      <c r="AC25" s="1324"/>
      <c r="AD25" s="1325" t="s">
        <v>430</v>
      </c>
      <c r="AE25" s="1324"/>
      <c r="AF25" s="1325" t="s">
        <v>431</v>
      </c>
      <c r="AG25" s="1324"/>
      <c r="AH25" s="491" t="s">
        <v>103</v>
      </c>
    </row>
    <row r="26" spans="1:34" ht="16.149999999999999">
      <c r="A26" s="518"/>
      <c r="B26" s="1304"/>
      <c r="C26" s="1307"/>
      <c r="D26" s="1311"/>
      <c r="E26" s="1358" t="s">
        <v>426</v>
      </c>
      <c r="F26" s="1358" t="s">
        <v>436</v>
      </c>
      <c r="G26" s="1360" t="s">
        <v>437</v>
      </c>
      <c r="H26" s="1361"/>
      <c r="I26" s="1356"/>
      <c r="J26" s="1334" t="s">
        <v>57</v>
      </c>
      <c r="K26" s="1336" t="s">
        <v>58</v>
      </c>
      <c r="L26" s="1338" t="s">
        <v>57</v>
      </c>
      <c r="M26" s="1340" t="s">
        <v>58</v>
      </c>
      <c r="N26" s="1338" t="s">
        <v>57</v>
      </c>
      <c r="O26" s="1340" t="s">
        <v>58</v>
      </c>
      <c r="P26" s="1338" t="s">
        <v>57</v>
      </c>
      <c r="Q26" s="1340" t="s">
        <v>58</v>
      </c>
      <c r="R26" s="1338" t="s">
        <v>57</v>
      </c>
      <c r="S26" s="1340" t="s">
        <v>58</v>
      </c>
      <c r="T26" s="1338" t="s">
        <v>57</v>
      </c>
      <c r="U26" s="1340" t="s">
        <v>58</v>
      </c>
      <c r="V26" s="1342" t="s">
        <v>57</v>
      </c>
      <c r="W26" s="1340" t="s">
        <v>58</v>
      </c>
      <c r="X26" s="1338" t="s">
        <v>57</v>
      </c>
      <c r="Y26" s="1340" t="s">
        <v>58</v>
      </c>
      <c r="Z26" s="1338" t="s">
        <v>57</v>
      </c>
      <c r="AA26" s="1340" t="s">
        <v>58</v>
      </c>
      <c r="AB26" s="1338" t="s">
        <v>57</v>
      </c>
      <c r="AC26" s="1340" t="s">
        <v>58</v>
      </c>
      <c r="AD26" s="1338" t="s">
        <v>57</v>
      </c>
      <c r="AE26" s="1340" t="s">
        <v>58</v>
      </c>
      <c r="AF26" s="1338" t="s">
        <v>57</v>
      </c>
      <c r="AG26" s="1340" t="s">
        <v>58</v>
      </c>
      <c r="AH26" s="492"/>
    </row>
    <row r="27" spans="1:34" ht="16.149999999999999">
      <c r="A27" s="518"/>
      <c r="B27" s="1305"/>
      <c r="C27" s="1308"/>
      <c r="D27" s="1313"/>
      <c r="E27" s="1359"/>
      <c r="F27" s="1359"/>
      <c r="G27" s="522" t="s">
        <v>438</v>
      </c>
      <c r="H27" s="523" t="s">
        <v>439</v>
      </c>
      <c r="I27" s="1357"/>
      <c r="J27" s="1335"/>
      <c r="K27" s="1337"/>
      <c r="L27" s="1339"/>
      <c r="M27" s="1341"/>
      <c r="N27" s="1339"/>
      <c r="O27" s="1341"/>
      <c r="P27" s="1339"/>
      <c r="Q27" s="1341"/>
      <c r="R27" s="1339"/>
      <c r="S27" s="1341"/>
      <c r="T27" s="1339"/>
      <c r="U27" s="1341"/>
      <c r="V27" s="1343"/>
      <c r="W27" s="1341"/>
      <c r="X27" s="1339"/>
      <c r="Y27" s="1341"/>
      <c r="Z27" s="1339"/>
      <c r="AA27" s="1341"/>
      <c r="AB27" s="1339"/>
      <c r="AC27" s="1341"/>
      <c r="AD27" s="1339"/>
      <c r="AE27" s="1341"/>
      <c r="AF27" s="1339"/>
      <c r="AG27" s="1341"/>
      <c r="AH27" s="493"/>
    </row>
    <row r="28" spans="1:34" ht="23.25" customHeight="1">
      <c r="A28" s="518"/>
      <c r="B28" s="524" t="s">
        <v>34</v>
      </c>
      <c r="C28" s="525" t="s">
        <v>440</v>
      </c>
      <c r="D28" s="526" t="s">
        <v>441</v>
      </c>
      <c r="E28" s="527" t="s">
        <v>442</v>
      </c>
      <c r="F28" s="528" t="s">
        <v>400</v>
      </c>
      <c r="G28" s="529" t="s">
        <v>74</v>
      </c>
      <c r="H28" s="529" t="s">
        <v>74</v>
      </c>
      <c r="I28" s="530" t="s">
        <v>443</v>
      </c>
      <c r="J28" s="496"/>
      <c r="K28" s="497"/>
      <c r="L28" s="498"/>
      <c r="M28" s="497"/>
      <c r="N28" s="498"/>
      <c r="O28" s="497"/>
      <c r="P28" s="498"/>
      <c r="Q28" s="497"/>
      <c r="R28" s="498"/>
      <c r="S28" s="497"/>
      <c r="T28" s="506" t="s">
        <v>444</v>
      </c>
      <c r="U28" s="497"/>
      <c r="V28" s="499"/>
      <c r="W28" s="497"/>
      <c r="X28" s="498"/>
      <c r="Y28" s="497"/>
      <c r="Z28" s="498"/>
      <c r="AA28" s="497"/>
      <c r="AB28" s="498"/>
      <c r="AC28" s="497"/>
      <c r="AD28" s="498"/>
      <c r="AE28" s="497"/>
      <c r="AF28" s="506"/>
      <c r="AG28" s="497"/>
      <c r="AH28" s="531" t="s">
        <v>445</v>
      </c>
    </row>
    <row r="29" spans="1:34" ht="23.25" customHeight="1">
      <c r="A29" s="518"/>
      <c r="B29" s="532"/>
      <c r="C29" s="533" t="s">
        <v>446</v>
      </c>
      <c r="D29" s="534" t="s">
        <v>441</v>
      </c>
      <c r="E29" s="535" t="s">
        <v>442</v>
      </c>
      <c r="F29" s="528" t="s">
        <v>400</v>
      </c>
      <c r="G29" s="534" t="s">
        <v>447</v>
      </c>
      <c r="H29" s="534" t="s">
        <v>447</v>
      </c>
      <c r="I29" s="536" t="s">
        <v>443</v>
      </c>
      <c r="J29" s="504"/>
      <c r="K29" s="505"/>
      <c r="L29" s="506"/>
      <c r="M29" s="505"/>
      <c r="N29" s="506"/>
      <c r="O29" s="505"/>
      <c r="P29" s="506"/>
      <c r="Q29" s="505"/>
      <c r="R29" s="506"/>
      <c r="S29" s="505"/>
      <c r="T29" s="506" t="s">
        <v>444</v>
      </c>
      <c r="U29" s="505"/>
      <c r="V29" s="507"/>
      <c r="W29" s="505"/>
      <c r="X29" s="506"/>
      <c r="Y29" s="505"/>
      <c r="Z29" s="506"/>
      <c r="AA29" s="505"/>
      <c r="AB29" s="506"/>
      <c r="AC29" s="505"/>
      <c r="AD29" s="506"/>
      <c r="AE29" s="505"/>
      <c r="AF29" s="506"/>
      <c r="AG29" s="505"/>
      <c r="AH29" s="537" t="s">
        <v>448</v>
      </c>
    </row>
    <row r="30" spans="1:34" ht="25.5" customHeight="1">
      <c r="A30" s="538"/>
      <c r="B30" s="539"/>
      <c r="C30" s="540" t="s">
        <v>86</v>
      </c>
      <c r="D30" s="534" t="s">
        <v>441</v>
      </c>
      <c r="E30" s="541" t="s">
        <v>442</v>
      </c>
      <c r="F30" s="528" t="s">
        <v>400</v>
      </c>
      <c r="G30" s="542" t="s">
        <v>449</v>
      </c>
      <c r="H30" s="542" t="s">
        <v>449</v>
      </c>
      <c r="I30" s="536" t="s">
        <v>443</v>
      </c>
      <c r="J30" s="543"/>
      <c r="K30" s="544"/>
      <c r="L30" s="545"/>
      <c r="M30" s="544"/>
      <c r="N30" s="545"/>
      <c r="O30" s="544"/>
      <c r="P30" s="545"/>
      <c r="Q30" s="544"/>
      <c r="R30" s="545"/>
      <c r="S30" s="544"/>
      <c r="T30" s="506" t="s">
        <v>444</v>
      </c>
      <c r="U30" s="505"/>
      <c r="V30" s="507"/>
      <c r="W30" s="544"/>
      <c r="X30" s="545"/>
      <c r="Y30" s="544"/>
      <c r="Z30" s="545"/>
      <c r="AA30" s="544"/>
      <c r="AB30" s="545"/>
      <c r="AC30" s="544"/>
      <c r="AD30" s="545"/>
      <c r="AE30" s="544"/>
      <c r="AF30" s="545"/>
      <c r="AG30" s="544"/>
      <c r="AH30" s="537" t="s">
        <v>450</v>
      </c>
    </row>
    <row r="31" spans="1:34" ht="23.25" customHeight="1">
      <c r="A31" s="518"/>
      <c r="B31" s="532"/>
      <c r="C31" s="533" t="s">
        <v>451</v>
      </c>
      <c r="D31" s="534" t="s">
        <v>441</v>
      </c>
      <c r="E31" s="535" t="s">
        <v>442</v>
      </c>
      <c r="F31" s="528" t="s">
        <v>400</v>
      </c>
      <c r="G31" s="526" t="s">
        <v>74</v>
      </c>
      <c r="H31" s="526" t="s">
        <v>74</v>
      </c>
      <c r="I31" s="536" t="s">
        <v>452</v>
      </c>
      <c r="J31" s="506" t="s">
        <v>453</v>
      </c>
      <c r="K31" s="546">
        <v>20</v>
      </c>
      <c r="L31" s="506" t="s">
        <v>454</v>
      </c>
      <c r="M31" s="546">
        <v>24</v>
      </c>
      <c r="N31" s="506" t="s">
        <v>453</v>
      </c>
      <c r="O31" s="546">
        <v>20</v>
      </c>
      <c r="P31" s="506" t="s">
        <v>453</v>
      </c>
      <c r="Q31" s="546">
        <v>20</v>
      </c>
      <c r="R31" s="506" t="s">
        <v>454</v>
      </c>
      <c r="S31" s="546">
        <v>22</v>
      </c>
      <c r="T31" s="506" t="s">
        <v>453</v>
      </c>
      <c r="U31" s="546">
        <v>20</v>
      </c>
      <c r="V31" s="507" t="s">
        <v>453</v>
      </c>
      <c r="W31" s="546">
        <v>20</v>
      </c>
      <c r="X31" s="507" t="s">
        <v>453</v>
      </c>
      <c r="Y31" s="546">
        <v>20</v>
      </c>
      <c r="Z31" s="507" t="s">
        <v>453</v>
      </c>
      <c r="AA31" s="546">
        <v>20</v>
      </c>
      <c r="AB31" s="506" t="s">
        <v>455</v>
      </c>
      <c r="AC31" s="546">
        <v>21</v>
      </c>
      <c r="AD31" s="506" t="s">
        <v>454</v>
      </c>
      <c r="AE31" s="546">
        <v>7</v>
      </c>
      <c r="AF31" s="506" t="s">
        <v>453</v>
      </c>
      <c r="AG31" s="546">
        <v>7</v>
      </c>
      <c r="AH31" s="537" t="s">
        <v>456</v>
      </c>
    </row>
    <row r="32" spans="1:34" ht="23.25" customHeight="1">
      <c r="A32" s="518"/>
      <c r="B32" s="532"/>
      <c r="C32" s="533" t="s">
        <v>451</v>
      </c>
      <c r="D32" s="534" t="s">
        <v>441</v>
      </c>
      <c r="E32" s="535" t="s">
        <v>442</v>
      </c>
      <c r="F32" s="528" t="s">
        <v>401</v>
      </c>
      <c r="G32" s="526" t="s">
        <v>74</v>
      </c>
      <c r="H32" s="547"/>
      <c r="I32" s="548"/>
      <c r="J32" s="506"/>
      <c r="K32" s="546"/>
      <c r="L32" s="506"/>
      <c r="M32" s="546"/>
      <c r="N32" s="506"/>
      <c r="O32" s="546"/>
      <c r="P32" s="506"/>
      <c r="Q32" s="546"/>
      <c r="R32" s="506"/>
      <c r="S32" s="549"/>
      <c r="T32" s="506"/>
      <c r="U32" s="546"/>
      <c r="V32" s="550"/>
      <c r="W32" s="546"/>
      <c r="X32" s="551"/>
      <c r="Y32" s="546"/>
      <c r="Z32" s="551"/>
      <c r="AA32" s="546"/>
      <c r="AB32" s="551"/>
      <c r="AC32" s="546"/>
      <c r="AD32" s="506"/>
      <c r="AE32" s="546"/>
      <c r="AF32" s="506"/>
      <c r="AG32" s="546"/>
      <c r="AH32" s="537"/>
    </row>
    <row r="33" spans="1:34" ht="23.25" customHeight="1">
      <c r="A33" s="518"/>
      <c r="B33" s="532"/>
      <c r="C33" s="533" t="s">
        <v>451</v>
      </c>
      <c r="D33" s="534" t="s">
        <v>441</v>
      </c>
      <c r="E33" s="535" t="s">
        <v>442</v>
      </c>
      <c r="F33" s="528" t="s">
        <v>401</v>
      </c>
      <c r="G33" s="526" t="s">
        <v>74</v>
      </c>
      <c r="H33" s="547"/>
      <c r="I33" s="548"/>
      <c r="J33" s="506"/>
      <c r="K33" s="546"/>
      <c r="L33" s="506"/>
      <c r="M33" s="546"/>
      <c r="N33" s="506"/>
      <c r="O33" s="546"/>
      <c r="P33" s="506"/>
      <c r="Q33" s="546"/>
      <c r="R33" s="506"/>
      <c r="S33" s="549"/>
      <c r="T33" s="506"/>
      <c r="U33" s="546"/>
      <c r="V33" s="550"/>
      <c r="W33" s="546"/>
      <c r="X33" s="551"/>
      <c r="Y33" s="546"/>
      <c r="Z33" s="551"/>
      <c r="AA33" s="546"/>
      <c r="AB33" s="551"/>
      <c r="AC33" s="546"/>
      <c r="AD33" s="506"/>
      <c r="AE33" s="546"/>
      <c r="AF33" s="506"/>
      <c r="AG33" s="546"/>
      <c r="AH33" s="537"/>
    </row>
    <row r="34" spans="1:34" ht="23.25" customHeight="1">
      <c r="A34" s="518"/>
      <c r="B34" s="532"/>
      <c r="C34" s="552" t="s">
        <v>457</v>
      </c>
      <c r="D34" s="534" t="s">
        <v>441</v>
      </c>
      <c r="E34" s="553" t="s">
        <v>442</v>
      </c>
      <c r="F34" s="528" t="s">
        <v>401</v>
      </c>
      <c r="G34" s="534" t="s">
        <v>74</v>
      </c>
      <c r="H34" s="554"/>
      <c r="I34" s="555"/>
      <c r="J34" s="551"/>
      <c r="K34" s="546"/>
      <c r="L34" s="551"/>
      <c r="M34" s="546"/>
      <c r="N34" s="551"/>
      <c r="O34" s="546"/>
      <c r="P34" s="551"/>
      <c r="Q34" s="546"/>
      <c r="R34" s="551"/>
      <c r="S34" s="549"/>
      <c r="T34" s="551"/>
      <c r="U34" s="546"/>
      <c r="V34" s="550"/>
      <c r="W34" s="546"/>
      <c r="X34" s="551"/>
      <c r="Y34" s="546"/>
      <c r="Z34" s="551"/>
      <c r="AA34" s="546"/>
      <c r="AB34" s="551"/>
      <c r="AC34" s="546"/>
      <c r="AD34" s="551"/>
      <c r="AE34" s="546"/>
      <c r="AF34" s="551"/>
      <c r="AG34" s="546"/>
      <c r="AH34" s="537"/>
    </row>
    <row r="35" spans="1:34" ht="22.9" customHeight="1">
      <c r="A35" s="518"/>
      <c r="B35" s="532"/>
      <c r="C35" s="552" t="s">
        <v>457</v>
      </c>
      <c r="D35" s="534" t="s">
        <v>441</v>
      </c>
      <c r="E35" s="553" t="s">
        <v>442</v>
      </c>
      <c r="F35" s="528" t="s">
        <v>401</v>
      </c>
      <c r="G35" s="534" t="s">
        <v>74</v>
      </c>
      <c r="H35" s="554"/>
      <c r="I35" s="555"/>
      <c r="J35" s="551"/>
      <c r="K35" s="546"/>
      <c r="L35" s="551"/>
      <c r="M35" s="546"/>
      <c r="N35" s="551"/>
      <c r="O35" s="546"/>
      <c r="P35" s="551"/>
      <c r="Q35" s="546"/>
      <c r="R35" s="551"/>
      <c r="S35" s="549"/>
      <c r="T35" s="551"/>
      <c r="U35" s="546"/>
      <c r="V35" s="550"/>
      <c r="W35" s="546"/>
      <c r="X35" s="551"/>
      <c r="Y35" s="546"/>
      <c r="Z35" s="551"/>
      <c r="AA35" s="546"/>
      <c r="AB35" s="551"/>
      <c r="AC35" s="546"/>
      <c r="AD35" s="551"/>
      <c r="AE35" s="546"/>
      <c r="AF35" s="551"/>
      <c r="AG35" s="546"/>
      <c r="AH35" s="537"/>
    </row>
    <row r="36" spans="1:34" ht="22.9" customHeight="1">
      <c r="A36" s="518"/>
      <c r="B36" s="532"/>
      <c r="C36" s="552" t="s">
        <v>458</v>
      </c>
      <c r="D36" s="534" t="s">
        <v>441</v>
      </c>
      <c r="E36" s="535" t="s">
        <v>442</v>
      </c>
      <c r="F36" s="528" t="s">
        <v>400</v>
      </c>
      <c r="G36" s="526" t="s">
        <v>459</v>
      </c>
      <c r="H36" s="526" t="s">
        <v>460</v>
      </c>
      <c r="I36" s="556" t="s">
        <v>147</v>
      </c>
      <c r="J36" s="506" t="s">
        <v>454</v>
      </c>
      <c r="K36" s="546">
        <v>19</v>
      </c>
      <c r="L36" s="506" t="s">
        <v>454</v>
      </c>
      <c r="M36" s="546">
        <v>24</v>
      </c>
      <c r="N36" s="506" t="s">
        <v>454</v>
      </c>
      <c r="O36" s="546">
        <v>25</v>
      </c>
      <c r="P36" s="506" t="s">
        <v>454</v>
      </c>
      <c r="Q36" s="546">
        <v>19</v>
      </c>
      <c r="R36" s="506" t="s">
        <v>454</v>
      </c>
      <c r="S36" s="546">
        <v>23</v>
      </c>
      <c r="T36" s="506" t="s">
        <v>454</v>
      </c>
      <c r="U36" s="546">
        <v>20</v>
      </c>
      <c r="V36" s="506" t="s">
        <v>454</v>
      </c>
      <c r="W36" s="546">
        <v>25</v>
      </c>
      <c r="X36" s="506" t="s">
        <v>454</v>
      </c>
      <c r="Y36" s="546">
        <v>22</v>
      </c>
      <c r="Z36" s="506" t="s">
        <v>454</v>
      </c>
      <c r="AA36" s="546">
        <v>20</v>
      </c>
      <c r="AB36" s="506" t="s">
        <v>454</v>
      </c>
      <c r="AC36" s="546">
        <v>24</v>
      </c>
      <c r="AD36" s="506" t="s">
        <v>454</v>
      </c>
      <c r="AE36" s="546">
        <v>21</v>
      </c>
      <c r="AF36" s="506" t="s">
        <v>454</v>
      </c>
      <c r="AG36" s="546">
        <v>22</v>
      </c>
      <c r="AH36" s="537"/>
    </row>
    <row r="37" spans="1:34" ht="22.9" customHeight="1">
      <c r="A37" s="518"/>
      <c r="B37" s="532"/>
      <c r="C37" s="552" t="s">
        <v>461</v>
      </c>
      <c r="D37" s="534" t="s">
        <v>441</v>
      </c>
      <c r="E37" s="553" t="s">
        <v>442</v>
      </c>
      <c r="F37" s="528" t="s">
        <v>401</v>
      </c>
      <c r="G37" s="534" t="s">
        <v>74</v>
      </c>
      <c r="H37" s="554"/>
      <c r="I37" s="555"/>
      <c r="J37" s="550"/>
      <c r="K37" s="546"/>
      <c r="L37" s="551"/>
      <c r="M37" s="546"/>
      <c r="N37" s="551"/>
      <c r="O37" s="546"/>
      <c r="P37" s="551"/>
      <c r="Q37" s="546"/>
      <c r="R37" s="551"/>
      <c r="S37" s="549"/>
      <c r="T37" s="551"/>
      <c r="U37" s="546"/>
      <c r="V37" s="550"/>
      <c r="W37" s="546"/>
      <c r="X37" s="551"/>
      <c r="Y37" s="546"/>
      <c r="Z37" s="551"/>
      <c r="AA37" s="546"/>
      <c r="AB37" s="551"/>
      <c r="AC37" s="546"/>
      <c r="AD37" s="551"/>
      <c r="AE37" s="546"/>
      <c r="AF37" s="551"/>
      <c r="AG37" s="546"/>
      <c r="AH37" s="537"/>
    </row>
    <row r="38" spans="1:34" ht="22.9" customHeight="1">
      <c r="A38" s="518"/>
      <c r="B38" s="532"/>
      <c r="C38" s="552" t="s">
        <v>462</v>
      </c>
      <c r="D38" s="534" t="s">
        <v>441</v>
      </c>
      <c r="E38" s="553" t="s">
        <v>442</v>
      </c>
      <c r="F38" s="528" t="s">
        <v>401</v>
      </c>
      <c r="G38" s="534" t="s">
        <v>74</v>
      </c>
      <c r="H38" s="554"/>
      <c r="I38" s="555"/>
      <c r="J38" s="550"/>
      <c r="K38" s="546"/>
      <c r="L38" s="551"/>
      <c r="M38" s="546"/>
      <c r="N38" s="551"/>
      <c r="O38" s="546"/>
      <c r="P38" s="551"/>
      <c r="Q38" s="546"/>
      <c r="R38" s="551"/>
      <c r="S38" s="549"/>
      <c r="T38" s="551"/>
      <c r="U38" s="546"/>
      <c r="V38" s="550"/>
      <c r="W38" s="546"/>
      <c r="X38" s="551"/>
      <c r="Y38" s="546"/>
      <c r="Z38" s="551"/>
      <c r="AA38" s="546"/>
      <c r="AB38" s="551"/>
      <c r="AC38" s="546"/>
      <c r="AD38" s="551"/>
      <c r="AE38" s="546"/>
      <c r="AF38" s="551"/>
      <c r="AG38" s="546"/>
      <c r="AH38" s="537"/>
    </row>
    <row r="39" spans="1:34" ht="22.9" customHeight="1" thickBot="1">
      <c r="A39" s="518"/>
      <c r="B39" s="557"/>
      <c r="C39" s="558" t="s">
        <v>463</v>
      </c>
      <c r="D39" s="559" t="s">
        <v>441</v>
      </c>
      <c r="E39" s="560" t="s">
        <v>442</v>
      </c>
      <c r="F39" s="561" t="s">
        <v>401</v>
      </c>
      <c r="G39" s="559" t="s">
        <v>74</v>
      </c>
      <c r="H39" s="562"/>
      <c r="I39" s="515"/>
      <c r="J39" s="514"/>
      <c r="K39" s="512"/>
      <c r="L39" s="513"/>
      <c r="M39" s="512"/>
      <c r="N39" s="513"/>
      <c r="O39" s="512"/>
      <c r="P39" s="513"/>
      <c r="Q39" s="512"/>
      <c r="R39" s="513"/>
      <c r="S39" s="563"/>
      <c r="T39" s="513"/>
      <c r="U39" s="512"/>
      <c r="V39" s="514"/>
      <c r="W39" s="512"/>
      <c r="X39" s="513"/>
      <c r="Y39" s="512"/>
      <c r="Z39" s="513"/>
      <c r="AA39" s="512"/>
      <c r="AB39" s="513"/>
      <c r="AC39" s="512"/>
      <c r="AD39" s="513"/>
      <c r="AE39" s="512"/>
      <c r="AF39" s="513"/>
      <c r="AG39" s="512"/>
      <c r="AH39" s="564"/>
    </row>
    <row r="40" spans="1:34" ht="23.25" customHeight="1">
      <c r="A40" s="518"/>
      <c r="B40" s="532" t="s">
        <v>38</v>
      </c>
      <c r="C40" s="533" t="s">
        <v>464</v>
      </c>
      <c r="D40" s="526" t="s">
        <v>441</v>
      </c>
      <c r="E40" s="535" t="s">
        <v>465</v>
      </c>
      <c r="F40" s="565" t="s">
        <v>400</v>
      </c>
      <c r="G40" s="547" t="s">
        <v>466</v>
      </c>
      <c r="H40" s="566" t="s">
        <v>467</v>
      </c>
      <c r="I40" s="548" t="s">
        <v>468</v>
      </c>
      <c r="J40" s="506" t="s">
        <v>454</v>
      </c>
      <c r="K40" s="546">
        <v>12</v>
      </c>
      <c r="L40" s="506"/>
      <c r="M40" s="505"/>
      <c r="N40" s="506" t="s">
        <v>454</v>
      </c>
      <c r="O40" s="546">
        <v>23</v>
      </c>
      <c r="P40" s="506"/>
      <c r="Q40" s="505"/>
      <c r="R40" s="506" t="s">
        <v>454</v>
      </c>
      <c r="S40" s="546">
        <v>17</v>
      </c>
      <c r="T40" s="506"/>
      <c r="U40" s="505"/>
      <c r="V40" s="506" t="s">
        <v>455</v>
      </c>
      <c r="W40" s="546">
        <v>25</v>
      </c>
      <c r="X40" s="506"/>
      <c r="Y40" s="505"/>
      <c r="Z40" s="506" t="s">
        <v>454</v>
      </c>
      <c r="AA40" s="546">
        <v>22</v>
      </c>
      <c r="AB40" s="506"/>
      <c r="AC40" s="505"/>
      <c r="AD40" s="506" t="s">
        <v>454</v>
      </c>
      <c r="AE40" s="546">
        <v>15</v>
      </c>
      <c r="AF40" s="506"/>
      <c r="AG40" s="505"/>
      <c r="AH40" s="567" t="s">
        <v>469</v>
      </c>
    </row>
    <row r="41" spans="1:34" ht="23.25" customHeight="1">
      <c r="A41" s="518"/>
      <c r="B41" s="532"/>
      <c r="C41" s="568" t="s">
        <v>470</v>
      </c>
      <c r="D41" s="534" t="s">
        <v>441</v>
      </c>
      <c r="E41" s="569" t="s">
        <v>471</v>
      </c>
      <c r="F41" s="528" t="s">
        <v>401</v>
      </c>
      <c r="G41" s="570" t="s">
        <v>472</v>
      </c>
      <c r="H41" s="571"/>
      <c r="I41" s="572"/>
      <c r="J41" s="573"/>
      <c r="K41" s="574"/>
      <c r="L41" s="573"/>
      <c r="M41" s="574"/>
      <c r="N41" s="573"/>
      <c r="O41" s="574"/>
      <c r="P41" s="573"/>
      <c r="Q41" s="574"/>
      <c r="R41" s="573"/>
      <c r="S41" s="574"/>
      <c r="T41" s="573"/>
      <c r="U41" s="574"/>
      <c r="V41" s="575"/>
      <c r="W41" s="574"/>
      <c r="X41" s="573"/>
      <c r="Y41" s="574"/>
      <c r="Z41" s="573"/>
      <c r="AA41" s="574"/>
      <c r="AB41" s="573"/>
      <c r="AC41" s="574"/>
      <c r="AD41" s="573"/>
      <c r="AE41" s="574"/>
      <c r="AF41" s="573"/>
      <c r="AG41" s="574"/>
      <c r="AH41" s="576"/>
    </row>
    <row r="42" spans="1:34" ht="25.5" customHeight="1" thickBot="1">
      <c r="A42" s="577"/>
      <c r="B42" s="578"/>
      <c r="C42" s="579" t="s">
        <v>473</v>
      </c>
      <c r="D42" s="559" t="s">
        <v>441</v>
      </c>
      <c r="E42" s="580" t="s">
        <v>471</v>
      </c>
      <c r="F42" s="561" t="s">
        <v>401</v>
      </c>
      <c r="G42" s="581" t="s">
        <v>74</v>
      </c>
      <c r="H42" s="582"/>
      <c r="I42" s="515"/>
      <c r="J42" s="583"/>
      <c r="K42" s="584"/>
      <c r="L42" s="583"/>
      <c r="M42" s="584"/>
      <c r="N42" s="513"/>
      <c r="O42" s="584"/>
      <c r="P42" s="583"/>
      <c r="Q42" s="584"/>
      <c r="R42" s="583"/>
      <c r="S42" s="584"/>
      <c r="T42" s="583"/>
      <c r="U42" s="584"/>
      <c r="V42" s="585"/>
      <c r="W42" s="584"/>
      <c r="X42" s="583"/>
      <c r="Y42" s="584"/>
      <c r="Z42" s="583"/>
      <c r="AA42" s="584"/>
      <c r="AB42" s="583"/>
      <c r="AC42" s="584"/>
      <c r="AD42" s="583"/>
      <c r="AE42" s="584"/>
      <c r="AF42" s="583"/>
      <c r="AG42" s="584"/>
      <c r="AH42" s="586"/>
    </row>
    <row r="43" spans="1:34" ht="23.25" customHeight="1">
      <c r="A43" s="518"/>
      <c r="B43" s="532" t="s">
        <v>87</v>
      </c>
      <c r="C43" s="533" t="s">
        <v>474</v>
      </c>
      <c r="D43" s="526" t="s">
        <v>441</v>
      </c>
      <c r="E43" s="535" t="s">
        <v>405</v>
      </c>
      <c r="F43" s="565" t="s">
        <v>400</v>
      </c>
      <c r="G43" s="526" t="s">
        <v>475</v>
      </c>
      <c r="H43" s="587" t="s">
        <v>476</v>
      </c>
      <c r="I43" s="556" t="s">
        <v>147</v>
      </c>
      <c r="J43" s="506" t="s">
        <v>454</v>
      </c>
      <c r="K43" s="505">
        <v>11</v>
      </c>
      <c r="L43" s="506" t="s">
        <v>454</v>
      </c>
      <c r="M43" s="505">
        <v>12</v>
      </c>
      <c r="N43" s="506" t="s">
        <v>454</v>
      </c>
      <c r="O43" s="505">
        <v>30</v>
      </c>
      <c r="P43" s="506" t="s">
        <v>454</v>
      </c>
      <c r="Q43" s="505">
        <v>12</v>
      </c>
      <c r="R43" s="506" t="s">
        <v>454</v>
      </c>
      <c r="S43" s="505">
        <v>9</v>
      </c>
      <c r="T43" s="506" t="s">
        <v>454</v>
      </c>
      <c r="U43" s="505">
        <v>29</v>
      </c>
      <c r="V43" s="506" t="s">
        <v>454</v>
      </c>
      <c r="W43" s="505">
        <v>24</v>
      </c>
      <c r="X43" s="506" t="s">
        <v>454</v>
      </c>
      <c r="Y43" s="505">
        <v>15</v>
      </c>
      <c r="Z43" s="506" t="s">
        <v>454</v>
      </c>
      <c r="AA43" s="505">
        <v>15</v>
      </c>
      <c r="AB43" s="506"/>
      <c r="AC43" s="505"/>
      <c r="AD43" s="506" t="s">
        <v>454</v>
      </c>
      <c r="AE43" s="505">
        <v>24</v>
      </c>
      <c r="AF43" s="506"/>
      <c r="AG43" s="505"/>
      <c r="AH43" s="567" t="s">
        <v>477</v>
      </c>
    </row>
    <row r="44" spans="1:34" ht="23.25" customHeight="1">
      <c r="A44" s="518"/>
      <c r="B44" s="532"/>
      <c r="C44" s="533" t="s">
        <v>478</v>
      </c>
      <c r="D44" s="526" t="s">
        <v>441</v>
      </c>
      <c r="E44" s="535" t="s">
        <v>405</v>
      </c>
      <c r="F44" s="565" t="s">
        <v>400</v>
      </c>
      <c r="G44" s="535" t="s">
        <v>479</v>
      </c>
      <c r="H44" s="535" t="s">
        <v>479</v>
      </c>
      <c r="I44" s="556" t="s">
        <v>147</v>
      </c>
      <c r="J44" s="506"/>
      <c r="K44" s="505"/>
      <c r="L44" s="506"/>
      <c r="M44" s="505"/>
      <c r="N44" s="506"/>
      <c r="O44" s="505"/>
      <c r="P44" s="506"/>
      <c r="Q44" s="505"/>
      <c r="R44" s="506" t="s">
        <v>454</v>
      </c>
      <c r="S44" s="505">
        <v>15</v>
      </c>
      <c r="T44" s="506"/>
      <c r="U44" s="505"/>
      <c r="V44" s="507"/>
      <c r="W44" s="505"/>
      <c r="X44" s="506"/>
      <c r="Y44" s="505"/>
      <c r="Z44" s="506"/>
      <c r="AA44" s="505"/>
      <c r="AB44" s="506"/>
      <c r="AC44" s="505"/>
      <c r="AD44" s="506"/>
      <c r="AE44" s="505"/>
      <c r="AF44" s="506"/>
      <c r="AG44" s="505"/>
      <c r="AH44" s="567"/>
    </row>
    <row r="45" spans="1:34" ht="23.25" customHeight="1">
      <c r="A45" s="518"/>
      <c r="B45" s="532"/>
      <c r="C45" s="533" t="s">
        <v>480</v>
      </c>
      <c r="D45" s="526" t="s">
        <v>441</v>
      </c>
      <c r="E45" s="535" t="s">
        <v>405</v>
      </c>
      <c r="F45" s="565" t="s">
        <v>401</v>
      </c>
      <c r="G45" s="535" t="s">
        <v>479</v>
      </c>
      <c r="H45" s="587"/>
      <c r="I45" s="548"/>
      <c r="J45" s="506"/>
      <c r="K45" s="505"/>
      <c r="L45" s="506"/>
      <c r="M45" s="505"/>
      <c r="N45" s="506"/>
      <c r="O45" s="505"/>
      <c r="P45" s="506"/>
      <c r="Q45" s="505"/>
      <c r="R45" s="506"/>
      <c r="S45" s="505"/>
      <c r="T45" s="506"/>
      <c r="U45" s="505"/>
      <c r="V45" s="507"/>
      <c r="W45" s="505"/>
      <c r="X45" s="506"/>
      <c r="Y45" s="505"/>
      <c r="Z45" s="506"/>
      <c r="AA45" s="505"/>
      <c r="AB45" s="506"/>
      <c r="AC45" s="505"/>
      <c r="AD45" s="506"/>
      <c r="AE45" s="505"/>
      <c r="AF45" s="506"/>
      <c r="AG45" s="505"/>
      <c r="AH45" s="567"/>
    </row>
    <row r="46" spans="1:34" ht="25.5" customHeight="1">
      <c r="A46" s="577"/>
      <c r="B46" s="588"/>
      <c r="C46" s="589" t="s">
        <v>481</v>
      </c>
      <c r="D46" s="534" t="s">
        <v>441</v>
      </c>
      <c r="E46" s="590" t="s">
        <v>405</v>
      </c>
      <c r="F46" s="528" t="s">
        <v>400</v>
      </c>
      <c r="G46" s="591" t="s">
        <v>459</v>
      </c>
      <c r="H46" s="592" t="s">
        <v>460</v>
      </c>
      <c r="I46" s="556" t="s">
        <v>147</v>
      </c>
      <c r="J46" s="506" t="s">
        <v>454</v>
      </c>
      <c r="K46" s="505">
        <v>30</v>
      </c>
      <c r="L46" s="506" t="s">
        <v>482</v>
      </c>
      <c r="M46" s="505">
        <v>30</v>
      </c>
      <c r="N46" s="506" t="s">
        <v>454</v>
      </c>
      <c r="O46" s="505">
        <v>12</v>
      </c>
      <c r="P46" s="506" t="s">
        <v>454</v>
      </c>
      <c r="Q46" s="505">
        <v>23</v>
      </c>
      <c r="R46" s="506" t="s">
        <v>454</v>
      </c>
      <c r="S46" s="505">
        <v>27</v>
      </c>
      <c r="T46" s="506" t="s">
        <v>454</v>
      </c>
      <c r="U46" s="505">
        <v>24</v>
      </c>
      <c r="V46" s="506" t="s">
        <v>454</v>
      </c>
      <c r="W46" s="505">
        <v>22</v>
      </c>
      <c r="X46" s="506" t="s">
        <v>482</v>
      </c>
      <c r="Y46" s="505">
        <v>26</v>
      </c>
      <c r="Z46" s="506" t="s">
        <v>454</v>
      </c>
      <c r="AA46" s="505">
        <v>24</v>
      </c>
      <c r="AB46" s="506" t="s">
        <v>454</v>
      </c>
      <c r="AC46" s="505">
        <v>20</v>
      </c>
      <c r="AD46" s="506" t="s">
        <v>454</v>
      </c>
      <c r="AE46" s="505">
        <v>25</v>
      </c>
      <c r="AF46" s="506" t="s">
        <v>454</v>
      </c>
      <c r="AG46" s="505">
        <v>7</v>
      </c>
      <c r="AH46" s="593" t="s">
        <v>483</v>
      </c>
    </row>
    <row r="47" spans="1:34" ht="23.25" customHeight="1">
      <c r="A47" s="518"/>
      <c r="B47" s="532"/>
      <c r="C47" s="533" t="s">
        <v>484</v>
      </c>
      <c r="D47" s="534" t="s">
        <v>441</v>
      </c>
      <c r="E47" s="535" t="s">
        <v>405</v>
      </c>
      <c r="F47" s="528" t="s">
        <v>401</v>
      </c>
      <c r="G47" s="526" t="s">
        <v>485</v>
      </c>
      <c r="H47" s="547"/>
      <c r="I47" s="548"/>
      <c r="J47" s="504"/>
      <c r="K47" s="505"/>
      <c r="L47" s="506"/>
      <c r="M47" s="505"/>
      <c r="N47" s="506"/>
      <c r="O47" s="505"/>
      <c r="P47" s="506"/>
      <c r="Q47" s="505"/>
      <c r="R47" s="506"/>
      <c r="S47" s="505"/>
      <c r="T47" s="506"/>
      <c r="U47" s="505"/>
      <c r="V47" s="507"/>
      <c r="W47" s="505"/>
      <c r="X47" s="506"/>
      <c r="Y47" s="505"/>
      <c r="Z47" s="506"/>
      <c r="AA47" s="505"/>
      <c r="AB47" s="506"/>
      <c r="AC47" s="505"/>
      <c r="AD47" s="506"/>
      <c r="AE47" s="505"/>
      <c r="AF47" s="506"/>
      <c r="AG47" s="505"/>
      <c r="AH47" s="537"/>
    </row>
    <row r="48" spans="1:34" ht="23.25" customHeight="1">
      <c r="A48" s="518"/>
      <c r="B48" s="532"/>
      <c r="C48" s="533" t="s">
        <v>486</v>
      </c>
      <c r="D48" s="534" t="s">
        <v>441</v>
      </c>
      <c r="E48" s="535" t="s">
        <v>405</v>
      </c>
      <c r="F48" s="528" t="s">
        <v>401</v>
      </c>
      <c r="G48" s="526" t="s">
        <v>74</v>
      </c>
      <c r="H48" s="547"/>
      <c r="I48" s="555"/>
      <c r="J48" s="504"/>
      <c r="K48" s="505"/>
      <c r="L48" s="506"/>
      <c r="M48" s="505"/>
      <c r="N48" s="506"/>
      <c r="O48" s="505"/>
      <c r="P48" s="506"/>
      <c r="Q48" s="505"/>
      <c r="R48" s="506"/>
      <c r="S48" s="505"/>
      <c r="T48" s="506"/>
      <c r="U48" s="505"/>
      <c r="V48" s="507"/>
      <c r="W48" s="505"/>
      <c r="X48" s="506"/>
      <c r="Y48" s="505"/>
      <c r="Z48" s="506"/>
      <c r="AA48" s="505"/>
      <c r="AB48" s="506"/>
      <c r="AC48" s="505"/>
      <c r="AD48" s="506"/>
      <c r="AE48" s="505"/>
      <c r="AF48" s="506"/>
      <c r="AG48" s="505"/>
      <c r="AH48" s="537"/>
    </row>
    <row r="49" spans="1:34" ht="23.25" customHeight="1">
      <c r="A49" s="518"/>
      <c r="B49" s="532"/>
      <c r="C49" s="533" t="s">
        <v>487</v>
      </c>
      <c r="D49" s="534" t="s">
        <v>441</v>
      </c>
      <c r="E49" s="535" t="s">
        <v>405</v>
      </c>
      <c r="F49" s="528" t="s">
        <v>400</v>
      </c>
      <c r="G49" s="526" t="s">
        <v>488</v>
      </c>
      <c r="H49" s="547" t="s">
        <v>467</v>
      </c>
      <c r="I49" s="556" t="s">
        <v>147</v>
      </c>
      <c r="J49" s="504"/>
      <c r="K49" s="505"/>
      <c r="L49" s="506"/>
      <c r="M49" s="505"/>
      <c r="N49" s="506"/>
      <c r="O49" s="505"/>
      <c r="P49" s="506"/>
      <c r="Q49" s="505"/>
      <c r="R49" s="506"/>
      <c r="S49" s="505"/>
      <c r="T49" s="506"/>
      <c r="U49" s="505"/>
      <c r="V49" s="506" t="s">
        <v>454</v>
      </c>
      <c r="W49" s="505">
        <v>22</v>
      </c>
      <c r="X49" s="506" t="s">
        <v>454</v>
      </c>
      <c r="Y49" s="505">
        <v>26</v>
      </c>
      <c r="Z49" s="506" t="s">
        <v>454</v>
      </c>
      <c r="AA49" s="505">
        <v>24</v>
      </c>
      <c r="AB49" s="506" t="s">
        <v>454</v>
      </c>
      <c r="AC49" s="505">
        <v>28</v>
      </c>
      <c r="AD49" s="506" t="s">
        <v>454</v>
      </c>
      <c r="AE49" s="505">
        <v>25</v>
      </c>
      <c r="AF49" s="506" t="s">
        <v>454</v>
      </c>
      <c r="AG49" s="505">
        <v>22</v>
      </c>
      <c r="AH49" s="537" t="s">
        <v>489</v>
      </c>
    </row>
    <row r="50" spans="1:34" ht="23.25" customHeight="1">
      <c r="A50" s="518"/>
      <c r="B50" s="532"/>
      <c r="C50" s="533" t="s">
        <v>490</v>
      </c>
      <c r="D50" s="534" t="s">
        <v>441</v>
      </c>
      <c r="E50" s="535" t="s">
        <v>405</v>
      </c>
      <c r="F50" s="528" t="s">
        <v>401</v>
      </c>
      <c r="G50" s="591" t="s">
        <v>491</v>
      </c>
      <c r="H50" s="591"/>
      <c r="I50" s="548"/>
      <c r="J50" s="504"/>
      <c r="K50" s="505"/>
      <c r="L50" s="506"/>
      <c r="M50" s="505"/>
      <c r="N50" s="506"/>
      <c r="O50" s="505"/>
      <c r="P50" s="506"/>
      <c r="Q50" s="505"/>
      <c r="R50" s="506"/>
      <c r="S50" s="505"/>
      <c r="T50" s="506"/>
      <c r="U50" s="505"/>
      <c r="V50" s="507"/>
      <c r="W50" s="505"/>
      <c r="X50" s="506"/>
      <c r="Y50" s="505"/>
      <c r="Z50" s="506"/>
      <c r="AA50" s="505"/>
      <c r="AB50" s="506"/>
      <c r="AC50" s="505"/>
      <c r="AD50" s="506"/>
      <c r="AE50" s="505"/>
      <c r="AF50" s="506"/>
      <c r="AG50" s="505"/>
      <c r="AH50" s="537"/>
    </row>
    <row r="51" spans="1:34" ht="23.25" customHeight="1">
      <c r="A51" s="518"/>
      <c r="B51" s="532"/>
      <c r="C51" s="533" t="s">
        <v>492</v>
      </c>
      <c r="D51" s="534" t="s">
        <v>441</v>
      </c>
      <c r="E51" s="535" t="s">
        <v>405</v>
      </c>
      <c r="F51" s="528" t="s">
        <v>401</v>
      </c>
      <c r="G51" s="526" t="s">
        <v>74</v>
      </c>
      <c r="H51" s="547"/>
      <c r="I51" s="548"/>
      <c r="J51" s="504"/>
      <c r="K51" s="505"/>
      <c r="L51" s="506"/>
      <c r="M51" s="505"/>
      <c r="N51" s="506"/>
      <c r="O51" s="505"/>
      <c r="P51" s="506"/>
      <c r="Q51" s="505"/>
      <c r="R51" s="506"/>
      <c r="S51" s="505"/>
      <c r="T51" s="506"/>
      <c r="U51" s="505"/>
      <c r="V51" s="507"/>
      <c r="W51" s="505"/>
      <c r="X51" s="506"/>
      <c r="Y51" s="505"/>
      <c r="Z51" s="506"/>
      <c r="AA51" s="505"/>
      <c r="AB51" s="506"/>
      <c r="AC51" s="505"/>
      <c r="AD51" s="506"/>
      <c r="AE51" s="505"/>
      <c r="AF51" s="506"/>
      <c r="AG51" s="505"/>
      <c r="AH51" s="537"/>
    </row>
    <row r="52" spans="1:34" ht="23.25" customHeight="1">
      <c r="A52" s="518"/>
      <c r="B52" s="532"/>
      <c r="C52" s="533" t="s">
        <v>493</v>
      </c>
      <c r="D52" s="534" t="s">
        <v>441</v>
      </c>
      <c r="E52" s="535" t="s">
        <v>405</v>
      </c>
      <c r="F52" s="528" t="s">
        <v>401</v>
      </c>
      <c r="G52" s="526" t="s">
        <v>104</v>
      </c>
      <c r="H52" s="526"/>
      <c r="I52" s="548"/>
      <c r="J52" s="504"/>
      <c r="K52" s="505"/>
      <c r="L52" s="506"/>
      <c r="M52" s="505"/>
      <c r="N52" s="506"/>
      <c r="O52" s="505"/>
      <c r="P52" s="506"/>
      <c r="Q52" s="505"/>
      <c r="R52" s="506"/>
      <c r="S52" s="505"/>
      <c r="T52" s="506"/>
      <c r="U52" s="505"/>
      <c r="V52" s="507"/>
      <c r="W52" s="505"/>
      <c r="X52" s="506"/>
      <c r="Y52" s="505"/>
      <c r="Z52" s="506"/>
      <c r="AA52" s="505"/>
      <c r="AB52" s="506"/>
      <c r="AC52" s="505"/>
      <c r="AD52" s="506"/>
      <c r="AE52" s="505"/>
      <c r="AF52" s="506"/>
      <c r="AG52" s="505"/>
      <c r="AH52" s="537"/>
    </row>
    <row r="53" spans="1:34" ht="23.25" customHeight="1">
      <c r="A53" s="518"/>
      <c r="B53" s="532"/>
      <c r="C53" s="533" t="s">
        <v>494</v>
      </c>
      <c r="D53" s="534" t="s">
        <v>441</v>
      </c>
      <c r="E53" s="535" t="s">
        <v>405</v>
      </c>
      <c r="F53" s="528" t="s">
        <v>401</v>
      </c>
      <c r="G53" s="526" t="s">
        <v>104</v>
      </c>
      <c r="H53" s="526"/>
      <c r="I53" s="548"/>
      <c r="J53" s="507"/>
      <c r="K53" s="505"/>
      <c r="L53" s="506"/>
      <c r="M53" s="505"/>
      <c r="N53" s="506"/>
      <c r="O53" s="505"/>
      <c r="P53" s="506"/>
      <c r="Q53" s="505"/>
      <c r="R53" s="506"/>
      <c r="S53" s="505"/>
      <c r="T53" s="506"/>
      <c r="U53" s="505"/>
      <c r="V53" s="507"/>
      <c r="W53" s="505"/>
      <c r="X53" s="506"/>
      <c r="Y53" s="505"/>
      <c r="Z53" s="506"/>
      <c r="AA53" s="505"/>
      <c r="AB53" s="506"/>
      <c r="AC53" s="505"/>
      <c r="AD53" s="506"/>
      <c r="AE53" s="505"/>
      <c r="AF53" s="506"/>
      <c r="AG53" s="505"/>
      <c r="AH53" s="537"/>
    </row>
    <row r="54" spans="1:34" ht="23.25" customHeight="1">
      <c r="A54" s="518"/>
      <c r="B54" s="532"/>
      <c r="C54" s="533" t="s">
        <v>495</v>
      </c>
      <c r="D54" s="534" t="s">
        <v>441</v>
      </c>
      <c r="E54" s="535" t="s">
        <v>405</v>
      </c>
      <c r="F54" s="528" t="s">
        <v>401</v>
      </c>
      <c r="G54" s="526" t="s">
        <v>496</v>
      </c>
      <c r="H54" s="547"/>
      <c r="I54" s="548"/>
      <c r="J54" s="506"/>
      <c r="K54" s="546"/>
      <c r="L54" s="506"/>
      <c r="M54" s="546"/>
      <c r="N54" s="506"/>
      <c r="O54" s="546"/>
      <c r="P54" s="506"/>
      <c r="Q54" s="546"/>
      <c r="R54" s="506"/>
      <c r="S54" s="546"/>
      <c r="T54" s="506"/>
      <c r="U54" s="546"/>
      <c r="V54" s="507"/>
      <c r="W54" s="546"/>
      <c r="X54" s="506"/>
      <c r="Y54" s="546"/>
      <c r="Z54" s="506"/>
      <c r="AA54" s="546"/>
      <c r="AB54" s="506"/>
      <c r="AC54" s="546"/>
      <c r="AD54" s="506"/>
      <c r="AE54" s="546"/>
      <c r="AF54" s="506"/>
      <c r="AG54" s="546"/>
      <c r="AH54" s="537"/>
    </row>
    <row r="55" spans="1:34" ht="23.25" customHeight="1">
      <c r="A55" s="518"/>
      <c r="B55" s="532"/>
      <c r="C55" s="533" t="s">
        <v>497</v>
      </c>
      <c r="D55" s="534" t="s">
        <v>441</v>
      </c>
      <c r="E55" s="535" t="s">
        <v>405</v>
      </c>
      <c r="F55" s="528" t="s">
        <v>401</v>
      </c>
      <c r="G55" s="526" t="s">
        <v>496</v>
      </c>
      <c r="H55" s="547"/>
      <c r="I55" s="548"/>
      <c r="J55" s="506"/>
      <c r="K55" s="546"/>
      <c r="L55" s="506"/>
      <c r="M55" s="546"/>
      <c r="N55" s="506"/>
      <c r="O55" s="546"/>
      <c r="P55" s="506"/>
      <c r="Q55" s="546"/>
      <c r="R55" s="506"/>
      <c r="S55" s="546"/>
      <c r="T55" s="506"/>
      <c r="U55" s="546"/>
      <c r="V55" s="507"/>
      <c r="W55" s="546"/>
      <c r="X55" s="506"/>
      <c r="Y55" s="546"/>
      <c r="Z55" s="506"/>
      <c r="AA55" s="546"/>
      <c r="AB55" s="506"/>
      <c r="AC55" s="546"/>
      <c r="AD55" s="506"/>
      <c r="AE55" s="546"/>
      <c r="AF55" s="506"/>
      <c r="AG55" s="546"/>
      <c r="AH55" s="537"/>
    </row>
    <row r="56" spans="1:34" ht="23.25" customHeight="1">
      <c r="A56" s="518"/>
      <c r="B56" s="532"/>
      <c r="C56" s="533" t="s">
        <v>498</v>
      </c>
      <c r="D56" s="534" t="s">
        <v>441</v>
      </c>
      <c r="E56" s="535" t="s">
        <v>405</v>
      </c>
      <c r="F56" s="570" t="s">
        <v>401</v>
      </c>
      <c r="G56" s="526" t="s">
        <v>496</v>
      </c>
      <c r="H56" s="547"/>
      <c r="I56" s="548"/>
      <c r="J56" s="504"/>
      <c r="K56" s="505"/>
      <c r="L56" s="506"/>
      <c r="M56" s="505"/>
      <c r="N56" s="506"/>
      <c r="O56" s="505"/>
      <c r="P56" s="506"/>
      <c r="Q56" s="505"/>
      <c r="R56" s="506"/>
      <c r="S56" s="505"/>
      <c r="T56" s="506"/>
      <c r="U56" s="505"/>
      <c r="V56" s="507"/>
      <c r="W56" s="505"/>
      <c r="X56" s="506"/>
      <c r="Y56" s="505"/>
      <c r="Z56" s="506"/>
      <c r="AA56" s="505"/>
      <c r="AB56" s="506"/>
      <c r="AC56" s="505"/>
      <c r="AD56" s="506"/>
      <c r="AE56" s="505"/>
      <c r="AF56" s="506"/>
      <c r="AG56" s="505"/>
      <c r="AH56" s="537"/>
    </row>
    <row r="57" spans="1:34" ht="23.25" customHeight="1">
      <c r="A57" s="518"/>
      <c r="B57" s="532"/>
      <c r="C57" s="533" t="s">
        <v>499</v>
      </c>
      <c r="D57" s="534" t="s">
        <v>441</v>
      </c>
      <c r="E57" s="535" t="s">
        <v>405</v>
      </c>
      <c r="F57" s="528" t="s">
        <v>401</v>
      </c>
      <c r="G57" s="526" t="s">
        <v>104</v>
      </c>
      <c r="H57" s="547"/>
      <c r="I57" s="548"/>
      <c r="J57" s="504"/>
      <c r="K57" s="505"/>
      <c r="L57" s="506"/>
      <c r="M57" s="505"/>
      <c r="N57" s="506"/>
      <c r="O57" s="505"/>
      <c r="P57" s="506"/>
      <c r="Q57" s="505"/>
      <c r="R57" s="506"/>
      <c r="S57" s="505"/>
      <c r="T57" s="506"/>
      <c r="U57" s="505"/>
      <c r="V57" s="507"/>
      <c r="W57" s="505"/>
      <c r="X57" s="506"/>
      <c r="Y57" s="505"/>
      <c r="Z57" s="506"/>
      <c r="AA57" s="505"/>
      <c r="AB57" s="506"/>
      <c r="AC57" s="505"/>
      <c r="AD57" s="506"/>
      <c r="AE57" s="505"/>
      <c r="AF57" s="506"/>
      <c r="AG57" s="505"/>
      <c r="AH57" s="537"/>
    </row>
    <row r="58" spans="1:34" ht="23.25" customHeight="1">
      <c r="A58" s="518"/>
      <c r="B58" s="532"/>
      <c r="C58" s="533" t="s">
        <v>500</v>
      </c>
      <c r="D58" s="534" t="s">
        <v>441</v>
      </c>
      <c r="E58" s="535" t="s">
        <v>405</v>
      </c>
      <c r="F58" s="528" t="s">
        <v>401</v>
      </c>
      <c r="G58" s="526" t="s">
        <v>104</v>
      </c>
      <c r="H58" s="547"/>
      <c r="I58" s="548"/>
      <c r="J58" s="504"/>
      <c r="K58" s="505"/>
      <c r="L58" s="506"/>
      <c r="M58" s="505"/>
      <c r="N58" s="506"/>
      <c r="O58" s="505"/>
      <c r="P58" s="506"/>
      <c r="Q58" s="505"/>
      <c r="R58" s="506"/>
      <c r="S58" s="505"/>
      <c r="T58" s="506"/>
      <c r="U58" s="505"/>
      <c r="V58" s="507"/>
      <c r="W58" s="505"/>
      <c r="X58" s="506"/>
      <c r="Y58" s="505"/>
      <c r="Z58" s="506"/>
      <c r="AA58" s="505"/>
      <c r="AB58" s="506"/>
      <c r="AC58" s="505"/>
      <c r="AD58" s="506"/>
      <c r="AE58" s="505"/>
      <c r="AF58" s="506"/>
      <c r="AG58" s="505"/>
      <c r="AH58" s="537"/>
    </row>
    <row r="59" spans="1:34" ht="23.25" customHeight="1">
      <c r="A59" s="518"/>
      <c r="B59" s="532"/>
      <c r="C59" s="533" t="s">
        <v>501</v>
      </c>
      <c r="D59" s="534" t="s">
        <v>441</v>
      </c>
      <c r="E59" s="535" t="s">
        <v>405</v>
      </c>
      <c r="F59" s="528" t="s">
        <v>400</v>
      </c>
      <c r="G59" s="570" t="s">
        <v>502</v>
      </c>
      <c r="H59" s="547" t="s">
        <v>460</v>
      </c>
      <c r="I59" s="594" t="s">
        <v>157</v>
      </c>
      <c r="J59" s="506" t="s">
        <v>454</v>
      </c>
      <c r="K59" s="505">
        <v>27</v>
      </c>
      <c r="L59" s="506" t="s">
        <v>454</v>
      </c>
      <c r="M59" s="505">
        <v>27</v>
      </c>
      <c r="N59" s="506" t="s">
        <v>454</v>
      </c>
      <c r="O59" s="505">
        <v>25</v>
      </c>
      <c r="P59" s="506" t="s">
        <v>454</v>
      </c>
      <c r="Q59" s="505">
        <v>27</v>
      </c>
      <c r="R59" s="506" t="s">
        <v>454</v>
      </c>
      <c r="S59" s="505">
        <v>18</v>
      </c>
      <c r="T59" s="506" t="s">
        <v>454</v>
      </c>
      <c r="U59" s="505">
        <v>26</v>
      </c>
      <c r="V59" s="506" t="s">
        <v>454</v>
      </c>
      <c r="W59" s="505">
        <v>26</v>
      </c>
      <c r="X59" s="506" t="s">
        <v>454</v>
      </c>
      <c r="Y59" s="505">
        <v>25</v>
      </c>
      <c r="Z59" s="506" t="s">
        <v>454</v>
      </c>
      <c r="AA59" s="505">
        <v>24</v>
      </c>
      <c r="AB59" s="506" t="s">
        <v>454</v>
      </c>
      <c r="AC59" s="505">
        <v>30</v>
      </c>
      <c r="AD59" s="506" t="s">
        <v>454</v>
      </c>
      <c r="AE59" s="505">
        <v>27</v>
      </c>
      <c r="AF59" s="506" t="s">
        <v>454</v>
      </c>
      <c r="AG59" s="505">
        <v>29</v>
      </c>
      <c r="AH59" s="537"/>
    </row>
    <row r="60" spans="1:34" ht="23.25" customHeight="1">
      <c r="A60" s="518"/>
      <c r="B60" s="532"/>
      <c r="C60" s="533" t="s">
        <v>503</v>
      </c>
      <c r="D60" s="534" t="s">
        <v>441</v>
      </c>
      <c r="E60" s="535" t="s">
        <v>405</v>
      </c>
      <c r="F60" s="528" t="s">
        <v>400</v>
      </c>
      <c r="G60" s="526" t="s">
        <v>74</v>
      </c>
      <c r="H60" s="526" t="s">
        <v>74</v>
      </c>
      <c r="I60" s="556" t="s">
        <v>147</v>
      </c>
      <c r="J60" s="504"/>
      <c r="K60" s="505"/>
      <c r="L60" s="506"/>
      <c r="M60" s="505"/>
      <c r="N60" s="506"/>
      <c r="O60" s="505"/>
      <c r="P60" s="506"/>
      <c r="Q60" s="505"/>
      <c r="R60" s="506"/>
      <c r="S60" s="505"/>
      <c r="T60" s="506"/>
      <c r="U60" s="505"/>
      <c r="V60" s="507"/>
      <c r="W60" s="505"/>
      <c r="X60" s="506"/>
      <c r="Y60" s="505"/>
      <c r="Z60" s="506"/>
      <c r="AA60" s="505"/>
      <c r="AB60" s="506"/>
      <c r="AC60" s="505"/>
      <c r="AD60" s="506"/>
      <c r="AE60" s="505"/>
      <c r="AF60" s="506"/>
      <c r="AG60" s="505"/>
      <c r="AH60" s="537"/>
    </row>
    <row r="61" spans="1:34" ht="22.5" customHeight="1">
      <c r="A61" s="518"/>
      <c r="B61" s="532"/>
      <c r="C61" s="595" t="s">
        <v>504</v>
      </c>
      <c r="D61" s="534" t="s">
        <v>441</v>
      </c>
      <c r="E61" s="553" t="s">
        <v>405</v>
      </c>
      <c r="F61" s="528" t="s">
        <v>401</v>
      </c>
      <c r="G61" s="534" t="s">
        <v>74</v>
      </c>
      <c r="H61" s="554"/>
      <c r="I61" s="555"/>
      <c r="J61" s="596"/>
      <c r="K61" s="546"/>
      <c r="L61" s="551"/>
      <c r="M61" s="546"/>
      <c r="N61" s="551"/>
      <c r="O61" s="546"/>
      <c r="P61" s="551"/>
      <c r="Q61" s="546"/>
      <c r="R61" s="551"/>
      <c r="S61" s="546"/>
      <c r="T61" s="551"/>
      <c r="U61" s="546"/>
      <c r="V61" s="550"/>
      <c r="W61" s="546"/>
      <c r="X61" s="551"/>
      <c r="Y61" s="546"/>
      <c r="Z61" s="551"/>
      <c r="AA61" s="546"/>
      <c r="AB61" s="551"/>
      <c r="AC61" s="546"/>
      <c r="AD61" s="551"/>
      <c r="AE61" s="546"/>
      <c r="AF61" s="551"/>
      <c r="AG61" s="546"/>
      <c r="AH61" s="537"/>
    </row>
    <row r="62" spans="1:34" ht="48.75" thickBot="1">
      <c r="A62" s="518"/>
      <c r="B62" s="557"/>
      <c r="C62" s="597" t="s">
        <v>505</v>
      </c>
      <c r="D62" s="559" t="s">
        <v>441</v>
      </c>
      <c r="E62" s="560" t="s">
        <v>405</v>
      </c>
      <c r="F62" s="561" t="s">
        <v>401</v>
      </c>
      <c r="G62" s="559" t="s">
        <v>74</v>
      </c>
      <c r="H62" s="559"/>
      <c r="I62" s="515"/>
      <c r="J62" s="511"/>
      <c r="K62" s="512"/>
      <c r="L62" s="513"/>
      <c r="M62" s="512"/>
      <c r="N62" s="513"/>
      <c r="O62" s="512"/>
      <c r="P62" s="513"/>
      <c r="Q62" s="512"/>
      <c r="R62" s="513"/>
      <c r="S62" s="512"/>
      <c r="T62" s="513"/>
      <c r="U62" s="512"/>
      <c r="V62" s="514"/>
      <c r="W62" s="512"/>
      <c r="X62" s="513"/>
      <c r="Y62" s="512"/>
      <c r="Z62" s="513"/>
      <c r="AA62" s="512"/>
      <c r="AB62" s="513"/>
      <c r="AC62" s="512"/>
      <c r="AD62" s="513"/>
      <c r="AE62" s="512"/>
      <c r="AF62" s="513"/>
      <c r="AG62" s="512"/>
      <c r="AH62" s="564"/>
    </row>
    <row r="63" spans="1:34" ht="23.25" customHeight="1">
      <c r="A63" s="518"/>
      <c r="B63" s="532" t="s">
        <v>24</v>
      </c>
      <c r="C63" s="533" t="s">
        <v>506</v>
      </c>
      <c r="D63" s="526" t="s">
        <v>441</v>
      </c>
      <c r="E63" s="535" t="s">
        <v>404</v>
      </c>
      <c r="F63" s="592" t="s">
        <v>401</v>
      </c>
      <c r="G63" s="547" t="s">
        <v>472</v>
      </c>
      <c r="H63" s="547"/>
      <c r="I63" s="548"/>
      <c r="J63" s="504"/>
      <c r="K63" s="505"/>
      <c r="L63" s="506"/>
      <c r="M63" s="505"/>
      <c r="N63" s="506"/>
      <c r="O63" s="505"/>
      <c r="P63" s="506"/>
      <c r="Q63" s="505"/>
      <c r="R63" s="506"/>
      <c r="S63" s="505"/>
      <c r="T63" s="506"/>
      <c r="U63" s="505"/>
      <c r="V63" s="507"/>
      <c r="W63" s="505"/>
      <c r="X63" s="506"/>
      <c r="Y63" s="505"/>
      <c r="Z63" s="506"/>
      <c r="AA63" s="505"/>
      <c r="AB63" s="506"/>
      <c r="AC63" s="505"/>
      <c r="AD63" s="506"/>
      <c r="AE63" s="505"/>
      <c r="AF63" s="506"/>
      <c r="AG63" s="505"/>
      <c r="AH63" s="598"/>
    </row>
    <row r="64" spans="1:34" ht="23.25" customHeight="1">
      <c r="A64" s="518"/>
      <c r="B64" s="532"/>
      <c r="C64" s="533" t="s">
        <v>507</v>
      </c>
      <c r="D64" s="534" t="s">
        <v>441</v>
      </c>
      <c r="E64" s="535" t="s">
        <v>404</v>
      </c>
      <c r="F64" s="528" t="s">
        <v>401</v>
      </c>
      <c r="G64" s="547" t="s">
        <v>472</v>
      </c>
      <c r="H64" s="547"/>
      <c r="I64" s="548"/>
      <c r="J64" s="506"/>
      <c r="K64" s="505"/>
      <c r="L64" s="506"/>
      <c r="M64" s="505"/>
      <c r="N64" s="506"/>
      <c r="O64" s="505"/>
      <c r="P64" s="506"/>
      <c r="Q64" s="505"/>
      <c r="R64" s="506"/>
      <c r="S64" s="505"/>
      <c r="T64" s="506"/>
      <c r="U64" s="505"/>
      <c r="V64" s="507"/>
      <c r="W64" s="505"/>
      <c r="X64" s="506"/>
      <c r="Y64" s="505"/>
      <c r="Z64" s="506"/>
      <c r="AA64" s="505"/>
      <c r="AB64" s="506"/>
      <c r="AC64" s="505"/>
      <c r="AD64" s="506"/>
      <c r="AE64" s="505"/>
      <c r="AF64" s="506"/>
      <c r="AG64" s="505"/>
      <c r="AH64" s="537"/>
    </row>
    <row r="65" spans="1:34" ht="23.45" customHeight="1">
      <c r="A65" s="518"/>
      <c r="B65" s="532"/>
      <c r="C65" s="533" t="s">
        <v>108</v>
      </c>
      <c r="D65" s="534" t="s">
        <v>441</v>
      </c>
      <c r="E65" s="535" t="s">
        <v>404</v>
      </c>
      <c r="F65" s="528" t="s">
        <v>400</v>
      </c>
      <c r="G65" s="526" t="s">
        <v>104</v>
      </c>
      <c r="H65" s="526" t="s">
        <v>104</v>
      </c>
      <c r="I65" s="594" t="s">
        <v>508</v>
      </c>
      <c r="J65" s="504"/>
      <c r="K65" s="505"/>
      <c r="L65" s="506"/>
      <c r="M65" s="505"/>
      <c r="N65" s="506" t="s">
        <v>454</v>
      </c>
      <c r="O65" s="599">
        <v>25</v>
      </c>
      <c r="P65" s="506"/>
      <c r="Q65" s="505"/>
      <c r="R65" s="506"/>
      <c r="S65" s="505"/>
      <c r="T65" s="506"/>
      <c r="U65" s="505"/>
      <c r="V65" s="507"/>
      <c r="W65" s="505"/>
      <c r="X65" s="506"/>
      <c r="Y65" s="505"/>
      <c r="Z65" s="506" t="s">
        <v>455</v>
      </c>
      <c r="AA65" s="505">
        <v>25</v>
      </c>
      <c r="AB65" s="506"/>
      <c r="AC65" s="505"/>
      <c r="AD65" s="506"/>
      <c r="AE65" s="505"/>
      <c r="AF65" s="506"/>
      <c r="AG65" s="505"/>
      <c r="AH65" s="537" t="s">
        <v>509</v>
      </c>
    </row>
    <row r="66" spans="1:34" ht="25.5" customHeight="1">
      <c r="A66" s="600"/>
      <c r="B66" s="601"/>
      <c r="C66" s="589" t="s">
        <v>332</v>
      </c>
      <c r="D66" s="534" t="s">
        <v>441</v>
      </c>
      <c r="E66" s="535" t="s">
        <v>404</v>
      </c>
      <c r="F66" s="528" t="s">
        <v>400</v>
      </c>
      <c r="G66" s="570" t="s">
        <v>466</v>
      </c>
      <c r="H66" s="526" t="s">
        <v>74</v>
      </c>
      <c r="I66" s="602" t="s">
        <v>510</v>
      </c>
      <c r="J66" s="603"/>
      <c r="K66" s="604"/>
      <c r="L66" s="605"/>
      <c r="M66" s="604"/>
      <c r="N66" s="605"/>
      <c r="O66" s="604"/>
      <c r="P66" s="605"/>
      <c r="Q66" s="604"/>
      <c r="R66" s="605"/>
      <c r="S66" s="604"/>
      <c r="T66" s="605"/>
      <c r="U66" s="604"/>
      <c r="V66" s="507" t="s">
        <v>454</v>
      </c>
      <c r="W66" s="604">
        <v>29</v>
      </c>
      <c r="X66" s="605"/>
      <c r="Y66" s="604"/>
      <c r="Z66" s="605"/>
      <c r="AA66" s="604"/>
      <c r="AB66" s="605"/>
      <c r="AC66" s="604"/>
      <c r="AD66" s="605"/>
      <c r="AE66" s="604"/>
      <c r="AF66" s="605"/>
      <c r="AG66" s="604"/>
      <c r="AH66" s="606"/>
    </row>
    <row r="67" spans="1:34" ht="23.25" customHeight="1">
      <c r="A67" s="518"/>
      <c r="B67" s="532"/>
      <c r="C67" s="533" t="s">
        <v>511</v>
      </c>
      <c r="D67" s="534" t="s">
        <v>441</v>
      </c>
      <c r="E67" s="535" t="s">
        <v>404</v>
      </c>
      <c r="F67" s="528" t="s">
        <v>400</v>
      </c>
      <c r="G67" s="526" t="s">
        <v>74</v>
      </c>
      <c r="H67" s="526" t="s">
        <v>74</v>
      </c>
      <c r="I67" s="602" t="s">
        <v>510</v>
      </c>
      <c r="J67" s="607"/>
      <c r="K67" s="505"/>
      <c r="L67" s="605"/>
      <c r="M67" s="604"/>
      <c r="N67" s="605"/>
      <c r="O67" s="604"/>
      <c r="P67" s="605"/>
      <c r="Q67" s="604"/>
      <c r="R67" s="605"/>
      <c r="S67" s="604"/>
      <c r="T67" s="605"/>
      <c r="U67" s="604"/>
      <c r="V67" s="507" t="s">
        <v>454</v>
      </c>
      <c r="W67" s="604">
        <v>29</v>
      </c>
      <c r="X67" s="605"/>
      <c r="Y67" s="604"/>
      <c r="Z67" s="605"/>
      <c r="AA67" s="604"/>
      <c r="AB67" s="605"/>
      <c r="AC67" s="604"/>
      <c r="AD67" s="605"/>
      <c r="AE67" s="604"/>
      <c r="AF67" s="605"/>
      <c r="AG67" s="604"/>
      <c r="AH67" s="606"/>
    </row>
    <row r="68" spans="1:34" ht="32.25">
      <c r="A68" s="518"/>
      <c r="B68" s="532"/>
      <c r="C68" s="608" t="s">
        <v>512</v>
      </c>
      <c r="D68" s="534" t="s">
        <v>513</v>
      </c>
      <c r="E68" s="535" t="s">
        <v>514</v>
      </c>
      <c r="F68" s="592" t="s">
        <v>401</v>
      </c>
      <c r="G68" s="526" t="s">
        <v>515</v>
      </c>
      <c r="H68" s="547"/>
      <c r="I68" s="609"/>
      <c r="J68" s="603"/>
      <c r="K68" s="505"/>
      <c r="L68" s="610"/>
      <c r="M68" s="611"/>
      <c r="N68" s="610"/>
      <c r="O68" s="611"/>
      <c r="P68" s="610"/>
      <c r="Q68" s="611"/>
      <c r="R68" s="610"/>
      <c r="S68" s="611"/>
      <c r="T68" s="610"/>
      <c r="U68" s="611"/>
      <c r="V68" s="507"/>
      <c r="W68" s="611"/>
      <c r="X68" s="610"/>
      <c r="Y68" s="611"/>
      <c r="Z68" s="610"/>
      <c r="AA68" s="611"/>
      <c r="AB68" s="610"/>
      <c r="AC68" s="611"/>
      <c r="AD68" s="610"/>
      <c r="AE68" s="611"/>
      <c r="AF68" s="610"/>
      <c r="AG68" s="611"/>
      <c r="AH68" s="606"/>
    </row>
    <row r="69" spans="1:34" ht="23.25" customHeight="1">
      <c r="A69" s="518"/>
      <c r="B69" s="532"/>
      <c r="C69" s="533" t="s">
        <v>516</v>
      </c>
      <c r="D69" s="534" t="s">
        <v>441</v>
      </c>
      <c r="E69" s="535" t="s">
        <v>404</v>
      </c>
      <c r="F69" s="528" t="s">
        <v>400</v>
      </c>
      <c r="G69" s="547" t="s">
        <v>466</v>
      </c>
      <c r="H69" s="547" t="s">
        <v>466</v>
      </c>
      <c r="I69" s="602" t="s">
        <v>147</v>
      </c>
      <c r="J69" s="504"/>
      <c r="K69" s="505"/>
      <c r="L69" s="506"/>
      <c r="M69" s="505"/>
      <c r="N69" s="506"/>
      <c r="O69" s="505"/>
      <c r="P69" s="506"/>
      <c r="Q69" s="505"/>
      <c r="R69" s="506"/>
      <c r="S69" s="505"/>
      <c r="T69" s="506"/>
      <c r="U69" s="505"/>
      <c r="V69" s="507"/>
      <c r="W69" s="505"/>
      <c r="X69" s="506"/>
      <c r="Y69" s="505"/>
      <c r="Z69" s="506"/>
      <c r="AA69" s="505"/>
      <c r="AB69" s="506"/>
      <c r="AC69" s="505"/>
      <c r="AD69" s="506"/>
      <c r="AE69" s="505"/>
      <c r="AF69" s="506"/>
      <c r="AG69" s="505"/>
      <c r="AH69" s="537" t="s">
        <v>517</v>
      </c>
    </row>
    <row r="70" spans="1:34" ht="23.25" customHeight="1">
      <c r="A70" s="612"/>
      <c r="B70" s="613"/>
      <c r="C70" s="533" t="s">
        <v>518</v>
      </c>
      <c r="D70" s="534" t="s">
        <v>441</v>
      </c>
      <c r="E70" s="535" t="s">
        <v>404</v>
      </c>
      <c r="F70" s="528" t="s">
        <v>400</v>
      </c>
      <c r="G70" s="526" t="s">
        <v>74</v>
      </c>
      <c r="H70" s="547" t="s">
        <v>466</v>
      </c>
      <c r="I70" s="602" t="s">
        <v>147</v>
      </c>
      <c r="J70" s="506"/>
      <c r="K70" s="505"/>
      <c r="L70" s="506"/>
      <c r="M70" s="505"/>
      <c r="N70" s="506"/>
      <c r="O70" s="505"/>
      <c r="P70" s="506"/>
      <c r="Q70" s="505"/>
      <c r="R70" s="506"/>
      <c r="S70" s="505"/>
      <c r="T70" s="506"/>
      <c r="U70" s="505"/>
      <c r="V70" s="507"/>
      <c r="W70" s="505"/>
      <c r="X70" s="506"/>
      <c r="Y70" s="505"/>
      <c r="Z70" s="506"/>
      <c r="AA70" s="505"/>
      <c r="AB70" s="506"/>
      <c r="AC70" s="505"/>
      <c r="AD70" s="506"/>
      <c r="AE70" s="505"/>
      <c r="AF70" s="506"/>
      <c r="AG70" s="505"/>
      <c r="AH70" s="537" t="s">
        <v>517</v>
      </c>
    </row>
    <row r="71" spans="1:34" ht="23.25" customHeight="1">
      <c r="A71" s="518"/>
      <c r="B71" s="532"/>
      <c r="C71" s="533" t="s">
        <v>519</v>
      </c>
      <c r="D71" s="534" t="s">
        <v>441</v>
      </c>
      <c r="E71" s="535" t="s">
        <v>404</v>
      </c>
      <c r="F71" s="528" t="s">
        <v>400</v>
      </c>
      <c r="G71" s="590" t="s">
        <v>520</v>
      </c>
      <c r="H71" s="590" t="s">
        <v>520</v>
      </c>
      <c r="I71" s="548" t="s">
        <v>517</v>
      </c>
      <c r="J71" s="504"/>
      <c r="K71" s="604"/>
      <c r="L71" s="506"/>
      <c r="M71" s="505"/>
      <c r="N71" s="506"/>
      <c r="O71" s="505"/>
      <c r="P71" s="506"/>
      <c r="Q71" s="505"/>
      <c r="R71" s="506"/>
      <c r="S71" s="505"/>
      <c r="T71" s="506"/>
      <c r="U71" s="505"/>
      <c r="V71" s="507"/>
      <c r="W71" s="505"/>
      <c r="X71" s="506"/>
      <c r="Y71" s="505"/>
      <c r="Z71" s="506"/>
      <c r="AA71" s="505"/>
      <c r="AB71" s="506"/>
      <c r="AC71" s="505"/>
      <c r="AD71" s="506"/>
      <c r="AE71" s="505"/>
      <c r="AF71" s="506"/>
      <c r="AG71" s="505"/>
      <c r="AH71" s="537"/>
    </row>
    <row r="72" spans="1:34" ht="22.5" customHeight="1">
      <c r="A72" s="577"/>
      <c r="B72" s="588"/>
      <c r="C72" s="614" t="s">
        <v>521</v>
      </c>
      <c r="D72" s="534" t="s">
        <v>441</v>
      </c>
      <c r="E72" s="590" t="s">
        <v>404</v>
      </c>
      <c r="F72" s="528" t="s">
        <v>401</v>
      </c>
      <c r="G72" s="590" t="s">
        <v>520</v>
      </c>
      <c r="H72" s="547"/>
      <c r="I72" s="609"/>
      <c r="J72" s="607"/>
      <c r="K72" s="604"/>
      <c r="L72" s="605"/>
      <c r="M72" s="604"/>
      <c r="N72" s="605"/>
      <c r="O72" s="604"/>
      <c r="P72" s="605"/>
      <c r="Q72" s="604"/>
      <c r="R72" s="605"/>
      <c r="S72" s="604"/>
      <c r="T72" s="605"/>
      <c r="U72" s="604"/>
      <c r="V72" s="615"/>
      <c r="W72" s="604"/>
      <c r="X72" s="605"/>
      <c r="Y72" s="604"/>
      <c r="Z72" s="605"/>
      <c r="AA72" s="604"/>
      <c r="AB72" s="605"/>
      <c r="AC72" s="604"/>
      <c r="AD72" s="605"/>
      <c r="AE72" s="604"/>
      <c r="AF72" s="605"/>
      <c r="AG72" s="604"/>
      <c r="AH72" s="537"/>
    </row>
    <row r="73" spans="1:34" ht="22.5" customHeight="1">
      <c r="A73" s="577"/>
      <c r="B73" s="588"/>
      <c r="C73" s="614" t="s">
        <v>522</v>
      </c>
      <c r="D73" s="534" t="s">
        <v>441</v>
      </c>
      <c r="E73" s="590" t="s">
        <v>404</v>
      </c>
      <c r="F73" s="528" t="s">
        <v>400</v>
      </c>
      <c r="G73" s="590" t="s">
        <v>523</v>
      </c>
      <c r="H73" s="591" t="s">
        <v>524</v>
      </c>
      <c r="I73" s="616" t="s">
        <v>525</v>
      </c>
      <c r="J73" s="607"/>
      <c r="K73" s="604"/>
      <c r="L73" s="605"/>
      <c r="M73" s="604"/>
      <c r="N73" s="605"/>
      <c r="O73" s="604"/>
      <c r="P73" s="605"/>
      <c r="Q73" s="604"/>
      <c r="R73" s="605"/>
      <c r="S73" s="604"/>
      <c r="T73" s="605"/>
      <c r="U73" s="604"/>
      <c r="V73" s="615"/>
      <c r="W73" s="604"/>
      <c r="X73" s="605"/>
      <c r="Y73" s="604"/>
      <c r="Z73" s="605"/>
      <c r="AA73" s="604"/>
      <c r="AB73" s="605"/>
      <c r="AC73" s="604"/>
      <c r="AD73" s="605"/>
      <c r="AE73" s="604"/>
      <c r="AF73" s="605"/>
      <c r="AG73" s="604"/>
      <c r="AH73" s="537"/>
    </row>
    <row r="74" spans="1:34" ht="22.5" customHeight="1">
      <c r="A74" s="577"/>
      <c r="B74" s="588"/>
      <c r="C74" s="617" t="s">
        <v>526</v>
      </c>
      <c r="D74" s="534" t="s">
        <v>441</v>
      </c>
      <c r="E74" s="590" t="s">
        <v>404</v>
      </c>
      <c r="F74" s="528" t="s">
        <v>401</v>
      </c>
      <c r="G74" s="590" t="s">
        <v>520</v>
      </c>
      <c r="H74" s="547"/>
      <c r="I74" s="609"/>
      <c r="J74" s="607"/>
      <c r="K74" s="604"/>
      <c r="L74" s="605"/>
      <c r="M74" s="604"/>
      <c r="N74" s="605"/>
      <c r="O74" s="604"/>
      <c r="P74" s="605"/>
      <c r="Q74" s="604"/>
      <c r="R74" s="605"/>
      <c r="S74" s="604"/>
      <c r="T74" s="605"/>
      <c r="U74" s="604"/>
      <c r="V74" s="615"/>
      <c r="W74" s="604"/>
      <c r="X74" s="605"/>
      <c r="Y74" s="604"/>
      <c r="Z74" s="605"/>
      <c r="AA74" s="604"/>
      <c r="AB74" s="605"/>
      <c r="AC74" s="604"/>
      <c r="AD74" s="605"/>
      <c r="AE74" s="604"/>
      <c r="AF74" s="605"/>
      <c r="AG74" s="604"/>
      <c r="AH74" s="606"/>
    </row>
    <row r="75" spans="1:34" ht="22.5" customHeight="1">
      <c r="A75" s="577"/>
      <c r="B75" s="588"/>
      <c r="C75" s="618" t="s">
        <v>527</v>
      </c>
      <c r="D75" s="534" t="s">
        <v>441</v>
      </c>
      <c r="E75" s="569" t="s">
        <v>404</v>
      </c>
      <c r="F75" s="528" t="s">
        <v>401</v>
      </c>
      <c r="G75" s="570" t="s">
        <v>528</v>
      </c>
      <c r="H75" s="547"/>
      <c r="I75" s="619"/>
      <c r="J75" s="607"/>
      <c r="K75" s="546"/>
      <c r="L75" s="605"/>
      <c r="M75" s="604"/>
      <c r="N75" s="605"/>
      <c r="O75" s="604"/>
      <c r="P75" s="605"/>
      <c r="Q75" s="604"/>
      <c r="R75" s="605"/>
      <c r="S75" s="604"/>
      <c r="T75" s="605"/>
      <c r="U75" s="604"/>
      <c r="V75" s="615"/>
      <c r="W75" s="604"/>
      <c r="X75" s="605"/>
      <c r="Y75" s="604"/>
      <c r="Z75" s="605"/>
      <c r="AA75" s="604"/>
      <c r="AB75" s="605"/>
      <c r="AC75" s="604"/>
      <c r="AD75" s="605"/>
      <c r="AE75" s="604"/>
      <c r="AF75" s="605"/>
      <c r="AG75" s="604"/>
      <c r="AH75" s="606"/>
    </row>
    <row r="76" spans="1:34" ht="23.25" customHeight="1" thickBot="1">
      <c r="A76" s="518"/>
      <c r="B76" s="557"/>
      <c r="C76" s="558" t="s">
        <v>529</v>
      </c>
      <c r="D76" s="559" t="s">
        <v>441</v>
      </c>
      <c r="E76" s="560" t="s">
        <v>404</v>
      </c>
      <c r="F76" s="561" t="s">
        <v>401</v>
      </c>
      <c r="G76" s="582" t="s">
        <v>472</v>
      </c>
      <c r="H76" s="562"/>
      <c r="I76" s="515"/>
      <c r="J76" s="511"/>
      <c r="K76" s="512"/>
      <c r="L76" s="513"/>
      <c r="M76" s="512"/>
      <c r="N76" s="513"/>
      <c r="O76" s="512"/>
      <c r="P76" s="513"/>
      <c r="Q76" s="512"/>
      <c r="R76" s="513"/>
      <c r="S76" s="512"/>
      <c r="T76" s="513"/>
      <c r="U76" s="512"/>
      <c r="V76" s="514"/>
      <c r="W76" s="512"/>
      <c r="X76" s="513"/>
      <c r="Y76" s="512"/>
      <c r="Z76" s="513"/>
      <c r="AA76" s="512"/>
      <c r="AB76" s="513"/>
      <c r="AC76" s="512"/>
      <c r="AD76" s="513"/>
      <c r="AE76" s="512"/>
      <c r="AF76" s="513"/>
      <c r="AG76" s="512"/>
      <c r="AH76" s="564"/>
    </row>
    <row r="77" spans="1:34" ht="23.25" customHeight="1">
      <c r="A77" s="518"/>
      <c r="B77" s="532" t="s">
        <v>23</v>
      </c>
      <c r="C77" s="533" t="s">
        <v>530</v>
      </c>
      <c r="D77" s="526" t="s">
        <v>441</v>
      </c>
      <c r="E77" s="535" t="s">
        <v>531</v>
      </c>
      <c r="F77" s="565" t="s">
        <v>401</v>
      </c>
      <c r="G77" s="535" t="s">
        <v>532</v>
      </c>
      <c r="H77" s="547"/>
      <c r="I77" s="620"/>
      <c r="J77" s="506"/>
      <c r="K77" s="505"/>
      <c r="L77" s="506"/>
      <c r="M77" s="505"/>
      <c r="N77" s="506"/>
      <c r="O77" s="505"/>
      <c r="P77" s="506"/>
      <c r="Q77" s="505"/>
      <c r="R77" s="506"/>
      <c r="S77" s="505"/>
      <c r="T77" s="506"/>
      <c r="U77" s="505"/>
      <c r="V77" s="507"/>
      <c r="W77" s="505"/>
      <c r="X77" s="506"/>
      <c r="Y77" s="505"/>
      <c r="Z77" s="506"/>
      <c r="AA77" s="505"/>
      <c r="AB77" s="506"/>
      <c r="AC77" s="505"/>
      <c r="AD77" s="506"/>
      <c r="AE77" s="505"/>
      <c r="AF77" s="506"/>
      <c r="AG77" s="505"/>
      <c r="AH77" s="621"/>
    </row>
    <row r="78" spans="1:34" ht="23.25" customHeight="1">
      <c r="A78" s="518"/>
      <c r="B78" s="532"/>
      <c r="C78" s="533" t="s">
        <v>533</v>
      </c>
      <c r="D78" s="526" t="s">
        <v>441</v>
      </c>
      <c r="E78" s="535" t="s">
        <v>531</v>
      </c>
      <c r="F78" s="565" t="s">
        <v>401</v>
      </c>
      <c r="G78" s="535" t="s">
        <v>534</v>
      </c>
      <c r="H78" s="592"/>
      <c r="I78" s="572"/>
      <c r="J78" s="507"/>
      <c r="K78" s="505"/>
      <c r="L78" s="506"/>
      <c r="M78" s="505"/>
      <c r="N78" s="506"/>
      <c r="O78" s="505"/>
      <c r="P78" s="506"/>
      <c r="Q78" s="505"/>
      <c r="R78" s="506"/>
      <c r="S78" s="505"/>
      <c r="T78" s="506"/>
      <c r="U78" s="505"/>
      <c r="V78" s="507"/>
      <c r="W78" s="505"/>
      <c r="X78" s="506"/>
      <c r="Y78" s="505"/>
      <c r="Z78" s="506"/>
      <c r="AA78" s="505"/>
      <c r="AB78" s="506"/>
      <c r="AC78" s="505"/>
      <c r="AD78" s="506"/>
      <c r="AE78" s="505"/>
      <c r="AF78" s="506"/>
      <c r="AG78" s="505"/>
      <c r="AH78" s="621"/>
    </row>
    <row r="79" spans="1:34" ht="23.25" customHeight="1">
      <c r="A79" s="518"/>
      <c r="B79" s="532"/>
      <c r="C79" s="552" t="s">
        <v>535</v>
      </c>
      <c r="D79" s="534" t="s">
        <v>441</v>
      </c>
      <c r="E79" s="553" t="s">
        <v>536</v>
      </c>
      <c r="F79" s="528" t="s">
        <v>401</v>
      </c>
      <c r="G79" s="622" t="s">
        <v>472</v>
      </c>
      <c r="H79" s="592"/>
      <c r="I79" s="623"/>
      <c r="J79" s="596"/>
      <c r="K79" s="546"/>
      <c r="L79" s="551"/>
      <c r="M79" s="546"/>
      <c r="N79" s="551"/>
      <c r="O79" s="546"/>
      <c r="P79" s="551"/>
      <c r="Q79" s="546"/>
      <c r="R79" s="551"/>
      <c r="S79" s="546"/>
      <c r="T79" s="551"/>
      <c r="U79" s="546"/>
      <c r="V79" s="550"/>
      <c r="W79" s="546"/>
      <c r="X79" s="551"/>
      <c r="Y79" s="546"/>
      <c r="Z79" s="551"/>
      <c r="AA79" s="546"/>
      <c r="AB79" s="551"/>
      <c r="AC79" s="546"/>
      <c r="AD79" s="551"/>
      <c r="AE79" s="546"/>
      <c r="AF79" s="551"/>
      <c r="AG79" s="546"/>
      <c r="AH79" s="537"/>
    </row>
    <row r="80" spans="1:34" ht="23.25" customHeight="1">
      <c r="A80" s="518"/>
      <c r="B80" s="532"/>
      <c r="C80" s="552" t="s">
        <v>537</v>
      </c>
      <c r="D80" s="534" t="s">
        <v>441</v>
      </c>
      <c r="E80" s="553" t="s">
        <v>538</v>
      </c>
      <c r="F80" s="528" t="s">
        <v>401</v>
      </c>
      <c r="G80" s="624" t="s">
        <v>539</v>
      </c>
      <c r="H80" s="592"/>
      <c r="I80" s="555"/>
      <c r="J80" s="596"/>
      <c r="K80" s="546"/>
      <c r="L80" s="506"/>
      <c r="M80" s="546"/>
      <c r="N80" s="551"/>
      <c r="O80" s="546"/>
      <c r="P80" s="551"/>
      <c r="Q80" s="546"/>
      <c r="R80" s="506"/>
      <c r="S80" s="546"/>
      <c r="T80" s="551"/>
      <c r="U80" s="546"/>
      <c r="V80" s="550"/>
      <c r="W80" s="546"/>
      <c r="X80" s="506"/>
      <c r="Y80" s="546"/>
      <c r="Z80" s="506"/>
      <c r="AA80" s="546"/>
      <c r="AB80" s="551"/>
      <c r="AC80" s="546"/>
      <c r="AD80" s="506"/>
      <c r="AE80" s="546"/>
      <c r="AF80" s="551"/>
      <c r="AG80" s="546"/>
      <c r="AH80" s="537"/>
    </row>
    <row r="81" spans="1:34" ht="22.5" customHeight="1">
      <c r="A81" s="577"/>
      <c r="B81" s="588"/>
      <c r="C81" s="614" t="s">
        <v>540</v>
      </c>
      <c r="D81" s="534" t="s">
        <v>441</v>
      </c>
      <c r="E81" s="590" t="s">
        <v>541</v>
      </c>
      <c r="F81" s="528" t="s">
        <v>401</v>
      </c>
      <c r="G81" s="625" t="s">
        <v>74</v>
      </c>
      <c r="H81" s="592"/>
      <c r="I81" s="548"/>
      <c r="J81" s="610"/>
      <c r="K81" s="604"/>
      <c r="L81" s="605"/>
      <c r="M81" s="604"/>
      <c r="N81" s="605"/>
      <c r="O81" s="604"/>
      <c r="P81" s="605"/>
      <c r="Q81" s="604"/>
      <c r="R81" s="605"/>
      <c r="S81" s="604"/>
      <c r="T81" s="551"/>
      <c r="U81" s="626"/>
      <c r="V81" s="507"/>
      <c r="W81" s="604"/>
      <c r="X81" s="605"/>
      <c r="Y81" s="604"/>
      <c r="Z81" s="605"/>
      <c r="AA81" s="604"/>
      <c r="AB81" s="605"/>
      <c r="AC81" s="604"/>
      <c r="AD81" s="605"/>
      <c r="AE81" s="604"/>
      <c r="AF81" s="605"/>
      <c r="AG81" s="604"/>
      <c r="AH81" s="606"/>
    </row>
    <row r="82" spans="1:34" ht="25.5" customHeight="1">
      <c r="A82" s="577"/>
      <c r="B82" s="588"/>
      <c r="C82" s="614" t="s">
        <v>542</v>
      </c>
      <c r="D82" s="534" t="s">
        <v>441</v>
      </c>
      <c r="E82" s="590" t="s">
        <v>541</v>
      </c>
      <c r="F82" s="528" t="s">
        <v>401</v>
      </c>
      <c r="G82" s="622" t="s">
        <v>472</v>
      </c>
      <c r="H82" s="592"/>
      <c r="I82" s="548"/>
      <c r="J82" s="627"/>
      <c r="K82" s="611"/>
      <c r="L82" s="610"/>
      <c r="M82" s="611"/>
      <c r="N82" s="610"/>
      <c r="O82" s="611"/>
      <c r="P82" s="610"/>
      <c r="Q82" s="611"/>
      <c r="R82" s="610"/>
      <c r="S82" s="611"/>
      <c r="T82" s="506"/>
      <c r="U82" s="611"/>
      <c r="V82" s="627"/>
      <c r="W82" s="611"/>
      <c r="X82" s="610"/>
      <c r="Y82" s="611"/>
      <c r="Z82" s="610"/>
      <c r="AA82" s="611"/>
      <c r="AB82" s="610"/>
      <c r="AC82" s="611"/>
      <c r="AD82" s="610"/>
      <c r="AE82" s="611"/>
      <c r="AF82" s="610"/>
      <c r="AG82" s="611"/>
      <c r="AH82" s="606"/>
    </row>
    <row r="83" spans="1:34" ht="23.25" customHeight="1">
      <c r="A83" s="518"/>
      <c r="B83" s="532"/>
      <c r="C83" s="628" t="s">
        <v>543</v>
      </c>
      <c r="D83" s="534" t="s">
        <v>441</v>
      </c>
      <c r="E83" s="553" t="s">
        <v>544</v>
      </c>
      <c r="F83" s="528" t="s">
        <v>401</v>
      </c>
      <c r="G83" s="534" t="s">
        <v>545</v>
      </c>
      <c r="H83" s="592"/>
      <c r="I83" s="629"/>
      <c r="J83" s="596"/>
      <c r="K83" s="546"/>
      <c r="L83" s="551"/>
      <c r="M83" s="604"/>
      <c r="N83" s="551"/>
      <c r="O83" s="546"/>
      <c r="P83" s="551"/>
      <c r="Q83" s="546"/>
      <c r="R83" s="551"/>
      <c r="S83" s="546"/>
      <c r="T83" s="551"/>
      <c r="U83" s="546"/>
      <c r="V83" s="550"/>
      <c r="W83" s="546"/>
      <c r="X83" s="551"/>
      <c r="Y83" s="546"/>
      <c r="Z83" s="551"/>
      <c r="AA83" s="546"/>
      <c r="AB83" s="551"/>
      <c r="AC83" s="546"/>
      <c r="AD83" s="551"/>
      <c r="AE83" s="546"/>
      <c r="AF83" s="551"/>
      <c r="AG83" s="546"/>
      <c r="AH83" s="537"/>
    </row>
    <row r="84" spans="1:34" ht="23.25" customHeight="1">
      <c r="A84" s="630"/>
      <c r="B84" s="532"/>
      <c r="C84" s="552" t="s">
        <v>546</v>
      </c>
      <c r="D84" s="534" t="s">
        <v>441</v>
      </c>
      <c r="E84" s="553" t="s">
        <v>547</v>
      </c>
      <c r="F84" s="528" t="s">
        <v>400</v>
      </c>
      <c r="G84" s="534" t="s">
        <v>74</v>
      </c>
      <c r="H84" s="534" t="s">
        <v>74</v>
      </c>
      <c r="I84" s="555" t="s">
        <v>548</v>
      </c>
      <c r="J84" s="607"/>
      <c r="K84" s="604"/>
      <c r="L84" s="605" t="s">
        <v>454</v>
      </c>
      <c r="M84" s="604"/>
      <c r="N84" s="551"/>
      <c r="O84" s="604"/>
      <c r="P84" s="605"/>
      <c r="Q84" s="604"/>
      <c r="R84" s="605"/>
      <c r="S84" s="604"/>
      <c r="T84" s="605"/>
      <c r="U84" s="604"/>
      <c r="V84" s="615"/>
      <c r="W84" s="604"/>
      <c r="X84" s="605"/>
      <c r="Y84" s="604"/>
      <c r="Z84" s="605"/>
      <c r="AA84" s="604"/>
      <c r="AB84" s="605"/>
      <c r="AC84" s="604"/>
      <c r="AD84" s="605"/>
      <c r="AE84" s="604"/>
      <c r="AF84" s="605"/>
      <c r="AG84" s="604"/>
      <c r="AH84" s="631"/>
    </row>
    <row r="85" spans="1:34" ht="22.5" customHeight="1">
      <c r="A85" s="577"/>
      <c r="B85" s="588"/>
      <c r="C85" s="614" t="s">
        <v>549</v>
      </c>
      <c r="D85" s="526" t="s">
        <v>441</v>
      </c>
      <c r="E85" s="590" t="s">
        <v>550</v>
      </c>
      <c r="F85" s="565" t="s">
        <v>401</v>
      </c>
      <c r="G85" s="591" t="s">
        <v>74</v>
      </c>
      <c r="H85" s="592"/>
      <c r="I85" s="548"/>
      <c r="J85" s="610"/>
      <c r="K85" s="611"/>
      <c r="L85" s="610"/>
      <c r="M85" s="611"/>
      <c r="N85" s="506"/>
      <c r="O85" s="611"/>
      <c r="P85" s="610"/>
      <c r="Q85" s="611"/>
      <c r="R85" s="610"/>
      <c r="S85" s="611"/>
      <c r="T85" s="610"/>
      <c r="U85" s="611"/>
      <c r="V85" s="627"/>
      <c r="W85" s="611"/>
      <c r="X85" s="610"/>
      <c r="Y85" s="611"/>
      <c r="Z85" s="610"/>
      <c r="AA85" s="611"/>
      <c r="AB85" s="610"/>
      <c r="AC85" s="611"/>
      <c r="AD85" s="610"/>
      <c r="AE85" s="611"/>
      <c r="AF85" s="610"/>
      <c r="AG85" s="611"/>
      <c r="AH85" s="632"/>
    </row>
    <row r="86" spans="1:34" ht="23.25" customHeight="1">
      <c r="A86" s="518"/>
      <c r="B86" s="532"/>
      <c r="C86" s="552" t="s">
        <v>551</v>
      </c>
      <c r="D86" s="534" t="s">
        <v>441</v>
      </c>
      <c r="E86" s="553" t="s">
        <v>552</v>
      </c>
      <c r="F86" s="528" t="s">
        <v>400</v>
      </c>
      <c r="G86" s="534" t="s">
        <v>553</v>
      </c>
      <c r="H86" s="554" t="s">
        <v>554</v>
      </c>
      <c r="I86" s="633" t="s">
        <v>555</v>
      </c>
      <c r="J86" s="596" t="s">
        <v>444</v>
      </c>
      <c r="K86" s="604"/>
      <c r="L86" s="605" t="s">
        <v>444</v>
      </c>
      <c r="M86" s="546"/>
      <c r="N86" s="551" t="s">
        <v>444</v>
      </c>
      <c r="O86" s="604"/>
      <c r="P86" s="551" t="s">
        <v>444</v>
      </c>
      <c r="Q86" s="546"/>
      <c r="R86" s="551" t="s">
        <v>444</v>
      </c>
      <c r="S86" s="546"/>
      <c r="T86" s="551" t="s">
        <v>444</v>
      </c>
      <c r="U86" s="604"/>
      <c r="V86" s="550" t="s">
        <v>444</v>
      </c>
      <c r="W86" s="546"/>
      <c r="X86" s="551" t="s">
        <v>444</v>
      </c>
      <c r="Y86" s="604"/>
      <c r="Z86" s="551" t="s">
        <v>444</v>
      </c>
      <c r="AA86" s="546"/>
      <c r="AB86" s="551" t="s">
        <v>444</v>
      </c>
      <c r="AC86" s="604"/>
      <c r="AD86" s="550" t="s">
        <v>444</v>
      </c>
      <c r="AE86" s="546"/>
      <c r="AF86" s="551" t="s">
        <v>444</v>
      </c>
      <c r="AG86" s="604"/>
      <c r="AH86" s="537" t="s">
        <v>556</v>
      </c>
    </row>
    <row r="87" spans="1:34" ht="22.5" customHeight="1">
      <c r="A87" s="518"/>
      <c r="B87" s="532"/>
      <c r="C87" s="595" t="s">
        <v>557</v>
      </c>
      <c r="D87" s="534" t="s">
        <v>441</v>
      </c>
      <c r="E87" s="553" t="s">
        <v>558</v>
      </c>
      <c r="F87" s="528" t="s">
        <v>400</v>
      </c>
      <c r="G87" s="553" t="s">
        <v>554</v>
      </c>
      <c r="H87" s="534" t="s">
        <v>553</v>
      </c>
      <c r="I87" s="634" t="s">
        <v>517</v>
      </c>
      <c r="J87" s="596"/>
      <c r="K87" s="546"/>
      <c r="L87" s="551"/>
      <c r="M87" s="546"/>
      <c r="N87" s="551"/>
      <c r="O87" s="546"/>
      <c r="P87" s="551"/>
      <c r="Q87" s="546"/>
      <c r="R87" s="551"/>
      <c r="S87" s="546"/>
      <c r="T87" s="551"/>
      <c r="U87" s="546"/>
      <c r="V87" s="550"/>
      <c r="W87" s="546"/>
      <c r="X87" s="551"/>
      <c r="Y87" s="546"/>
      <c r="Z87" s="551"/>
      <c r="AA87" s="546"/>
      <c r="AB87" s="551"/>
      <c r="AC87" s="546"/>
      <c r="AD87" s="551"/>
      <c r="AE87" s="546"/>
      <c r="AF87" s="551"/>
      <c r="AG87" s="546"/>
      <c r="AH87" s="537"/>
    </row>
    <row r="88" spans="1:34" ht="22.5" customHeight="1">
      <c r="A88" s="518"/>
      <c r="B88" s="532"/>
      <c r="C88" s="595" t="s">
        <v>559</v>
      </c>
      <c r="D88" s="534" t="s">
        <v>441</v>
      </c>
      <c r="E88" s="553" t="s">
        <v>558</v>
      </c>
      <c r="F88" s="528" t="s">
        <v>400</v>
      </c>
      <c r="G88" s="534" t="s">
        <v>560</v>
      </c>
      <c r="H88" s="534" t="s">
        <v>553</v>
      </c>
      <c r="I88" s="634" t="s">
        <v>517</v>
      </c>
      <c r="J88" s="596"/>
      <c r="K88" s="546"/>
      <c r="L88" s="551"/>
      <c r="M88" s="546"/>
      <c r="N88" s="551"/>
      <c r="O88" s="546"/>
      <c r="P88" s="551"/>
      <c r="Q88" s="546"/>
      <c r="R88" s="551"/>
      <c r="S88" s="546"/>
      <c r="T88" s="551"/>
      <c r="U88" s="546"/>
      <c r="V88" s="550"/>
      <c r="W88" s="546"/>
      <c r="X88" s="551"/>
      <c r="Y88" s="546"/>
      <c r="Z88" s="551"/>
      <c r="AA88" s="546"/>
      <c r="AB88" s="551"/>
      <c r="AC88" s="546"/>
      <c r="AD88" s="551"/>
      <c r="AE88" s="546"/>
      <c r="AF88" s="551"/>
      <c r="AG88" s="546"/>
      <c r="AH88" s="537"/>
    </row>
    <row r="89" spans="1:34" ht="51">
      <c r="A89" s="518"/>
      <c r="B89" s="532"/>
      <c r="C89" s="595" t="s">
        <v>561</v>
      </c>
      <c r="D89" s="534" t="s">
        <v>441</v>
      </c>
      <c r="E89" s="553" t="s">
        <v>558</v>
      </c>
      <c r="F89" s="528" t="s">
        <v>401</v>
      </c>
      <c r="G89" s="534" t="s">
        <v>562</v>
      </c>
      <c r="H89" s="554"/>
      <c r="I89" s="555"/>
      <c r="J89" s="596"/>
      <c r="K89" s="546"/>
      <c r="L89" s="551"/>
      <c r="M89" s="546"/>
      <c r="N89" s="551"/>
      <c r="O89" s="546"/>
      <c r="P89" s="551"/>
      <c r="Q89" s="546"/>
      <c r="R89" s="551"/>
      <c r="S89" s="546"/>
      <c r="T89" s="551"/>
      <c r="U89" s="546"/>
      <c r="V89" s="550"/>
      <c r="W89" s="546"/>
      <c r="X89" s="551"/>
      <c r="Y89" s="546"/>
      <c r="Z89" s="551"/>
      <c r="AA89" s="546"/>
      <c r="AB89" s="551"/>
      <c r="AC89" s="546"/>
      <c r="AD89" s="551"/>
      <c r="AE89" s="546"/>
      <c r="AF89" s="551"/>
      <c r="AG89" s="546"/>
      <c r="AH89" s="537"/>
    </row>
    <row r="90" spans="1:34" ht="32.25">
      <c r="A90" s="518"/>
      <c r="B90" s="532"/>
      <c r="C90" s="595" t="s">
        <v>563</v>
      </c>
      <c r="D90" s="534" t="s">
        <v>441</v>
      </c>
      <c r="E90" s="553" t="s">
        <v>558</v>
      </c>
      <c r="F90" s="528" t="s">
        <v>401</v>
      </c>
      <c r="G90" s="534" t="s">
        <v>564</v>
      </c>
      <c r="H90" s="554"/>
      <c r="I90" s="555"/>
      <c r="J90" s="596"/>
      <c r="K90" s="546"/>
      <c r="L90" s="551"/>
      <c r="M90" s="546"/>
      <c r="N90" s="551"/>
      <c r="O90" s="546"/>
      <c r="P90" s="551"/>
      <c r="Q90" s="546"/>
      <c r="R90" s="551"/>
      <c r="S90" s="546"/>
      <c r="T90" s="551"/>
      <c r="U90" s="546"/>
      <c r="V90" s="550"/>
      <c r="W90" s="546"/>
      <c r="X90" s="551"/>
      <c r="Y90" s="546"/>
      <c r="Z90" s="551"/>
      <c r="AA90" s="546"/>
      <c r="AB90" s="551"/>
      <c r="AC90" s="546"/>
      <c r="AD90" s="551"/>
      <c r="AE90" s="546"/>
      <c r="AF90" s="551"/>
      <c r="AG90" s="546"/>
      <c r="AH90" s="537"/>
    </row>
    <row r="91" spans="1:34" ht="28.15">
      <c r="A91" s="518"/>
      <c r="B91" s="532"/>
      <c r="C91" s="595" t="s">
        <v>565</v>
      </c>
      <c r="D91" s="534" t="s">
        <v>441</v>
      </c>
      <c r="E91" s="553" t="s">
        <v>558</v>
      </c>
      <c r="F91" s="528" t="s">
        <v>401</v>
      </c>
      <c r="G91" s="534" t="s">
        <v>560</v>
      </c>
      <c r="H91" s="554"/>
      <c r="I91" s="555"/>
      <c r="J91" s="596"/>
      <c r="K91" s="546"/>
      <c r="L91" s="551"/>
      <c r="M91" s="546"/>
      <c r="N91" s="551"/>
      <c r="O91" s="546"/>
      <c r="P91" s="551"/>
      <c r="Q91" s="546"/>
      <c r="R91" s="551"/>
      <c r="S91" s="546"/>
      <c r="T91" s="551"/>
      <c r="U91" s="546"/>
      <c r="V91" s="550"/>
      <c r="W91" s="546"/>
      <c r="X91" s="551"/>
      <c r="Y91" s="546"/>
      <c r="Z91" s="551"/>
      <c r="AA91" s="546"/>
      <c r="AB91" s="551"/>
      <c r="AC91" s="546"/>
      <c r="AD91" s="551"/>
      <c r="AE91" s="546"/>
      <c r="AF91" s="551"/>
      <c r="AG91" s="546"/>
      <c r="AH91" s="537"/>
    </row>
    <row r="92" spans="1:34" ht="23.25" customHeight="1">
      <c r="A92" s="518"/>
      <c r="B92" s="532"/>
      <c r="C92" s="552" t="s">
        <v>566</v>
      </c>
      <c r="D92" s="534" t="s">
        <v>441</v>
      </c>
      <c r="E92" s="553" t="s">
        <v>558</v>
      </c>
      <c r="F92" s="528" t="s">
        <v>401</v>
      </c>
      <c r="G92" s="635" t="s">
        <v>567</v>
      </c>
      <c r="H92" s="624"/>
      <c r="I92" s="636"/>
      <c r="J92" s="596"/>
      <c r="K92" s="546"/>
      <c r="L92" s="551"/>
      <c r="M92" s="546"/>
      <c r="N92" s="551"/>
      <c r="O92" s="546"/>
      <c r="P92" s="551"/>
      <c r="Q92" s="546"/>
      <c r="R92" s="551"/>
      <c r="S92" s="546"/>
      <c r="T92" s="551"/>
      <c r="U92" s="546"/>
      <c r="V92" s="550"/>
      <c r="W92" s="546"/>
      <c r="X92" s="551"/>
      <c r="Y92" s="546"/>
      <c r="Z92" s="506"/>
      <c r="AA92" s="546"/>
      <c r="AB92" s="551"/>
      <c r="AC92" s="546"/>
      <c r="AD92" s="551"/>
      <c r="AE92" s="546"/>
      <c r="AF92" s="551"/>
      <c r="AG92" s="546"/>
      <c r="AH92" s="537"/>
    </row>
    <row r="93" spans="1:34" ht="23.25" customHeight="1">
      <c r="A93" s="518"/>
      <c r="B93" s="532"/>
      <c r="C93" s="552" t="s">
        <v>568</v>
      </c>
      <c r="D93" s="534" t="s">
        <v>441</v>
      </c>
      <c r="E93" s="553" t="s">
        <v>569</v>
      </c>
      <c r="F93" s="528" t="s">
        <v>401</v>
      </c>
      <c r="G93" s="624" t="s">
        <v>554</v>
      </c>
      <c r="H93" s="637"/>
      <c r="I93" s="555"/>
      <c r="J93" s="596"/>
      <c r="K93" s="546"/>
      <c r="L93" s="506"/>
      <c r="M93" s="546"/>
      <c r="N93" s="551"/>
      <c r="O93" s="546"/>
      <c r="P93" s="551"/>
      <c r="Q93" s="546"/>
      <c r="R93" s="506"/>
      <c r="S93" s="546"/>
      <c r="T93" s="551"/>
      <c r="U93" s="546"/>
      <c r="V93" s="550"/>
      <c r="W93" s="546"/>
      <c r="X93" s="506"/>
      <c r="Y93" s="546"/>
      <c r="Z93" s="506"/>
      <c r="AA93" s="546"/>
      <c r="AB93" s="551"/>
      <c r="AC93" s="546"/>
      <c r="AD93" s="506"/>
      <c r="AE93" s="546"/>
      <c r="AF93" s="551"/>
      <c r="AG93" s="546"/>
      <c r="AH93" s="537"/>
    </row>
    <row r="94" spans="1:34" ht="22.5" customHeight="1">
      <c r="A94" s="538"/>
      <c r="B94" s="539"/>
      <c r="C94" s="638" t="s">
        <v>570</v>
      </c>
      <c r="D94" s="526" t="s">
        <v>441</v>
      </c>
      <c r="E94" s="639" t="s">
        <v>571</v>
      </c>
      <c r="F94" s="565" t="s">
        <v>400</v>
      </c>
      <c r="G94" s="640" t="s">
        <v>572</v>
      </c>
      <c r="H94" s="641" t="s">
        <v>573</v>
      </c>
      <c r="I94" s="642" t="s">
        <v>147</v>
      </c>
      <c r="J94" s="643"/>
      <c r="K94" s="544"/>
      <c r="L94" s="506"/>
      <c r="M94" s="544"/>
      <c r="N94" s="545" t="s">
        <v>454</v>
      </c>
      <c r="O94" s="544">
        <v>12</v>
      </c>
      <c r="P94" s="506"/>
      <c r="Q94" s="544"/>
      <c r="R94" s="506"/>
      <c r="S94" s="544"/>
      <c r="T94" s="506" t="s">
        <v>454</v>
      </c>
      <c r="U94" s="544">
        <v>28</v>
      </c>
      <c r="V94" s="543"/>
      <c r="W94" s="544"/>
      <c r="X94" s="506"/>
      <c r="Y94" s="544"/>
      <c r="Z94" s="506" t="s">
        <v>454</v>
      </c>
      <c r="AA94" s="544">
        <v>24</v>
      </c>
      <c r="AB94" s="545"/>
      <c r="AC94" s="544"/>
      <c r="AD94" s="506"/>
      <c r="AE94" s="544"/>
      <c r="AF94" s="506" t="s">
        <v>454</v>
      </c>
      <c r="AG94" s="544">
        <v>25</v>
      </c>
      <c r="AH94" s="644" t="s">
        <v>574</v>
      </c>
    </row>
    <row r="95" spans="1:34" ht="22.5" customHeight="1">
      <c r="A95" s="538"/>
      <c r="B95" s="539"/>
      <c r="C95" s="645" t="s">
        <v>575</v>
      </c>
      <c r="D95" s="534" t="s">
        <v>441</v>
      </c>
      <c r="E95" s="646" t="s">
        <v>571</v>
      </c>
      <c r="F95" s="528" t="s">
        <v>400</v>
      </c>
      <c r="G95" s="635" t="s">
        <v>576</v>
      </c>
      <c r="H95" s="641" t="s">
        <v>577</v>
      </c>
      <c r="I95" s="647" t="s">
        <v>578</v>
      </c>
      <c r="J95" s="648"/>
      <c r="K95" s="649"/>
      <c r="L95" s="650"/>
      <c r="M95" s="649"/>
      <c r="N95" s="648"/>
      <c r="O95" s="649"/>
      <c r="P95" s="605"/>
      <c r="Q95" s="649"/>
      <c r="R95" s="605"/>
      <c r="S95" s="649"/>
      <c r="T95" s="506" t="s">
        <v>454</v>
      </c>
      <c r="U95" s="649">
        <v>28</v>
      </c>
      <c r="V95" s="650"/>
      <c r="W95" s="649"/>
      <c r="X95" s="648"/>
      <c r="Y95" s="649"/>
      <c r="Z95" s="648"/>
      <c r="AA95" s="649"/>
      <c r="AB95" s="648"/>
      <c r="AC95" s="649"/>
      <c r="AD95" s="648"/>
      <c r="AE95" s="649"/>
      <c r="AF95" s="506" t="s">
        <v>454</v>
      </c>
      <c r="AG95" s="649">
        <v>25</v>
      </c>
      <c r="AH95" s="537"/>
    </row>
    <row r="96" spans="1:34" ht="22.5" customHeight="1">
      <c r="A96" s="538"/>
      <c r="B96" s="539"/>
      <c r="C96" s="651" t="s">
        <v>579</v>
      </c>
      <c r="D96" s="652" t="s">
        <v>441</v>
      </c>
      <c r="E96" s="646" t="s">
        <v>571</v>
      </c>
      <c r="F96" s="528" t="s">
        <v>401</v>
      </c>
      <c r="G96" s="591" t="s">
        <v>74</v>
      </c>
      <c r="H96" s="592"/>
      <c r="I96" s="653"/>
      <c r="J96" s="654"/>
      <c r="K96" s="655"/>
      <c r="L96" s="656"/>
      <c r="M96" s="655"/>
      <c r="N96" s="654"/>
      <c r="O96" s="655"/>
      <c r="P96" s="657"/>
      <c r="Q96" s="655"/>
      <c r="R96" s="657"/>
      <c r="S96" s="655"/>
      <c r="T96" s="654"/>
      <c r="U96" s="655"/>
      <c r="V96" s="656"/>
      <c r="W96" s="655"/>
      <c r="X96" s="654"/>
      <c r="Y96" s="655"/>
      <c r="Z96" s="654"/>
      <c r="AA96" s="655"/>
      <c r="AB96" s="654"/>
      <c r="AC96" s="655"/>
      <c r="AD96" s="654"/>
      <c r="AE96" s="655"/>
      <c r="AF96" s="654"/>
      <c r="AG96" s="655"/>
      <c r="AH96" s="576"/>
    </row>
    <row r="97" spans="1:34" ht="22.5" customHeight="1">
      <c r="A97" s="538"/>
      <c r="B97" s="539"/>
      <c r="C97" s="651" t="s">
        <v>580</v>
      </c>
      <c r="D97" s="652" t="s">
        <v>441</v>
      </c>
      <c r="E97" s="658" t="s">
        <v>571</v>
      </c>
      <c r="F97" s="528" t="s">
        <v>401</v>
      </c>
      <c r="G97" s="659" t="s">
        <v>449</v>
      </c>
      <c r="H97" s="660"/>
      <c r="I97" s="653"/>
      <c r="J97" s="654"/>
      <c r="K97" s="655"/>
      <c r="L97" s="648"/>
      <c r="M97" s="649"/>
      <c r="N97" s="648"/>
      <c r="O97" s="649"/>
      <c r="P97" s="605"/>
      <c r="Q97" s="649"/>
      <c r="R97" s="605"/>
      <c r="S97" s="649"/>
      <c r="T97" s="648"/>
      <c r="U97" s="649"/>
      <c r="V97" s="650"/>
      <c r="W97" s="649"/>
      <c r="X97" s="648"/>
      <c r="Y97" s="649"/>
      <c r="Z97" s="648"/>
      <c r="AA97" s="649"/>
      <c r="AB97" s="648"/>
      <c r="AC97" s="649"/>
      <c r="AD97" s="648"/>
      <c r="AE97" s="649"/>
      <c r="AF97" s="648"/>
      <c r="AG97" s="649"/>
      <c r="AH97" s="661"/>
    </row>
    <row r="98" spans="1:34" ht="23.25" customHeight="1">
      <c r="A98" s="538"/>
      <c r="B98" s="539"/>
      <c r="C98" s="645" t="s">
        <v>581</v>
      </c>
      <c r="D98" s="534" t="s">
        <v>441</v>
      </c>
      <c r="E98" s="646" t="s">
        <v>571</v>
      </c>
      <c r="F98" s="528" t="s">
        <v>401</v>
      </c>
      <c r="G98" s="625" t="s">
        <v>449</v>
      </c>
      <c r="H98" s="625"/>
      <c r="I98" s="623"/>
      <c r="J98" s="662"/>
      <c r="K98" s="649"/>
      <c r="L98" s="648"/>
      <c r="M98" s="649"/>
      <c r="N98" s="648"/>
      <c r="O98" s="649"/>
      <c r="P98" s="648"/>
      <c r="Q98" s="649"/>
      <c r="R98" s="648"/>
      <c r="S98" s="649"/>
      <c r="T98" s="648"/>
      <c r="U98" s="649"/>
      <c r="V98" s="650"/>
      <c r="W98" s="649"/>
      <c r="X98" s="648"/>
      <c r="Y98" s="649"/>
      <c r="Z98" s="648"/>
      <c r="AA98" s="649"/>
      <c r="AB98" s="648"/>
      <c r="AC98" s="649"/>
      <c r="AD98" s="648"/>
      <c r="AE98" s="649"/>
      <c r="AF98" s="648"/>
      <c r="AG98" s="649"/>
      <c r="AH98" s="661"/>
    </row>
    <row r="99" spans="1:34" ht="23.25" customHeight="1">
      <c r="A99" s="663"/>
      <c r="B99" s="664"/>
      <c r="C99" s="645" t="s">
        <v>582</v>
      </c>
      <c r="D99" s="534" t="s">
        <v>441</v>
      </c>
      <c r="E99" s="646" t="s">
        <v>583</v>
      </c>
      <c r="F99" s="528" t="s">
        <v>401</v>
      </c>
      <c r="G99" s="625" t="s">
        <v>449</v>
      </c>
      <c r="H99" s="625"/>
      <c r="I99" s="623"/>
      <c r="J99" s="662"/>
      <c r="K99" s="649"/>
      <c r="L99" s="648"/>
      <c r="M99" s="649"/>
      <c r="N99" s="648"/>
      <c r="O99" s="649"/>
      <c r="P99" s="648"/>
      <c r="Q99" s="649"/>
      <c r="R99" s="648"/>
      <c r="S99" s="649"/>
      <c r="T99" s="648"/>
      <c r="U99" s="649"/>
      <c r="V99" s="650"/>
      <c r="W99" s="649"/>
      <c r="X99" s="648"/>
      <c r="Y99" s="649"/>
      <c r="Z99" s="648"/>
      <c r="AA99" s="649"/>
      <c r="AB99" s="648"/>
      <c r="AC99" s="649"/>
      <c r="AD99" s="648"/>
      <c r="AE99" s="649"/>
      <c r="AF99" s="648"/>
      <c r="AG99" s="649"/>
      <c r="AH99" s="661"/>
    </row>
    <row r="100" spans="1:34" ht="23.25" customHeight="1">
      <c r="A100" s="663"/>
      <c r="B100" s="664"/>
      <c r="C100" s="645" t="s">
        <v>584</v>
      </c>
      <c r="D100" s="534" t="s">
        <v>441</v>
      </c>
      <c r="E100" s="646" t="s">
        <v>583</v>
      </c>
      <c r="F100" s="528" t="s">
        <v>401</v>
      </c>
      <c r="G100" s="635" t="s">
        <v>449</v>
      </c>
      <c r="H100" s="624"/>
      <c r="I100" s="623"/>
      <c r="J100" s="650"/>
      <c r="K100" s="649"/>
      <c r="L100" s="648"/>
      <c r="M100" s="649"/>
      <c r="N100" s="648"/>
      <c r="O100" s="649"/>
      <c r="P100" s="648"/>
      <c r="Q100" s="649"/>
      <c r="R100" s="648"/>
      <c r="S100" s="649"/>
      <c r="T100" s="648"/>
      <c r="U100" s="649"/>
      <c r="V100" s="650"/>
      <c r="W100" s="649"/>
      <c r="X100" s="648"/>
      <c r="Y100" s="649"/>
      <c r="Z100" s="648"/>
      <c r="AA100" s="649"/>
      <c r="AB100" s="648"/>
      <c r="AC100" s="649"/>
      <c r="AD100" s="648"/>
      <c r="AE100" s="649"/>
      <c r="AF100" s="648"/>
      <c r="AG100" s="649"/>
      <c r="AH100" s="661"/>
    </row>
    <row r="101" spans="1:34" ht="23.25" customHeight="1">
      <c r="A101" s="665"/>
      <c r="B101" s="666"/>
      <c r="C101" s="552" t="s">
        <v>585</v>
      </c>
      <c r="D101" s="534" t="s">
        <v>441</v>
      </c>
      <c r="E101" s="553" t="s">
        <v>586</v>
      </c>
      <c r="F101" s="528" t="s">
        <v>401</v>
      </c>
      <c r="G101" s="625" t="s">
        <v>491</v>
      </c>
      <c r="H101" s="570"/>
      <c r="I101" s="555"/>
      <c r="J101" s="551"/>
      <c r="K101" s="546"/>
      <c r="L101" s="551"/>
      <c r="M101" s="546"/>
      <c r="N101" s="551"/>
      <c r="O101" s="546"/>
      <c r="P101" s="551"/>
      <c r="Q101" s="546"/>
      <c r="R101" s="551"/>
      <c r="S101" s="546"/>
      <c r="T101" s="551"/>
      <c r="U101" s="546"/>
      <c r="V101" s="550"/>
      <c r="W101" s="546"/>
      <c r="X101" s="551"/>
      <c r="Y101" s="546"/>
      <c r="Z101" s="551"/>
      <c r="AA101" s="546"/>
      <c r="AB101" s="551"/>
      <c r="AC101" s="546"/>
      <c r="AD101" s="551"/>
      <c r="AE101" s="546"/>
      <c r="AF101" s="551"/>
      <c r="AG101" s="546"/>
      <c r="AH101" s="537"/>
    </row>
    <row r="102" spans="1:34" ht="23.25" customHeight="1">
      <c r="A102" s="538"/>
      <c r="B102" s="667"/>
      <c r="C102" s="552" t="s">
        <v>587</v>
      </c>
      <c r="D102" s="534" t="s">
        <v>441</v>
      </c>
      <c r="E102" s="553" t="s">
        <v>586</v>
      </c>
      <c r="F102" s="528" t="s">
        <v>401</v>
      </c>
      <c r="G102" s="534" t="s">
        <v>449</v>
      </c>
      <c r="H102" s="668"/>
      <c r="I102" s="623"/>
      <c r="J102" s="662"/>
      <c r="K102" s="649"/>
      <c r="L102" s="648"/>
      <c r="M102" s="649"/>
      <c r="N102" s="648"/>
      <c r="O102" s="649"/>
      <c r="P102" s="648"/>
      <c r="Q102" s="649"/>
      <c r="R102" s="648"/>
      <c r="S102" s="649"/>
      <c r="T102" s="648"/>
      <c r="U102" s="649"/>
      <c r="V102" s="650"/>
      <c r="W102" s="649"/>
      <c r="X102" s="648"/>
      <c r="Y102" s="649"/>
      <c r="Z102" s="648"/>
      <c r="AA102" s="649"/>
      <c r="AB102" s="648"/>
      <c r="AC102" s="649"/>
      <c r="AD102" s="648"/>
      <c r="AE102" s="649"/>
      <c r="AF102" s="648"/>
      <c r="AG102" s="649"/>
      <c r="AH102" s="661"/>
    </row>
    <row r="103" spans="1:34" ht="23.25" customHeight="1">
      <c r="A103" s="665"/>
      <c r="B103" s="666"/>
      <c r="C103" s="552" t="s">
        <v>588</v>
      </c>
      <c r="D103" s="534" t="s">
        <v>441</v>
      </c>
      <c r="E103" s="553" t="s">
        <v>589</v>
      </c>
      <c r="F103" s="528" t="s">
        <v>401</v>
      </c>
      <c r="G103" s="534" t="s">
        <v>449</v>
      </c>
      <c r="H103" s="554"/>
      <c r="I103" s="555"/>
      <c r="J103" s="551"/>
      <c r="K103" s="546"/>
      <c r="L103" s="551"/>
      <c r="M103" s="546"/>
      <c r="N103" s="551"/>
      <c r="O103" s="546"/>
      <c r="P103" s="551"/>
      <c r="Q103" s="546"/>
      <c r="R103" s="551"/>
      <c r="S103" s="546"/>
      <c r="T103" s="551"/>
      <c r="U103" s="546"/>
      <c r="V103" s="550"/>
      <c r="W103" s="546"/>
      <c r="X103" s="551"/>
      <c r="Y103" s="546"/>
      <c r="Z103" s="551"/>
      <c r="AA103" s="546"/>
      <c r="AB103" s="551"/>
      <c r="AC103" s="546"/>
      <c r="AD103" s="551"/>
      <c r="AE103" s="546"/>
      <c r="AF103" s="551"/>
      <c r="AG103" s="546"/>
      <c r="AH103" s="537"/>
    </row>
    <row r="104" spans="1:34" ht="23.25" customHeight="1">
      <c r="A104" s="665"/>
      <c r="B104" s="666"/>
      <c r="C104" s="552" t="s">
        <v>588</v>
      </c>
      <c r="D104" s="534" t="s">
        <v>441</v>
      </c>
      <c r="E104" s="553" t="s">
        <v>589</v>
      </c>
      <c r="F104" s="528" t="s">
        <v>401</v>
      </c>
      <c r="G104" s="534" t="s">
        <v>449</v>
      </c>
      <c r="H104" s="554"/>
      <c r="I104" s="555"/>
      <c r="J104" s="551"/>
      <c r="K104" s="546"/>
      <c r="L104" s="551"/>
      <c r="M104" s="546"/>
      <c r="N104" s="551"/>
      <c r="O104" s="546"/>
      <c r="P104" s="551"/>
      <c r="Q104" s="546"/>
      <c r="R104" s="551"/>
      <c r="S104" s="546"/>
      <c r="T104" s="551"/>
      <c r="U104" s="546"/>
      <c r="V104" s="550"/>
      <c r="W104" s="546"/>
      <c r="X104" s="551"/>
      <c r="Y104" s="546"/>
      <c r="Z104" s="551"/>
      <c r="AA104" s="546"/>
      <c r="AB104" s="551"/>
      <c r="AC104" s="546"/>
      <c r="AD104" s="551"/>
      <c r="AE104" s="546"/>
      <c r="AF104" s="551"/>
      <c r="AG104" s="546"/>
      <c r="AH104" s="537"/>
    </row>
    <row r="105" spans="1:34" ht="22.5" customHeight="1">
      <c r="A105" s="518"/>
      <c r="B105" s="532"/>
      <c r="C105" s="552" t="s">
        <v>590</v>
      </c>
      <c r="D105" s="534" t="s">
        <v>441</v>
      </c>
      <c r="E105" s="553" t="s">
        <v>591</v>
      </c>
      <c r="F105" s="528" t="s">
        <v>401</v>
      </c>
      <c r="G105" s="553" t="s">
        <v>532</v>
      </c>
      <c r="H105" s="554"/>
      <c r="I105" s="555"/>
      <c r="J105" s="550"/>
      <c r="K105" s="546"/>
      <c r="L105" s="551"/>
      <c r="M105" s="546"/>
      <c r="N105" s="551"/>
      <c r="O105" s="546"/>
      <c r="P105" s="551"/>
      <c r="Q105" s="546"/>
      <c r="R105" s="551"/>
      <c r="S105" s="549"/>
      <c r="T105" s="551"/>
      <c r="U105" s="546"/>
      <c r="V105" s="550"/>
      <c r="W105" s="546"/>
      <c r="X105" s="551"/>
      <c r="Y105" s="546"/>
      <c r="Z105" s="551"/>
      <c r="AA105" s="546"/>
      <c r="AB105" s="551"/>
      <c r="AC105" s="546"/>
      <c r="AD105" s="551"/>
      <c r="AE105" s="546"/>
      <c r="AF105" s="551"/>
      <c r="AG105" s="546"/>
      <c r="AH105" s="537"/>
    </row>
    <row r="106" spans="1:34" ht="22.9" customHeight="1">
      <c r="A106" s="518"/>
      <c r="B106" s="532"/>
      <c r="C106" s="552" t="s">
        <v>592</v>
      </c>
      <c r="D106" s="534" t="s">
        <v>441</v>
      </c>
      <c r="E106" s="553" t="s">
        <v>591</v>
      </c>
      <c r="F106" s="528" t="s">
        <v>401</v>
      </c>
      <c r="G106" s="553" t="s">
        <v>532</v>
      </c>
      <c r="H106" s="554"/>
      <c r="I106" s="555"/>
      <c r="J106" s="550"/>
      <c r="K106" s="546"/>
      <c r="L106" s="551"/>
      <c r="M106" s="546"/>
      <c r="N106" s="551"/>
      <c r="O106" s="546"/>
      <c r="P106" s="551"/>
      <c r="Q106" s="546"/>
      <c r="R106" s="551"/>
      <c r="S106" s="549"/>
      <c r="T106" s="551"/>
      <c r="U106" s="546"/>
      <c r="V106" s="550"/>
      <c r="W106" s="546"/>
      <c r="X106" s="551"/>
      <c r="Y106" s="546"/>
      <c r="Z106" s="551"/>
      <c r="AA106" s="546"/>
      <c r="AB106" s="551"/>
      <c r="AC106" s="546"/>
      <c r="AD106" s="551"/>
      <c r="AE106" s="546"/>
      <c r="AF106" s="551"/>
      <c r="AG106" s="546"/>
      <c r="AH106" s="537"/>
    </row>
    <row r="107" spans="1:34" ht="23.25" customHeight="1">
      <c r="A107" s="518"/>
      <c r="B107" s="532"/>
      <c r="C107" s="552" t="s">
        <v>593</v>
      </c>
      <c r="D107" s="534" t="s">
        <v>441</v>
      </c>
      <c r="E107" s="553" t="s">
        <v>594</v>
      </c>
      <c r="F107" s="528" t="s">
        <v>401</v>
      </c>
      <c r="G107" s="534" t="s">
        <v>595</v>
      </c>
      <c r="H107" s="554"/>
      <c r="I107" s="555"/>
      <c r="J107" s="551"/>
      <c r="K107" s="546"/>
      <c r="L107" s="551"/>
      <c r="M107" s="546"/>
      <c r="N107" s="551"/>
      <c r="O107" s="546"/>
      <c r="P107" s="551"/>
      <c r="Q107" s="546"/>
      <c r="R107" s="551"/>
      <c r="S107" s="546"/>
      <c r="T107" s="551"/>
      <c r="U107" s="546"/>
      <c r="V107" s="550"/>
      <c r="W107" s="546"/>
      <c r="X107" s="551"/>
      <c r="Y107" s="546"/>
      <c r="Z107" s="551"/>
      <c r="AA107" s="546"/>
      <c r="AB107" s="551"/>
      <c r="AC107" s="546"/>
      <c r="AD107" s="551"/>
      <c r="AE107" s="546"/>
      <c r="AF107" s="551"/>
      <c r="AG107" s="546"/>
      <c r="AH107" s="669"/>
    </row>
    <row r="108" spans="1:34" ht="23.25" customHeight="1">
      <c r="A108" s="538"/>
      <c r="B108" s="539"/>
      <c r="C108" s="645" t="s">
        <v>596</v>
      </c>
      <c r="D108" s="534" t="s">
        <v>441</v>
      </c>
      <c r="E108" s="646" t="s">
        <v>597</v>
      </c>
      <c r="F108" s="528" t="s">
        <v>401</v>
      </c>
      <c r="G108" s="570" t="s">
        <v>472</v>
      </c>
      <c r="H108" s="554"/>
      <c r="I108" s="555"/>
      <c r="J108" s="662"/>
      <c r="K108" s="649"/>
      <c r="L108" s="648"/>
      <c r="M108" s="649"/>
      <c r="N108" s="648"/>
      <c r="O108" s="649"/>
      <c r="P108" s="648"/>
      <c r="Q108" s="649"/>
      <c r="R108" s="648"/>
      <c r="S108" s="649"/>
      <c r="T108" s="648"/>
      <c r="U108" s="649"/>
      <c r="V108" s="650"/>
      <c r="W108" s="649"/>
      <c r="X108" s="648"/>
      <c r="Y108" s="649"/>
      <c r="Z108" s="648"/>
      <c r="AA108" s="649"/>
      <c r="AB108" s="648"/>
      <c r="AC108" s="649"/>
      <c r="AD108" s="648"/>
      <c r="AE108" s="649"/>
      <c r="AF108" s="648"/>
      <c r="AG108" s="649"/>
      <c r="AH108" s="661"/>
    </row>
    <row r="109" spans="1:34" ht="23.25" customHeight="1">
      <c r="A109" s="518"/>
      <c r="B109" s="532"/>
      <c r="C109" s="670" t="s">
        <v>598</v>
      </c>
      <c r="D109" s="534" t="s">
        <v>441</v>
      </c>
      <c r="E109" s="553" t="s">
        <v>599</v>
      </c>
      <c r="F109" s="528" t="s">
        <v>401</v>
      </c>
      <c r="G109" s="534" t="s">
        <v>600</v>
      </c>
      <c r="H109" s="554"/>
      <c r="I109" s="555"/>
      <c r="J109" s="551"/>
      <c r="K109" s="546"/>
      <c r="L109" s="551"/>
      <c r="M109" s="546"/>
      <c r="N109" s="551"/>
      <c r="O109" s="546"/>
      <c r="P109" s="551"/>
      <c r="Q109" s="546"/>
      <c r="R109" s="551"/>
      <c r="S109" s="546"/>
      <c r="T109" s="551"/>
      <c r="U109" s="546"/>
      <c r="V109" s="550"/>
      <c r="W109" s="546"/>
      <c r="X109" s="551"/>
      <c r="Y109" s="546"/>
      <c r="Z109" s="551"/>
      <c r="AA109" s="546"/>
      <c r="AB109" s="551"/>
      <c r="AC109" s="546"/>
      <c r="AD109" s="551"/>
      <c r="AE109" s="546"/>
      <c r="AF109" s="551"/>
      <c r="AG109" s="546"/>
      <c r="AH109" s="537"/>
    </row>
    <row r="110" spans="1:34" ht="23.25" customHeight="1">
      <c r="A110" s="538"/>
      <c r="B110" s="539"/>
      <c r="C110" s="552" t="s">
        <v>601</v>
      </c>
      <c r="D110" s="534" t="s">
        <v>441</v>
      </c>
      <c r="E110" s="553" t="s">
        <v>602</v>
      </c>
      <c r="F110" s="528" t="s">
        <v>401</v>
      </c>
      <c r="G110" s="534" t="s">
        <v>603</v>
      </c>
      <c r="H110" s="668"/>
      <c r="I110" s="623"/>
      <c r="J110" s="662"/>
      <c r="K110" s="649"/>
      <c r="L110" s="648"/>
      <c r="M110" s="649"/>
      <c r="N110" s="648"/>
      <c r="O110" s="649"/>
      <c r="P110" s="648"/>
      <c r="Q110" s="649"/>
      <c r="R110" s="648"/>
      <c r="S110" s="649"/>
      <c r="T110" s="648"/>
      <c r="U110" s="649"/>
      <c r="V110" s="650"/>
      <c r="W110" s="649"/>
      <c r="X110" s="648"/>
      <c r="Y110" s="649"/>
      <c r="Z110" s="648"/>
      <c r="AA110" s="649"/>
      <c r="AB110" s="648"/>
      <c r="AC110" s="649"/>
      <c r="AD110" s="648"/>
      <c r="AE110" s="649"/>
      <c r="AF110" s="648"/>
      <c r="AG110" s="649"/>
      <c r="AH110" s="661"/>
    </row>
    <row r="111" spans="1:34" ht="23.25" customHeight="1" thickBot="1">
      <c r="A111" s="538"/>
      <c r="B111" s="671"/>
      <c r="C111" s="558" t="s">
        <v>604</v>
      </c>
      <c r="D111" s="559" t="s">
        <v>441</v>
      </c>
      <c r="E111" s="560" t="s">
        <v>605</v>
      </c>
      <c r="F111" s="561" t="s">
        <v>401</v>
      </c>
      <c r="G111" s="581" t="s">
        <v>553</v>
      </c>
      <c r="H111" s="672"/>
      <c r="I111" s="673"/>
      <c r="J111" s="674"/>
      <c r="K111" s="675"/>
      <c r="L111" s="676"/>
      <c r="M111" s="675"/>
      <c r="N111" s="676"/>
      <c r="O111" s="675"/>
      <c r="P111" s="676"/>
      <c r="Q111" s="675"/>
      <c r="R111" s="676"/>
      <c r="S111" s="675"/>
      <c r="T111" s="676"/>
      <c r="U111" s="675"/>
      <c r="V111" s="677"/>
      <c r="W111" s="675"/>
      <c r="X111" s="676"/>
      <c r="Y111" s="675"/>
      <c r="Z111" s="676"/>
      <c r="AA111" s="675"/>
      <c r="AB111" s="676"/>
      <c r="AC111" s="675"/>
      <c r="AD111" s="676"/>
      <c r="AE111" s="675"/>
      <c r="AF111" s="676"/>
      <c r="AG111" s="675"/>
      <c r="AH111" s="678"/>
    </row>
    <row r="112" spans="1:34" ht="23.25" customHeight="1">
      <c r="A112" s="518"/>
      <c r="B112" s="679" t="s">
        <v>606</v>
      </c>
      <c r="C112" s="680" t="s">
        <v>607</v>
      </c>
      <c r="D112" s="681" t="s">
        <v>608</v>
      </c>
      <c r="E112" s="682" t="s">
        <v>609</v>
      </c>
      <c r="F112" s="683" t="s">
        <v>401</v>
      </c>
      <c r="G112" s="681" t="s">
        <v>74</v>
      </c>
      <c r="H112" s="683"/>
      <c r="I112" s="684"/>
      <c r="J112" s="685"/>
      <c r="K112" s="686"/>
      <c r="L112" s="687"/>
      <c r="M112" s="688"/>
      <c r="N112" s="687"/>
      <c r="O112" s="688"/>
      <c r="P112" s="689"/>
      <c r="Q112" s="686"/>
      <c r="R112" s="689"/>
      <c r="S112" s="686"/>
      <c r="T112" s="689"/>
      <c r="U112" s="686"/>
      <c r="V112" s="690"/>
      <c r="W112" s="686"/>
      <c r="X112" s="689"/>
      <c r="Y112" s="686"/>
      <c r="Z112" s="689"/>
      <c r="AA112" s="686"/>
      <c r="AB112" s="689"/>
      <c r="AC112" s="686"/>
      <c r="AD112" s="689"/>
      <c r="AE112" s="686"/>
      <c r="AF112" s="689"/>
      <c r="AG112" s="686"/>
      <c r="AH112" s="691"/>
    </row>
    <row r="113" spans="1:34" ht="23.25" customHeight="1">
      <c r="A113" s="518"/>
      <c r="B113" s="532"/>
      <c r="C113" s="533" t="s">
        <v>610</v>
      </c>
      <c r="D113" s="526" t="s">
        <v>441</v>
      </c>
      <c r="E113" s="535" t="s">
        <v>611</v>
      </c>
      <c r="F113" s="565" t="s">
        <v>400</v>
      </c>
      <c r="G113" s="526" t="s">
        <v>74</v>
      </c>
      <c r="H113" s="526" t="s">
        <v>74</v>
      </c>
      <c r="I113" s="548" t="s">
        <v>555</v>
      </c>
      <c r="J113" s="506"/>
      <c r="K113" s="505"/>
      <c r="L113" s="506" t="s">
        <v>454</v>
      </c>
      <c r="M113" s="505">
        <v>23</v>
      </c>
      <c r="N113" s="506"/>
      <c r="O113" s="505"/>
      <c r="P113" s="506"/>
      <c r="Q113" s="505"/>
      <c r="R113" s="506"/>
      <c r="S113" s="505"/>
      <c r="T113" s="506"/>
      <c r="U113" s="505"/>
      <c r="V113" s="507"/>
      <c r="W113" s="505"/>
      <c r="X113" s="506"/>
      <c r="Y113" s="505"/>
      <c r="Z113" s="506"/>
      <c r="AA113" s="505"/>
      <c r="AB113" s="506"/>
      <c r="AC113" s="505"/>
      <c r="AD113" s="506"/>
      <c r="AE113" s="505"/>
      <c r="AF113" s="506"/>
      <c r="AG113" s="505"/>
      <c r="AH113" s="567"/>
    </row>
    <row r="114" spans="1:34" ht="22.5" customHeight="1">
      <c r="A114" s="577"/>
      <c r="B114" s="588"/>
      <c r="C114" s="614" t="s">
        <v>612</v>
      </c>
      <c r="D114" s="526" t="s">
        <v>441</v>
      </c>
      <c r="E114" s="590" t="s">
        <v>613</v>
      </c>
      <c r="F114" s="528" t="s">
        <v>401</v>
      </c>
      <c r="G114" s="591" t="s">
        <v>74</v>
      </c>
      <c r="H114" s="592"/>
      <c r="I114" s="548"/>
      <c r="J114" s="627"/>
      <c r="K114" s="611"/>
      <c r="L114" s="610"/>
      <c r="M114" s="611"/>
      <c r="N114" s="610"/>
      <c r="O114" s="611"/>
      <c r="P114" s="610"/>
      <c r="Q114" s="611"/>
      <c r="R114" s="610"/>
      <c r="S114" s="611"/>
      <c r="T114" s="610"/>
      <c r="U114" s="611"/>
      <c r="V114" s="627"/>
      <c r="W114" s="611"/>
      <c r="X114" s="610"/>
      <c r="Y114" s="611"/>
      <c r="Z114" s="610"/>
      <c r="AA114" s="611"/>
      <c r="AB114" s="610"/>
      <c r="AC114" s="611"/>
      <c r="AD114" s="610"/>
      <c r="AE114" s="611"/>
      <c r="AF114" s="610"/>
      <c r="AG114" s="611"/>
      <c r="AH114" s="567"/>
    </row>
    <row r="115" spans="1:34" ht="22.5" customHeight="1">
      <c r="A115" s="577"/>
      <c r="B115" s="588"/>
      <c r="C115" s="618" t="s">
        <v>614</v>
      </c>
      <c r="D115" s="534" t="s">
        <v>441</v>
      </c>
      <c r="E115" s="569" t="s">
        <v>615</v>
      </c>
      <c r="F115" s="528" t="s">
        <v>401</v>
      </c>
      <c r="G115" s="534" t="s">
        <v>616</v>
      </c>
      <c r="H115" s="554"/>
      <c r="I115" s="555"/>
      <c r="J115" s="615"/>
      <c r="K115" s="604"/>
      <c r="L115" s="605"/>
      <c r="M115" s="604"/>
      <c r="N115" s="605"/>
      <c r="O115" s="604"/>
      <c r="P115" s="605"/>
      <c r="Q115" s="604"/>
      <c r="R115" s="605"/>
      <c r="S115" s="604"/>
      <c r="T115" s="605"/>
      <c r="U115" s="604"/>
      <c r="V115" s="615"/>
      <c r="W115" s="604"/>
      <c r="X115" s="605"/>
      <c r="Y115" s="604"/>
      <c r="Z115" s="605"/>
      <c r="AA115" s="604"/>
      <c r="AB115" s="605"/>
      <c r="AC115" s="604"/>
      <c r="AD115" s="605"/>
      <c r="AE115" s="604"/>
      <c r="AF115" s="605"/>
      <c r="AG115" s="604"/>
      <c r="AH115" s="537"/>
    </row>
    <row r="116" spans="1:34" ht="23.25" customHeight="1">
      <c r="A116" s="518"/>
      <c r="B116" s="532"/>
      <c r="C116" s="552" t="s">
        <v>617</v>
      </c>
      <c r="D116" s="534" t="s">
        <v>441</v>
      </c>
      <c r="E116" s="553" t="s">
        <v>618</v>
      </c>
      <c r="F116" s="528" t="s">
        <v>401</v>
      </c>
      <c r="G116" s="681" t="s">
        <v>74</v>
      </c>
      <c r="H116" s="554"/>
      <c r="I116" s="555"/>
      <c r="J116" s="551"/>
      <c r="K116" s="546"/>
      <c r="L116" s="551"/>
      <c r="M116" s="546"/>
      <c r="N116" s="551"/>
      <c r="O116" s="546"/>
      <c r="P116" s="551"/>
      <c r="Q116" s="546"/>
      <c r="R116" s="551"/>
      <c r="S116" s="546"/>
      <c r="T116" s="551"/>
      <c r="U116" s="546"/>
      <c r="V116" s="550"/>
      <c r="W116" s="546"/>
      <c r="X116" s="551"/>
      <c r="Y116" s="546"/>
      <c r="Z116" s="551"/>
      <c r="AA116" s="546"/>
      <c r="AB116" s="551"/>
      <c r="AC116" s="546"/>
      <c r="AD116" s="551"/>
      <c r="AE116" s="546"/>
      <c r="AF116" s="551"/>
      <c r="AG116" s="546"/>
      <c r="AH116" s="537"/>
    </row>
    <row r="117" spans="1:34" ht="23.25" customHeight="1">
      <c r="A117" s="518"/>
      <c r="B117" s="532"/>
      <c r="C117" s="552" t="s">
        <v>619</v>
      </c>
      <c r="D117" s="534" t="s">
        <v>441</v>
      </c>
      <c r="E117" s="553" t="s">
        <v>620</v>
      </c>
      <c r="F117" s="528" t="s">
        <v>401</v>
      </c>
      <c r="G117" s="681" t="s">
        <v>74</v>
      </c>
      <c r="H117" s="554"/>
      <c r="I117" s="555"/>
      <c r="J117" s="551"/>
      <c r="K117" s="546"/>
      <c r="L117" s="551"/>
      <c r="M117" s="546"/>
      <c r="N117" s="551"/>
      <c r="O117" s="546"/>
      <c r="P117" s="551"/>
      <c r="Q117" s="546"/>
      <c r="R117" s="551"/>
      <c r="S117" s="546"/>
      <c r="T117" s="551"/>
      <c r="U117" s="546"/>
      <c r="V117" s="550"/>
      <c r="W117" s="546"/>
      <c r="X117" s="551"/>
      <c r="Y117" s="546"/>
      <c r="Z117" s="551"/>
      <c r="AA117" s="546"/>
      <c r="AB117" s="551"/>
      <c r="AC117" s="546"/>
      <c r="AD117" s="551"/>
      <c r="AE117" s="546"/>
      <c r="AF117" s="551"/>
      <c r="AG117" s="546"/>
      <c r="AH117" s="537"/>
    </row>
    <row r="118" spans="1:34" ht="23.25" customHeight="1">
      <c r="A118" s="518"/>
      <c r="B118" s="532"/>
      <c r="C118" s="552" t="s">
        <v>621</v>
      </c>
      <c r="D118" s="534" t="s">
        <v>441</v>
      </c>
      <c r="E118" s="553" t="s">
        <v>622</v>
      </c>
      <c r="F118" s="528" t="s">
        <v>401</v>
      </c>
      <c r="G118" s="534" t="s">
        <v>539</v>
      </c>
      <c r="H118" s="554"/>
      <c r="I118" s="555"/>
      <c r="J118" s="551"/>
      <c r="K118" s="546"/>
      <c r="L118" s="551"/>
      <c r="M118" s="546"/>
      <c r="N118" s="551"/>
      <c r="O118" s="546"/>
      <c r="P118" s="551"/>
      <c r="Q118" s="546"/>
      <c r="R118" s="551"/>
      <c r="S118" s="546"/>
      <c r="T118" s="551"/>
      <c r="U118" s="546"/>
      <c r="V118" s="550"/>
      <c r="W118" s="546"/>
      <c r="X118" s="551"/>
      <c r="Y118" s="546"/>
      <c r="Z118" s="551"/>
      <c r="AA118" s="546"/>
      <c r="AB118" s="551"/>
      <c r="AC118" s="546"/>
      <c r="AD118" s="551"/>
      <c r="AE118" s="546"/>
      <c r="AF118" s="551"/>
      <c r="AG118" s="546"/>
      <c r="AH118" s="537"/>
    </row>
    <row r="119" spans="1:34" ht="22.5" customHeight="1">
      <c r="A119" s="577"/>
      <c r="B119" s="588"/>
      <c r="C119" s="614" t="s">
        <v>623</v>
      </c>
      <c r="D119" s="526" t="s">
        <v>441</v>
      </c>
      <c r="E119" s="590" t="s">
        <v>624</v>
      </c>
      <c r="F119" s="528" t="s">
        <v>401</v>
      </c>
      <c r="G119" s="591" t="s">
        <v>74</v>
      </c>
      <c r="H119" s="592"/>
      <c r="I119" s="548"/>
      <c r="J119" s="603"/>
      <c r="K119" s="611"/>
      <c r="L119" s="610"/>
      <c r="M119" s="611"/>
      <c r="N119" s="610"/>
      <c r="O119" s="611"/>
      <c r="P119" s="610"/>
      <c r="Q119" s="611"/>
      <c r="R119" s="610"/>
      <c r="S119" s="611"/>
      <c r="T119" s="610"/>
      <c r="U119" s="611"/>
      <c r="V119" s="627"/>
      <c r="W119" s="611"/>
      <c r="X119" s="506"/>
      <c r="Y119" s="611"/>
      <c r="Z119" s="610"/>
      <c r="AA119" s="611"/>
      <c r="AB119" s="610"/>
      <c r="AC119" s="611"/>
      <c r="AD119" s="610"/>
      <c r="AE119" s="611"/>
      <c r="AF119" s="610"/>
      <c r="AG119" s="611"/>
      <c r="AH119" s="632"/>
    </row>
    <row r="120" spans="1:34" ht="22.5" customHeight="1">
      <c r="A120" s="577"/>
      <c r="B120" s="588"/>
      <c r="C120" s="692" t="s">
        <v>625</v>
      </c>
      <c r="D120" s="534" t="s">
        <v>441</v>
      </c>
      <c r="E120" s="569" t="s">
        <v>624</v>
      </c>
      <c r="F120" s="528" t="s">
        <v>401</v>
      </c>
      <c r="G120" s="625" t="s">
        <v>74</v>
      </c>
      <c r="H120" s="526"/>
      <c r="I120" s="548"/>
      <c r="J120" s="607"/>
      <c r="K120" s="693"/>
      <c r="L120" s="605"/>
      <c r="M120" s="604"/>
      <c r="N120" s="605"/>
      <c r="O120" s="604"/>
      <c r="P120" s="605"/>
      <c r="Q120" s="604"/>
      <c r="R120" s="605"/>
      <c r="S120" s="604"/>
      <c r="T120" s="605"/>
      <c r="U120" s="604"/>
      <c r="V120" s="615"/>
      <c r="W120" s="604"/>
      <c r="X120" s="605"/>
      <c r="Y120" s="604"/>
      <c r="Z120" s="605"/>
      <c r="AA120" s="604"/>
      <c r="AB120" s="605"/>
      <c r="AC120" s="604"/>
      <c r="AD120" s="605"/>
      <c r="AE120" s="604"/>
      <c r="AF120" s="605"/>
      <c r="AG120" s="604"/>
      <c r="AH120" s="694"/>
    </row>
    <row r="121" spans="1:34" ht="22.5" customHeight="1">
      <c r="A121" s="577"/>
      <c r="B121" s="588"/>
      <c r="C121" s="695" t="s">
        <v>626</v>
      </c>
      <c r="D121" s="526" t="s">
        <v>441</v>
      </c>
      <c r="E121" s="590" t="s">
        <v>613</v>
      </c>
      <c r="F121" s="528" t="s">
        <v>401</v>
      </c>
      <c r="G121" s="591" t="s">
        <v>576</v>
      </c>
      <c r="H121" s="592"/>
      <c r="I121" s="548"/>
      <c r="J121" s="627"/>
      <c r="K121" s="611"/>
      <c r="L121" s="610"/>
      <c r="M121" s="611"/>
      <c r="N121" s="610"/>
      <c r="O121" s="611"/>
      <c r="P121" s="610"/>
      <c r="Q121" s="611"/>
      <c r="R121" s="610"/>
      <c r="S121" s="611"/>
      <c r="T121" s="610"/>
      <c r="U121" s="611"/>
      <c r="V121" s="627"/>
      <c r="W121" s="611"/>
      <c r="X121" s="610"/>
      <c r="Y121" s="611"/>
      <c r="Z121" s="610"/>
      <c r="AA121" s="611"/>
      <c r="AB121" s="610"/>
      <c r="AC121" s="611"/>
      <c r="AD121" s="610"/>
      <c r="AE121" s="611"/>
      <c r="AF121" s="610"/>
      <c r="AG121" s="611"/>
      <c r="AH121" s="567"/>
    </row>
    <row r="122" spans="1:34" ht="22.5" customHeight="1">
      <c r="A122" s="577"/>
      <c r="B122" s="588"/>
      <c r="C122" s="614" t="s">
        <v>627</v>
      </c>
      <c r="D122" s="526" t="s">
        <v>441</v>
      </c>
      <c r="E122" s="590" t="s">
        <v>613</v>
      </c>
      <c r="F122" s="528" t="s">
        <v>401</v>
      </c>
      <c r="G122" s="591" t="s">
        <v>449</v>
      </c>
      <c r="H122" s="592"/>
      <c r="I122" s="548"/>
      <c r="J122" s="627"/>
      <c r="K122" s="611"/>
      <c r="L122" s="610"/>
      <c r="M122" s="611"/>
      <c r="N122" s="610"/>
      <c r="O122" s="611"/>
      <c r="P122" s="610"/>
      <c r="Q122" s="611"/>
      <c r="R122" s="610"/>
      <c r="S122" s="611"/>
      <c r="T122" s="610"/>
      <c r="U122" s="611"/>
      <c r="V122" s="627"/>
      <c r="W122" s="611"/>
      <c r="X122" s="610"/>
      <c r="Y122" s="611"/>
      <c r="Z122" s="610"/>
      <c r="AA122" s="611"/>
      <c r="AB122" s="610"/>
      <c r="AC122" s="611"/>
      <c r="AD122" s="610"/>
      <c r="AE122" s="611"/>
      <c r="AF122" s="610"/>
      <c r="AG122" s="611"/>
      <c r="AH122" s="567"/>
    </row>
    <row r="123" spans="1:34" ht="23.25" customHeight="1">
      <c r="A123" s="518"/>
      <c r="B123" s="532"/>
      <c r="C123" s="533" t="s">
        <v>628</v>
      </c>
      <c r="D123" s="534" t="s">
        <v>441</v>
      </c>
      <c r="E123" s="590" t="s">
        <v>613</v>
      </c>
      <c r="F123" s="528" t="s">
        <v>401</v>
      </c>
      <c r="G123" s="526" t="s">
        <v>74</v>
      </c>
      <c r="H123" s="547"/>
      <c r="I123" s="548"/>
      <c r="J123" s="504"/>
      <c r="K123" s="505"/>
      <c r="L123" s="506"/>
      <c r="M123" s="505"/>
      <c r="N123" s="506"/>
      <c r="O123" s="505"/>
      <c r="P123" s="506"/>
      <c r="Q123" s="505"/>
      <c r="R123" s="506"/>
      <c r="S123" s="505"/>
      <c r="T123" s="506"/>
      <c r="U123" s="505"/>
      <c r="V123" s="507"/>
      <c r="W123" s="505"/>
      <c r="X123" s="506"/>
      <c r="Y123" s="505"/>
      <c r="Z123" s="506"/>
      <c r="AA123" s="505"/>
      <c r="AB123" s="506"/>
      <c r="AC123" s="505"/>
      <c r="AD123" s="506"/>
      <c r="AE123" s="505"/>
      <c r="AF123" s="506"/>
      <c r="AG123" s="505"/>
      <c r="AH123" s="537"/>
    </row>
    <row r="124" spans="1:34" ht="22.5" customHeight="1">
      <c r="A124" s="577"/>
      <c r="B124" s="588"/>
      <c r="C124" s="618" t="s">
        <v>629</v>
      </c>
      <c r="D124" s="534" t="s">
        <v>441</v>
      </c>
      <c r="E124" s="569" t="s">
        <v>615</v>
      </c>
      <c r="F124" s="528" t="s">
        <v>401</v>
      </c>
      <c r="G124" s="625" t="s">
        <v>449</v>
      </c>
      <c r="H124" s="570"/>
      <c r="I124" s="555"/>
      <c r="J124" s="615"/>
      <c r="K124" s="604"/>
      <c r="L124" s="605"/>
      <c r="M124" s="604"/>
      <c r="N124" s="605"/>
      <c r="O124" s="604"/>
      <c r="P124" s="605"/>
      <c r="Q124" s="604"/>
      <c r="R124" s="605"/>
      <c r="S124" s="604"/>
      <c r="T124" s="605"/>
      <c r="U124" s="604"/>
      <c r="V124" s="615"/>
      <c r="W124" s="604"/>
      <c r="X124" s="605"/>
      <c r="Y124" s="604"/>
      <c r="Z124" s="605"/>
      <c r="AA124" s="604"/>
      <c r="AB124" s="605"/>
      <c r="AC124" s="604"/>
      <c r="AD124" s="605"/>
      <c r="AE124" s="604"/>
      <c r="AF124" s="605"/>
      <c r="AG124" s="604"/>
      <c r="AH124" s="537"/>
    </row>
    <row r="125" spans="1:34" ht="22.5" customHeight="1">
      <c r="A125" s="577"/>
      <c r="B125" s="588"/>
      <c r="C125" s="614" t="s">
        <v>630</v>
      </c>
      <c r="D125" s="526" t="s">
        <v>631</v>
      </c>
      <c r="E125" s="590" t="s">
        <v>632</v>
      </c>
      <c r="F125" s="528" t="s">
        <v>401</v>
      </c>
      <c r="G125" s="591" t="s">
        <v>633</v>
      </c>
      <c r="H125" s="592"/>
      <c r="I125" s="548"/>
      <c r="J125" s="603"/>
      <c r="K125" s="611"/>
      <c r="L125" s="610"/>
      <c r="M125" s="611"/>
      <c r="N125" s="610"/>
      <c r="O125" s="611"/>
      <c r="P125" s="610"/>
      <c r="Q125" s="611"/>
      <c r="R125" s="610"/>
      <c r="S125" s="611"/>
      <c r="T125" s="610"/>
      <c r="U125" s="611"/>
      <c r="V125" s="627"/>
      <c r="W125" s="611"/>
      <c r="X125" s="610"/>
      <c r="Y125" s="611"/>
      <c r="Z125" s="610"/>
      <c r="AA125" s="611"/>
      <c r="AB125" s="610"/>
      <c r="AC125" s="611"/>
      <c r="AD125" s="610"/>
      <c r="AE125" s="611"/>
      <c r="AF125" s="610"/>
      <c r="AG125" s="611"/>
      <c r="AH125" s="567"/>
    </row>
    <row r="126" spans="1:34" ht="22.5" customHeight="1">
      <c r="A126" s="577"/>
      <c r="B126" s="588"/>
      <c r="C126" s="696" t="s">
        <v>634</v>
      </c>
      <c r="D126" s="697" t="s">
        <v>513</v>
      </c>
      <c r="E126" s="698" t="s">
        <v>635</v>
      </c>
      <c r="F126" s="528" t="s">
        <v>401</v>
      </c>
      <c r="G126" s="699" t="s">
        <v>539</v>
      </c>
      <c r="H126" s="700"/>
      <c r="I126" s="572"/>
      <c r="J126" s="701"/>
      <c r="K126" s="702"/>
      <c r="L126" s="703"/>
      <c r="M126" s="702"/>
      <c r="N126" s="703"/>
      <c r="O126" s="702"/>
      <c r="P126" s="703"/>
      <c r="Q126" s="702"/>
      <c r="R126" s="703"/>
      <c r="S126" s="702"/>
      <c r="T126" s="703"/>
      <c r="U126" s="702"/>
      <c r="V126" s="704"/>
      <c r="W126" s="702"/>
      <c r="X126" s="703"/>
      <c r="Y126" s="702"/>
      <c r="Z126" s="703"/>
      <c r="AA126" s="702"/>
      <c r="AB126" s="703"/>
      <c r="AC126" s="702"/>
      <c r="AD126" s="703"/>
      <c r="AE126" s="702"/>
      <c r="AF126" s="703"/>
      <c r="AG126" s="702"/>
      <c r="AH126" s="705"/>
    </row>
    <row r="127" spans="1:34" ht="22.5" customHeight="1">
      <c r="A127" s="577"/>
      <c r="B127" s="706"/>
      <c r="C127" s="618" t="s">
        <v>636</v>
      </c>
      <c r="D127" s="534" t="s">
        <v>608</v>
      </c>
      <c r="E127" s="569" t="s">
        <v>637</v>
      </c>
      <c r="F127" s="528" t="s">
        <v>401</v>
      </c>
      <c r="G127" s="625" t="s">
        <v>539</v>
      </c>
      <c r="H127" s="570"/>
      <c r="I127" s="555"/>
      <c r="J127" s="607"/>
      <c r="K127" s="604"/>
      <c r="L127" s="605"/>
      <c r="M127" s="604"/>
      <c r="N127" s="605"/>
      <c r="O127" s="604"/>
      <c r="P127" s="605"/>
      <c r="Q127" s="604"/>
      <c r="R127" s="605"/>
      <c r="S127" s="604"/>
      <c r="T127" s="605"/>
      <c r="U127" s="604"/>
      <c r="V127" s="615"/>
      <c r="W127" s="604"/>
      <c r="X127" s="605"/>
      <c r="Y127" s="604"/>
      <c r="Z127" s="605"/>
      <c r="AA127" s="604"/>
      <c r="AB127" s="605"/>
      <c r="AC127" s="604"/>
      <c r="AD127" s="605"/>
      <c r="AE127" s="604"/>
      <c r="AF127" s="605"/>
      <c r="AG127" s="604"/>
      <c r="AH127" s="537"/>
    </row>
    <row r="128" spans="1:34" ht="22.5" customHeight="1" thickBot="1">
      <c r="A128" s="577"/>
      <c r="B128" s="707"/>
      <c r="C128" s="708" t="s">
        <v>638</v>
      </c>
      <c r="D128" s="709" t="s">
        <v>631</v>
      </c>
      <c r="E128" s="710" t="s">
        <v>639</v>
      </c>
      <c r="F128" s="711" t="s">
        <v>401</v>
      </c>
      <c r="G128" s="712" t="s">
        <v>449</v>
      </c>
      <c r="H128" s="711"/>
      <c r="I128" s="713"/>
      <c r="J128" s="714"/>
      <c r="K128" s="715"/>
      <c r="L128" s="716"/>
      <c r="M128" s="715"/>
      <c r="N128" s="716"/>
      <c r="O128" s="715"/>
      <c r="P128" s="716"/>
      <c r="Q128" s="715"/>
      <c r="R128" s="716"/>
      <c r="S128" s="715"/>
      <c r="T128" s="716"/>
      <c r="U128" s="715"/>
      <c r="V128" s="717"/>
      <c r="W128" s="715"/>
      <c r="X128" s="716"/>
      <c r="Y128" s="715"/>
      <c r="Z128" s="716"/>
      <c r="AA128" s="715"/>
      <c r="AB128" s="716"/>
      <c r="AC128" s="715"/>
      <c r="AD128" s="716"/>
      <c r="AE128" s="715"/>
      <c r="AF128" s="716"/>
      <c r="AG128" s="715"/>
      <c r="AH128" s="718"/>
    </row>
    <row r="129" spans="1:34" ht="32.65" thickTop="1">
      <c r="A129" s="518"/>
      <c r="B129" s="719" t="s">
        <v>640</v>
      </c>
      <c r="C129" s="589" t="s">
        <v>641</v>
      </c>
      <c r="D129" s="720" t="s">
        <v>642</v>
      </c>
      <c r="E129" s="590" t="s">
        <v>471</v>
      </c>
      <c r="F129" s="565" t="s">
        <v>400</v>
      </c>
      <c r="G129" s="591" t="s">
        <v>643</v>
      </c>
      <c r="H129" s="592" t="s">
        <v>644</v>
      </c>
      <c r="I129" s="642" t="s">
        <v>147</v>
      </c>
      <c r="J129" s="603"/>
      <c r="K129" s="611"/>
      <c r="L129" s="610" t="s">
        <v>454</v>
      </c>
      <c r="M129" s="611"/>
      <c r="N129" s="610"/>
      <c r="O129" s="611"/>
      <c r="P129" s="610"/>
      <c r="Q129" s="611"/>
      <c r="R129" s="610"/>
      <c r="S129" s="611"/>
      <c r="T129" s="610"/>
      <c r="U129" s="611"/>
      <c r="V129" s="627"/>
      <c r="W129" s="611"/>
      <c r="X129" s="610"/>
      <c r="Y129" s="611"/>
      <c r="Z129" s="610"/>
      <c r="AA129" s="611"/>
      <c r="AB129" s="610"/>
      <c r="AC129" s="611"/>
      <c r="AD129" s="610"/>
      <c r="AE129" s="611"/>
      <c r="AF129" s="610"/>
      <c r="AG129" s="611"/>
      <c r="AH129" s="632"/>
    </row>
    <row r="130" spans="1:34" ht="32.25">
      <c r="A130" s="518"/>
      <c r="B130" s="721" t="s">
        <v>645</v>
      </c>
      <c r="C130" s="692" t="s">
        <v>646</v>
      </c>
      <c r="D130" s="722" t="s">
        <v>642</v>
      </c>
      <c r="E130" s="569" t="s">
        <v>405</v>
      </c>
      <c r="F130" s="528" t="s">
        <v>400</v>
      </c>
      <c r="G130" s="625" t="s">
        <v>459</v>
      </c>
      <c r="H130" s="699" t="s">
        <v>647</v>
      </c>
      <c r="I130" s="642" t="s">
        <v>147</v>
      </c>
      <c r="J130" s="607"/>
      <c r="K130" s="604"/>
      <c r="L130" s="605" t="s">
        <v>454</v>
      </c>
      <c r="M130" s="604"/>
      <c r="N130" s="605"/>
      <c r="O130" s="604"/>
      <c r="P130" s="605"/>
      <c r="Q130" s="604"/>
      <c r="R130" s="605"/>
      <c r="S130" s="604"/>
      <c r="T130" s="605"/>
      <c r="U130" s="604"/>
      <c r="V130" s="615"/>
      <c r="W130" s="604"/>
      <c r="X130" s="605"/>
      <c r="Y130" s="604"/>
      <c r="Z130" s="605"/>
      <c r="AA130" s="604"/>
      <c r="AB130" s="605"/>
      <c r="AC130" s="604"/>
      <c r="AD130" s="605"/>
      <c r="AE130" s="604"/>
      <c r="AF130" s="605"/>
      <c r="AG130" s="604"/>
      <c r="AH130" s="606"/>
    </row>
    <row r="131" spans="1:34" ht="32.25">
      <c r="A131" s="518"/>
      <c r="B131" s="532"/>
      <c r="C131" s="533" t="s">
        <v>648</v>
      </c>
      <c r="D131" s="722" t="s">
        <v>649</v>
      </c>
      <c r="E131" s="553" t="s">
        <v>459</v>
      </c>
      <c r="F131" s="565" t="s">
        <v>400</v>
      </c>
      <c r="G131" s="535" t="s">
        <v>643</v>
      </c>
      <c r="H131" s="699" t="s">
        <v>647</v>
      </c>
      <c r="I131" s="642" t="s">
        <v>147</v>
      </c>
      <c r="J131" s="506"/>
      <c r="K131" s="604"/>
      <c r="L131" s="506" t="s">
        <v>454</v>
      </c>
      <c r="M131" s="505"/>
      <c r="N131" s="506"/>
      <c r="O131" s="505"/>
      <c r="P131" s="506"/>
      <c r="Q131" s="505"/>
      <c r="R131" s="506"/>
      <c r="S131" s="505"/>
      <c r="T131" s="506"/>
      <c r="U131" s="505"/>
      <c r="V131" s="507"/>
      <c r="W131" s="505"/>
      <c r="X131" s="506"/>
      <c r="Y131" s="505"/>
      <c r="Z131" s="506"/>
      <c r="AA131" s="505"/>
      <c r="AB131" s="506"/>
      <c r="AC131" s="505"/>
      <c r="AD131" s="506"/>
      <c r="AE131" s="505"/>
      <c r="AF131" s="506"/>
      <c r="AG131" s="505"/>
      <c r="AH131" s="537"/>
    </row>
    <row r="132" spans="1:34" ht="32.25">
      <c r="A132" s="577"/>
      <c r="B132" s="588"/>
      <c r="C132" s="614" t="s">
        <v>650</v>
      </c>
      <c r="D132" s="722" t="s">
        <v>642</v>
      </c>
      <c r="E132" s="590" t="s">
        <v>404</v>
      </c>
      <c r="F132" s="528" t="s">
        <v>400</v>
      </c>
      <c r="G132" s="591" t="s">
        <v>459</v>
      </c>
      <c r="H132" s="699" t="s">
        <v>647</v>
      </c>
      <c r="I132" s="642" t="s">
        <v>147</v>
      </c>
      <c r="J132" s="603"/>
      <c r="K132" s="604"/>
      <c r="L132" s="605" t="s">
        <v>454</v>
      </c>
      <c r="M132" s="604"/>
      <c r="N132" s="605"/>
      <c r="O132" s="604"/>
      <c r="P132" s="605"/>
      <c r="Q132" s="604"/>
      <c r="R132" s="605"/>
      <c r="S132" s="604"/>
      <c r="T132" s="605"/>
      <c r="U132" s="604"/>
      <c r="V132" s="615"/>
      <c r="W132" s="604"/>
      <c r="X132" s="605"/>
      <c r="Y132" s="604"/>
      <c r="Z132" s="605"/>
      <c r="AA132" s="604"/>
      <c r="AB132" s="605"/>
      <c r="AC132" s="604"/>
      <c r="AD132" s="605"/>
      <c r="AE132" s="604"/>
      <c r="AF132" s="605"/>
      <c r="AG132" s="604"/>
      <c r="AH132" s="606"/>
    </row>
    <row r="133" spans="1:34" ht="32.25">
      <c r="A133" s="577"/>
      <c r="B133" s="588"/>
      <c r="C133" s="614" t="s">
        <v>651</v>
      </c>
      <c r="D133" s="722" t="s">
        <v>642</v>
      </c>
      <c r="E133" s="590" t="s">
        <v>404</v>
      </c>
      <c r="F133" s="528" t="s">
        <v>400</v>
      </c>
      <c r="G133" s="591" t="s">
        <v>459</v>
      </c>
      <c r="H133" s="699" t="s">
        <v>647</v>
      </c>
      <c r="I133" s="642" t="s">
        <v>147</v>
      </c>
      <c r="J133" s="603"/>
      <c r="K133" s="723"/>
      <c r="L133" s="605" t="s">
        <v>454</v>
      </c>
      <c r="M133" s="604"/>
      <c r="N133" s="605"/>
      <c r="O133" s="604"/>
      <c r="P133" s="605"/>
      <c r="Q133" s="604"/>
      <c r="R133" s="605"/>
      <c r="S133" s="604"/>
      <c r="T133" s="605"/>
      <c r="U133" s="604"/>
      <c r="V133" s="615"/>
      <c r="W133" s="604"/>
      <c r="X133" s="605"/>
      <c r="Y133" s="604"/>
      <c r="Z133" s="605"/>
      <c r="AA133" s="604"/>
      <c r="AB133" s="605"/>
      <c r="AC133" s="604"/>
      <c r="AD133" s="605"/>
      <c r="AE133" s="604"/>
      <c r="AF133" s="605"/>
      <c r="AG133" s="604"/>
      <c r="AH133" s="606"/>
    </row>
    <row r="134" spans="1:34" ht="32.25">
      <c r="A134" s="577"/>
      <c r="B134" s="588"/>
      <c r="C134" s="724" t="s">
        <v>652</v>
      </c>
      <c r="D134" s="722" t="s">
        <v>642</v>
      </c>
      <c r="E134" s="569" t="s">
        <v>404</v>
      </c>
      <c r="F134" s="528" t="s">
        <v>401</v>
      </c>
      <c r="G134" s="625" t="s">
        <v>459</v>
      </c>
      <c r="H134" s="570"/>
      <c r="I134" s="555"/>
      <c r="J134" s="607"/>
      <c r="K134" s="725"/>
      <c r="L134" s="605"/>
      <c r="M134" s="604"/>
      <c r="N134" s="605"/>
      <c r="O134" s="604"/>
      <c r="P134" s="605"/>
      <c r="Q134" s="604"/>
      <c r="R134" s="605"/>
      <c r="S134" s="604"/>
      <c r="T134" s="605"/>
      <c r="U134" s="604"/>
      <c r="V134" s="615"/>
      <c r="W134" s="604"/>
      <c r="X134" s="605"/>
      <c r="Y134" s="604"/>
      <c r="Z134" s="605"/>
      <c r="AA134" s="604"/>
      <c r="AB134" s="605"/>
      <c r="AC134" s="604"/>
      <c r="AD134" s="605"/>
      <c r="AE134" s="604"/>
      <c r="AF134" s="605"/>
      <c r="AG134" s="604"/>
      <c r="AH134" s="606"/>
    </row>
    <row r="135" spans="1:34" ht="32.25">
      <c r="A135" s="577"/>
      <c r="B135" s="588"/>
      <c r="C135" s="692" t="s">
        <v>653</v>
      </c>
      <c r="D135" s="722" t="s">
        <v>642</v>
      </c>
      <c r="E135" s="569" t="s">
        <v>404</v>
      </c>
      <c r="F135" s="528" t="s">
        <v>401</v>
      </c>
      <c r="G135" s="591" t="s">
        <v>459</v>
      </c>
      <c r="H135" s="570"/>
      <c r="I135" s="555"/>
      <c r="J135" s="607"/>
      <c r="K135" s="604"/>
      <c r="L135" s="605"/>
      <c r="M135" s="604"/>
      <c r="N135" s="605"/>
      <c r="O135" s="604"/>
      <c r="P135" s="605"/>
      <c r="Q135" s="604"/>
      <c r="R135" s="605"/>
      <c r="S135" s="604"/>
      <c r="T135" s="605"/>
      <c r="U135" s="604"/>
      <c r="V135" s="615"/>
      <c r="W135" s="604"/>
      <c r="X135" s="605"/>
      <c r="Y135" s="604"/>
      <c r="Z135" s="605"/>
      <c r="AA135" s="604"/>
      <c r="AB135" s="605"/>
      <c r="AC135" s="604"/>
      <c r="AD135" s="605"/>
      <c r="AE135" s="604"/>
      <c r="AF135" s="605"/>
      <c r="AG135" s="604"/>
      <c r="AH135" s="726"/>
    </row>
    <row r="136" spans="1:34" ht="32.25">
      <c r="A136" s="577"/>
      <c r="B136" s="588"/>
      <c r="C136" s="692" t="s">
        <v>654</v>
      </c>
      <c r="D136" s="722" t="s">
        <v>642</v>
      </c>
      <c r="E136" s="553" t="s">
        <v>404</v>
      </c>
      <c r="F136" s="528" t="s">
        <v>401</v>
      </c>
      <c r="G136" s="625" t="s">
        <v>459</v>
      </c>
      <c r="H136" s="570"/>
      <c r="I136" s="555"/>
      <c r="J136" s="607"/>
      <c r="K136" s="604"/>
      <c r="L136" s="605"/>
      <c r="M136" s="604"/>
      <c r="N136" s="605"/>
      <c r="O136" s="604"/>
      <c r="P136" s="605"/>
      <c r="Q136" s="604"/>
      <c r="R136" s="605"/>
      <c r="S136" s="604"/>
      <c r="T136" s="605"/>
      <c r="U136" s="604"/>
      <c r="V136" s="615"/>
      <c r="W136" s="604"/>
      <c r="X136" s="605"/>
      <c r="Y136" s="604"/>
      <c r="Z136" s="605"/>
      <c r="AA136" s="604"/>
      <c r="AB136" s="605"/>
      <c r="AC136" s="604"/>
      <c r="AD136" s="605"/>
      <c r="AE136" s="604"/>
      <c r="AF136" s="605"/>
      <c r="AG136" s="604"/>
      <c r="AH136" s="726"/>
    </row>
    <row r="137" spans="1:34" ht="32.25">
      <c r="A137" s="577"/>
      <c r="B137" s="588"/>
      <c r="C137" s="692" t="s">
        <v>655</v>
      </c>
      <c r="D137" s="722" t="s">
        <v>642</v>
      </c>
      <c r="E137" s="727" t="s">
        <v>656</v>
      </c>
      <c r="F137" s="528" t="s">
        <v>401</v>
      </c>
      <c r="G137" s="591" t="s">
        <v>459</v>
      </c>
      <c r="H137" s="570"/>
      <c r="I137" s="555"/>
      <c r="J137" s="607"/>
      <c r="K137" s="604"/>
      <c r="L137" s="605"/>
      <c r="M137" s="604"/>
      <c r="N137" s="605"/>
      <c r="O137" s="604"/>
      <c r="P137" s="605"/>
      <c r="Q137" s="604"/>
      <c r="R137" s="605"/>
      <c r="S137" s="604"/>
      <c r="T137" s="605"/>
      <c r="U137" s="604"/>
      <c r="V137" s="615"/>
      <c r="W137" s="604"/>
      <c r="X137" s="605"/>
      <c r="Y137" s="604"/>
      <c r="Z137" s="605"/>
      <c r="AA137" s="604"/>
      <c r="AB137" s="605"/>
      <c r="AC137" s="604"/>
      <c r="AD137" s="605"/>
      <c r="AE137" s="604"/>
      <c r="AF137" s="605"/>
      <c r="AG137" s="604"/>
      <c r="AH137" s="726"/>
    </row>
    <row r="138" spans="1:34" ht="32.25">
      <c r="A138" s="518"/>
      <c r="B138" s="532"/>
      <c r="C138" s="533" t="s">
        <v>657</v>
      </c>
      <c r="D138" s="722" t="s">
        <v>642</v>
      </c>
      <c r="E138" s="535" t="s">
        <v>547</v>
      </c>
      <c r="F138" s="565" t="s">
        <v>400</v>
      </c>
      <c r="G138" s="591" t="s">
        <v>459</v>
      </c>
      <c r="H138" s="699" t="s">
        <v>647</v>
      </c>
      <c r="I138" s="728" t="s">
        <v>658</v>
      </c>
      <c r="J138" s="627"/>
      <c r="K138" s="611"/>
      <c r="L138" s="610" t="s">
        <v>454</v>
      </c>
      <c r="M138" s="611"/>
      <c r="N138" s="610"/>
      <c r="O138" s="611"/>
      <c r="P138" s="610"/>
      <c r="Q138" s="611"/>
      <c r="R138" s="610"/>
      <c r="S138" s="611"/>
      <c r="T138" s="610"/>
      <c r="U138" s="611"/>
      <c r="V138" s="627"/>
      <c r="W138" s="611"/>
      <c r="X138" s="605"/>
      <c r="Y138" s="611"/>
      <c r="Z138" s="610"/>
      <c r="AA138" s="611"/>
      <c r="AB138" s="610"/>
      <c r="AC138" s="611"/>
      <c r="AD138" s="610"/>
      <c r="AE138" s="611"/>
      <c r="AF138" s="610"/>
      <c r="AG138" s="611"/>
      <c r="AH138" s="593"/>
    </row>
    <row r="139" spans="1:34" ht="32.25">
      <c r="A139" s="518"/>
      <c r="B139" s="532"/>
      <c r="C139" s="533" t="s">
        <v>659</v>
      </c>
      <c r="D139" s="722" t="s">
        <v>642</v>
      </c>
      <c r="E139" s="535" t="s">
        <v>547</v>
      </c>
      <c r="F139" s="528" t="s">
        <v>400</v>
      </c>
      <c r="G139" s="625" t="s">
        <v>459</v>
      </c>
      <c r="H139" s="625" t="s">
        <v>647</v>
      </c>
      <c r="I139" s="729" t="s">
        <v>658</v>
      </c>
      <c r="J139" s="627"/>
      <c r="K139" s="604"/>
      <c r="L139" s="610" t="s">
        <v>454</v>
      </c>
      <c r="M139" s="604"/>
      <c r="N139" s="610"/>
      <c r="O139" s="604"/>
      <c r="P139" s="610"/>
      <c r="Q139" s="604"/>
      <c r="R139" s="610"/>
      <c r="S139" s="604"/>
      <c r="T139" s="610"/>
      <c r="U139" s="604"/>
      <c r="V139" s="627"/>
      <c r="W139" s="604"/>
      <c r="X139" s="610"/>
      <c r="Y139" s="604"/>
      <c r="Z139" s="610"/>
      <c r="AA139" s="604"/>
      <c r="AB139" s="610"/>
      <c r="AC139" s="604"/>
      <c r="AD139" s="610"/>
      <c r="AE139" s="604"/>
      <c r="AF139" s="610"/>
      <c r="AG139" s="604"/>
      <c r="AH139" s="593"/>
    </row>
    <row r="140" spans="1:34" ht="32.25">
      <c r="A140" s="518"/>
      <c r="B140" s="532"/>
      <c r="C140" s="533" t="s">
        <v>660</v>
      </c>
      <c r="D140" s="722" t="s">
        <v>642</v>
      </c>
      <c r="E140" s="535" t="s">
        <v>547</v>
      </c>
      <c r="F140" s="528" t="s">
        <v>400</v>
      </c>
      <c r="G140" s="625" t="s">
        <v>459</v>
      </c>
      <c r="H140" s="625" t="s">
        <v>647</v>
      </c>
      <c r="I140" s="729" t="s">
        <v>658</v>
      </c>
      <c r="J140" s="507"/>
      <c r="K140" s="546"/>
      <c r="L140" s="506" t="s">
        <v>454</v>
      </c>
      <c r="M140" s="546"/>
      <c r="N140" s="610"/>
      <c r="O140" s="546"/>
      <c r="P140" s="506"/>
      <c r="Q140" s="546"/>
      <c r="R140" s="506"/>
      <c r="S140" s="546"/>
      <c r="T140" s="506"/>
      <c r="U140" s="546"/>
      <c r="V140" s="507"/>
      <c r="W140" s="546"/>
      <c r="X140" s="506"/>
      <c r="Y140" s="546"/>
      <c r="Z140" s="506"/>
      <c r="AA140" s="546"/>
      <c r="AB140" s="506"/>
      <c r="AC140" s="546"/>
      <c r="AD140" s="506"/>
      <c r="AE140" s="546"/>
      <c r="AF140" s="506"/>
      <c r="AG140" s="546"/>
      <c r="AH140" s="631"/>
    </row>
    <row r="141" spans="1:34" ht="32.25">
      <c r="A141" s="577"/>
      <c r="B141" s="588"/>
      <c r="C141" s="618" t="s">
        <v>661</v>
      </c>
      <c r="D141" s="722" t="s">
        <v>642</v>
      </c>
      <c r="E141" s="569" t="s">
        <v>406</v>
      </c>
      <c r="F141" s="528" t="s">
        <v>401</v>
      </c>
      <c r="G141" s="625" t="s">
        <v>459</v>
      </c>
      <c r="H141" s="570"/>
      <c r="I141" s="555"/>
      <c r="J141" s="605"/>
      <c r="K141" s="604"/>
      <c r="L141" s="605"/>
      <c r="M141" s="604"/>
      <c r="N141" s="605"/>
      <c r="O141" s="604"/>
      <c r="P141" s="605"/>
      <c r="Q141" s="604"/>
      <c r="R141" s="605"/>
      <c r="S141" s="604"/>
      <c r="T141" s="605"/>
      <c r="U141" s="604"/>
      <c r="V141" s="615"/>
      <c r="W141" s="604"/>
      <c r="X141" s="605"/>
      <c r="Y141" s="604"/>
      <c r="Z141" s="605"/>
      <c r="AA141" s="604"/>
      <c r="AB141" s="605"/>
      <c r="AC141" s="604"/>
      <c r="AD141" s="605"/>
      <c r="AE141" s="604"/>
      <c r="AF141" s="605"/>
      <c r="AG141" s="604"/>
      <c r="AH141" s="606"/>
    </row>
    <row r="142" spans="1:34" ht="32.25">
      <c r="A142" s="518"/>
      <c r="B142" s="721"/>
      <c r="C142" s="533" t="s">
        <v>662</v>
      </c>
      <c r="D142" s="720" t="s">
        <v>663</v>
      </c>
      <c r="E142" s="535" t="s">
        <v>643</v>
      </c>
      <c r="F142" s="565" t="s">
        <v>401</v>
      </c>
      <c r="G142" s="535" t="s">
        <v>643</v>
      </c>
      <c r="H142" s="547"/>
      <c r="I142" s="548"/>
      <c r="J142" s="504"/>
      <c r="K142" s="505"/>
      <c r="L142" s="506"/>
      <c r="M142" s="505"/>
      <c r="N142" s="506"/>
      <c r="O142" s="505"/>
      <c r="P142" s="506"/>
      <c r="Q142" s="505"/>
      <c r="R142" s="506"/>
      <c r="S142" s="505"/>
      <c r="T142" s="506"/>
      <c r="U142" s="505"/>
      <c r="V142" s="507"/>
      <c r="W142" s="505"/>
      <c r="X142" s="506"/>
      <c r="Y142" s="505"/>
      <c r="Z142" s="506"/>
      <c r="AA142" s="505"/>
      <c r="AB142" s="506"/>
      <c r="AC142" s="505"/>
      <c r="AD142" s="506"/>
      <c r="AE142" s="505"/>
      <c r="AF142" s="506"/>
      <c r="AG142" s="505"/>
      <c r="AH142" s="567"/>
    </row>
    <row r="143" spans="1:34" ht="48.4">
      <c r="A143" s="518"/>
      <c r="B143" s="721"/>
      <c r="C143" s="533" t="s">
        <v>664</v>
      </c>
      <c r="D143" s="722" t="s">
        <v>665</v>
      </c>
      <c r="E143" s="535" t="s">
        <v>666</v>
      </c>
      <c r="F143" s="528" t="s">
        <v>401</v>
      </c>
      <c r="G143" s="535" t="s">
        <v>643</v>
      </c>
      <c r="H143" s="730"/>
      <c r="I143" s="548"/>
      <c r="J143" s="504"/>
      <c r="K143" s="505"/>
      <c r="L143" s="506"/>
      <c r="M143" s="505"/>
      <c r="N143" s="506"/>
      <c r="O143" s="505"/>
      <c r="P143" s="506"/>
      <c r="Q143" s="505"/>
      <c r="R143" s="506"/>
      <c r="S143" s="505"/>
      <c r="T143" s="506"/>
      <c r="U143" s="505"/>
      <c r="V143" s="507"/>
      <c r="W143" s="505"/>
      <c r="X143" s="506"/>
      <c r="Y143" s="505"/>
      <c r="Z143" s="506"/>
      <c r="AA143" s="505"/>
      <c r="AB143" s="506"/>
      <c r="AC143" s="505"/>
      <c r="AD143" s="506"/>
      <c r="AE143" s="505"/>
      <c r="AF143" s="506"/>
      <c r="AG143" s="505"/>
      <c r="AH143" s="537"/>
    </row>
    <row r="144" spans="1:34" ht="32.25">
      <c r="A144" s="518"/>
      <c r="B144" s="532"/>
      <c r="C144" s="533" t="s">
        <v>667</v>
      </c>
      <c r="D144" s="722" t="s">
        <v>649</v>
      </c>
      <c r="E144" s="535" t="s">
        <v>666</v>
      </c>
      <c r="F144" s="528" t="s">
        <v>668</v>
      </c>
      <c r="G144" s="535" t="s">
        <v>643</v>
      </c>
      <c r="H144" s="731"/>
      <c r="I144" s="548"/>
      <c r="J144" s="504"/>
      <c r="K144" s="505"/>
      <c r="L144" s="506"/>
      <c r="M144" s="505"/>
      <c r="N144" s="506"/>
      <c r="O144" s="505"/>
      <c r="P144" s="506"/>
      <c r="Q144" s="505"/>
      <c r="R144" s="506"/>
      <c r="S144" s="505"/>
      <c r="T144" s="506"/>
      <c r="U144" s="505"/>
      <c r="V144" s="507"/>
      <c r="W144" s="505"/>
      <c r="X144" s="506"/>
      <c r="Y144" s="505"/>
      <c r="Z144" s="506"/>
      <c r="AA144" s="505"/>
      <c r="AB144" s="506"/>
      <c r="AC144" s="505"/>
      <c r="AD144" s="506"/>
      <c r="AE144" s="505"/>
      <c r="AF144" s="506"/>
      <c r="AG144" s="505"/>
      <c r="AH144" s="537"/>
    </row>
    <row r="145" spans="1:34" ht="32.25">
      <c r="A145" s="577"/>
      <c r="B145" s="588"/>
      <c r="C145" s="614" t="s">
        <v>669</v>
      </c>
      <c r="D145" s="720" t="s">
        <v>642</v>
      </c>
      <c r="E145" s="590" t="s">
        <v>670</v>
      </c>
      <c r="F145" s="565" t="s">
        <v>401</v>
      </c>
      <c r="G145" s="591" t="s">
        <v>459</v>
      </c>
      <c r="H145" s="570"/>
      <c r="I145" s="732"/>
      <c r="J145" s="610"/>
      <c r="K145" s="611"/>
      <c r="L145" s="610"/>
      <c r="M145" s="611"/>
      <c r="N145" s="610"/>
      <c r="O145" s="611"/>
      <c r="P145" s="610"/>
      <c r="Q145" s="611"/>
      <c r="R145" s="610"/>
      <c r="S145" s="611"/>
      <c r="T145" s="610"/>
      <c r="U145" s="611"/>
      <c r="V145" s="627"/>
      <c r="W145" s="611"/>
      <c r="X145" s="610"/>
      <c r="Y145" s="611"/>
      <c r="Z145" s="610"/>
      <c r="AA145" s="611"/>
      <c r="AB145" s="610"/>
      <c r="AC145" s="611"/>
      <c r="AD145" s="610"/>
      <c r="AE145" s="611"/>
      <c r="AF145" s="610"/>
      <c r="AG145" s="611"/>
      <c r="AH145" s="733"/>
    </row>
    <row r="146" spans="1:34" ht="32.65" thickBot="1">
      <c r="A146" s="577"/>
      <c r="B146" s="734"/>
      <c r="C146" s="735" t="s">
        <v>671</v>
      </c>
      <c r="D146" s="736" t="s">
        <v>642</v>
      </c>
      <c r="E146" s="737" t="s">
        <v>670</v>
      </c>
      <c r="F146" s="738" t="s">
        <v>400</v>
      </c>
      <c r="G146" s="712" t="s">
        <v>459</v>
      </c>
      <c r="H146" s="712" t="s">
        <v>647</v>
      </c>
      <c r="I146" s="739" t="s">
        <v>147</v>
      </c>
      <c r="J146" s="740"/>
      <c r="K146" s="741"/>
      <c r="L146" s="742" t="s">
        <v>454</v>
      </c>
      <c r="M146" s="741"/>
      <c r="N146" s="742"/>
      <c r="O146" s="741"/>
      <c r="P146" s="742"/>
      <c r="Q146" s="741"/>
      <c r="R146" s="742"/>
      <c r="S146" s="741"/>
      <c r="T146" s="742"/>
      <c r="U146" s="741"/>
      <c r="V146" s="743"/>
      <c r="W146" s="741"/>
      <c r="X146" s="742"/>
      <c r="Y146" s="741"/>
      <c r="Z146" s="742"/>
      <c r="AA146" s="741"/>
      <c r="AB146" s="742"/>
      <c r="AC146" s="741"/>
      <c r="AD146" s="742"/>
      <c r="AE146" s="741"/>
      <c r="AF146" s="742"/>
      <c r="AG146" s="741"/>
      <c r="AH146" s="744"/>
    </row>
    <row r="147" spans="1:34" ht="23.25" customHeight="1" thickTop="1">
      <c r="A147" s="518"/>
      <c r="B147" s="745"/>
      <c r="C147" s="746"/>
      <c r="D147" s="547"/>
      <c r="E147" s="587"/>
      <c r="F147" s="565"/>
      <c r="G147" s="547"/>
      <c r="H147" s="547"/>
      <c r="I147" s="548"/>
      <c r="J147" s="504"/>
      <c r="K147" s="505"/>
      <c r="L147" s="506"/>
      <c r="M147" s="505"/>
      <c r="N147" s="506"/>
      <c r="O147" s="505"/>
      <c r="P147" s="506"/>
      <c r="Q147" s="505"/>
      <c r="R147" s="506"/>
      <c r="S147" s="505"/>
      <c r="T147" s="506"/>
      <c r="U147" s="505"/>
      <c r="V147" s="507"/>
      <c r="W147" s="505"/>
      <c r="X147" s="506"/>
      <c r="Y147" s="505"/>
      <c r="Z147" s="506"/>
      <c r="AA147" s="505"/>
      <c r="AB147" s="506"/>
      <c r="AC147" s="505"/>
      <c r="AD147" s="506"/>
      <c r="AE147" s="505"/>
      <c r="AF147" s="506"/>
      <c r="AG147" s="505"/>
      <c r="AH147" s="567"/>
    </row>
    <row r="148" spans="1:34" ht="23.25" customHeight="1">
      <c r="A148" s="518"/>
      <c r="B148" s="747"/>
      <c r="C148" s="746"/>
      <c r="D148" s="554"/>
      <c r="E148" s="587"/>
      <c r="F148" s="528"/>
      <c r="G148" s="554"/>
      <c r="H148" s="554"/>
      <c r="I148" s="548"/>
      <c r="J148" s="504"/>
      <c r="K148" s="505"/>
      <c r="L148" s="506"/>
      <c r="M148" s="505"/>
      <c r="N148" s="506"/>
      <c r="O148" s="505"/>
      <c r="P148" s="506"/>
      <c r="Q148" s="505"/>
      <c r="R148" s="506"/>
      <c r="S148" s="505"/>
      <c r="T148" s="506"/>
      <c r="U148" s="505"/>
      <c r="V148" s="507"/>
      <c r="W148" s="505"/>
      <c r="X148" s="506"/>
      <c r="Y148" s="505"/>
      <c r="Z148" s="506"/>
      <c r="AA148" s="505"/>
      <c r="AB148" s="506"/>
      <c r="AC148" s="505"/>
      <c r="AD148" s="506"/>
      <c r="AE148" s="505"/>
      <c r="AF148" s="506"/>
      <c r="AG148" s="505"/>
      <c r="AH148" s="537"/>
    </row>
    <row r="149" spans="1:34" ht="25.5" customHeight="1">
      <c r="A149" s="538"/>
      <c r="B149" s="748"/>
      <c r="C149" s="749"/>
      <c r="D149" s="554"/>
      <c r="E149" s="750"/>
      <c r="F149" s="528"/>
      <c r="G149" s="565"/>
      <c r="H149" s="565"/>
      <c r="I149" s="751"/>
      <c r="J149" s="543"/>
      <c r="K149" s="544"/>
      <c r="L149" s="545"/>
      <c r="M149" s="544"/>
      <c r="N149" s="545"/>
      <c r="O149" s="544"/>
      <c r="P149" s="545"/>
      <c r="Q149" s="544"/>
      <c r="R149" s="545"/>
      <c r="S149" s="544"/>
      <c r="T149" s="506"/>
      <c r="U149" s="505"/>
      <c r="V149" s="507"/>
      <c r="W149" s="544"/>
      <c r="X149" s="545"/>
      <c r="Y149" s="544"/>
      <c r="Z149" s="545"/>
      <c r="AA149" s="544"/>
      <c r="AB149" s="545"/>
      <c r="AC149" s="544"/>
      <c r="AD149" s="545"/>
      <c r="AE149" s="544"/>
      <c r="AF149" s="545"/>
      <c r="AG149" s="544"/>
      <c r="AH149" s="537"/>
    </row>
    <row r="150" spans="1:34" ht="23.25" customHeight="1">
      <c r="A150" s="518"/>
      <c r="B150" s="747"/>
      <c r="C150" s="571"/>
      <c r="D150" s="554"/>
      <c r="E150" s="587"/>
      <c r="F150" s="528"/>
      <c r="G150" s="547"/>
      <c r="H150" s="547"/>
      <c r="I150" s="548"/>
      <c r="J150" s="506"/>
      <c r="K150" s="546"/>
      <c r="L150" s="506"/>
      <c r="M150" s="546"/>
      <c r="N150" s="506"/>
      <c r="O150" s="546"/>
      <c r="P150" s="506"/>
      <c r="Q150" s="546"/>
      <c r="R150" s="506"/>
      <c r="S150" s="549"/>
      <c r="T150" s="506"/>
      <c r="U150" s="546"/>
      <c r="V150" s="550"/>
      <c r="W150" s="546"/>
      <c r="X150" s="551"/>
      <c r="Y150" s="546"/>
      <c r="Z150" s="551"/>
      <c r="AA150" s="546"/>
      <c r="AB150" s="551"/>
      <c r="AC150" s="546"/>
      <c r="AD150" s="506"/>
      <c r="AE150" s="546"/>
      <c r="AF150" s="506"/>
      <c r="AG150" s="546"/>
      <c r="AH150" s="537"/>
    </row>
    <row r="151" spans="1:34" ht="23.25" customHeight="1">
      <c r="A151" s="518"/>
      <c r="B151" s="747"/>
      <c r="C151" s="752"/>
      <c r="D151" s="554"/>
      <c r="E151" s="587"/>
      <c r="F151" s="528"/>
      <c r="G151" s="753"/>
      <c r="H151" s="554"/>
      <c r="I151" s="555"/>
      <c r="J151" s="551"/>
      <c r="K151" s="546"/>
      <c r="L151" s="551"/>
      <c r="M151" s="546"/>
      <c r="N151" s="551"/>
      <c r="O151" s="546"/>
      <c r="P151" s="551"/>
      <c r="Q151" s="546"/>
      <c r="R151" s="551"/>
      <c r="S151" s="549"/>
      <c r="T151" s="551"/>
      <c r="U151" s="546"/>
      <c r="V151" s="550"/>
      <c r="W151" s="546"/>
      <c r="X151" s="551"/>
      <c r="Y151" s="546"/>
      <c r="Z151" s="551"/>
      <c r="AA151" s="546"/>
      <c r="AB151" s="551"/>
      <c r="AC151" s="546"/>
      <c r="AD151" s="551"/>
      <c r="AE151" s="546"/>
      <c r="AF151" s="551"/>
      <c r="AG151" s="546"/>
      <c r="AH151" s="537"/>
    </row>
    <row r="152" spans="1:34" ht="23.25" customHeight="1">
      <c r="A152" s="518"/>
      <c r="B152" s="747"/>
      <c r="C152" s="752"/>
      <c r="D152" s="554"/>
      <c r="E152" s="750"/>
      <c r="F152" s="528"/>
      <c r="G152" s="753"/>
      <c r="H152" s="554"/>
      <c r="I152" s="555"/>
      <c r="J152" s="551"/>
      <c r="K152" s="546"/>
      <c r="L152" s="551"/>
      <c r="M152" s="546"/>
      <c r="N152" s="551"/>
      <c r="O152" s="546"/>
      <c r="P152" s="551"/>
      <c r="Q152" s="546"/>
      <c r="R152" s="551"/>
      <c r="S152" s="549"/>
      <c r="T152" s="551"/>
      <c r="U152" s="546"/>
      <c r="V152" s="550"/>
      <c r="W152" s="546"/>
      <c r="X152" s="551"/>
      <c r="Y152" s="546"/>
      <c r="Z152" s="551"/>
      <c r="AA152" s="546"/>
      <c r="AB152" s="551"/>
      <c r="AC152" s="546"/>
      <c r="AD152" s="551"/>
      <c r="AE152" s="546"/>
      <c r="AF152" s="551"/>
      <c r="AG152" s="546"/>
      <c r="AH152" s="537"/>
    </row>
    <row r="153" spans="1:34" ht="22.9" customHeight="1" thickBot="1">
      <c r="A153" s="518"/>
      <c r="B153" s="754"/>
      <c r="C153" s="755"/>
      <c r="D153" s="562"/>
      <c r="E153" s="756"/>
      <c r="F153" s="561"/>
      <c r="G153" s="757"/>
      <c r="H153" s="562"/>
      <c r="I153" s="515"/>
      <c r="J153" s="513"/>
      <c r="K153" s="512"/>
      <c r="L153" s="513"/>
      <c r="M153" s="512"/>
      <c r="N153" s="513"/>
      <c r="O153" s="512"/>
      <c r="P153" s="513"/>
      <c r="Q153" s="512"/>
      <c r="R153" s="513"/>
      <c r="S153" s="563"/>
      <c r="T153" s="513"/>
      <c r="U153" s="512"/>
      <c r="V153" s="514"/>
      <c r="W153" s="512"/>
      <c r="X153" s="513"/>
      <c r="Y153" s="512"/>
      <c r="Z153" s="513"/>
      <c r="AA153" s="512"/>
      <c r="AB153" s="513"/>
      <c r="AC153" s="512"/>
      <c r="AD153" s="513"/>
      <c r="AE153" s="512"/>
      <c r="AF153" s="513"/>
      <c r="AG153" s="512"/>
      <c r="AH153" s="564"/>
    </row>
    <row r="154" spans="1:34" ht="22.9">
      <c r="A154" s="444"/>
      <c r="B154" s="445"/>
      <c r="C154" s="448"/>
      <c r="D154" s="448"/>
      <c r="E154" s="448"/>
      <c r="F154" s="448"/>
      <c r="G154" s="448"/>
      <c r="H154" s="448"/>
      <c r="I154" s="448"/>
      <c r="J154" s="448"/>
      <c r="K154" s="448"/>
      <c r="L154" s="448"/>
      <c r="M154" s="448"/>
      <c r="N154" s="448"/>
      <c r="O154" s="448"/>
      <c r="P154" s="448"/>
      <c r="Q154" s="448"/>
      <c r="R154" s="448"/>
      <c r="S154" s="448"/>
      <c r="T154" s="448"/>
      <c r="U154" s="448"/>
      <c r="V154" s="448"/>
      <c r="W154" s="448"/>
      <c r="X154" s="448"/>
      <c r="Y154" s="448"/>
      <c r="Z154" s="448"/>
      <c r="AA154" s="448"/>
      <c r="AB154" s="448"/>
      <c r="AC154" s="448"/>
      <c r="AD154" s="448"/>
      <c r="AE154" s="448"/>
      <c r="AF154" s="448"/>
      <c r="AG154" s="448"/>
      <c r="AH154" s="448"/>
    </row>
    <row r="155" spans="1:34" ht="19.149999999999999" thickBot="1">
      <c r="A155" s="444"/>
      <c r="B155" s="489" t="s">
        <v>672</v>
      </c>
      <c r="C155" s="448"/>
      <c r="D155" s="448"/>
      <c r="E155" s="448"/>
      <c r="F155" s="448"/>
      <c r="G155" s="758"/>
      <c r="H155" s="448"/>
      <c r="I155" s="517" t="s">
        <v>433</v>
      </c>
      <c r="J155" s="448"/>
      <c r="K155" s="448"/>
      <c r="L155" s="448"/>
      <c r="M155" s="448"/>
      <c r="N155" s="448"/>
      <c r="O155" s="448"/>
      <c r="P155" s="448"/>
      <c r="Q155" s="448"/>
      <c r="R155" s="448"/>
      <c r="S155" s="448"/>
      <c r="T155" s="448"/>
      <c r="U155" s="448"/>
      <c r="V155" s="448"/>
      <c r="W155" s="448"/>
      <c r="X155" s="448"/>
      <c r="Y155" s="448"/>
      <c r="Z155" s="448"/>
      <c r="AA155" s="448"/>
      <c r="AB155" s="448"/>
      <c r="AC155" s="448"/>
      <c r="AD155" s="448"/>
      <c r="AE155" s="448"/>
      <c r="AF155" s="448"/>
      <c r="AG155" s="448"/>
      <c r="AH155" s="448"/>
    </row>
    <row r="156" spans="1:34" ht="16.149999999999999">
      <c r="A156" s="518"/>
      <c r="B156" s="1303" t="s">
        <v>424</v>
      </c>
      <c r="C156" s="1306" t="s">
        <v>425</v>
      </c>
      <c r="D156" s="1309" t="s">
        <v>434</v>
      </c>
      <c r="E156" s="519"/>
      <c r="F156" s="519"/>
      <c r="G156" s="520"/>
      <c r="H156" s="521"/>
      <c r="I156" s="1355" t="s">
        <v>435</v>
      </c>
      <c r="J156" s="1295" t="s">
        <v>428</v>
      </c>
      <c r="K156" s="1324"/>
      <c r="L156" s="1325" t="s">
        <v>88</v>
      </c>
      <c r="M156" s="1324"/>
      <c r="N156" s="1325" t="s">
        <v>89</v>
      </c>
      <c r="O156" s="1324"/>
      <c r="P156" s="1325" t="s">
        <v>90</v>
      </c>
      <c r="Q156" s="1324"/>
      <c r="R156" s="1325" t="s">
        <v>91</v>
      </c>
      <c r="S156" s="1324"/>
      <c r="T156" s="1325" t="s">
        <v>92</v>
      </c>
      <c r="U156" s="1324"/>
      <c r="V156" s="1326" t="s">
        <v>93</v>
      </c>
      <c r="W156" s="1324"/>
      <c r="X156" s="1325" t="s">
        <v>94</v>
      </c>
      <c r="Y156" s="1324"/>
      <c r="Z156" s="1325" t="s">
        <v>95</v>
      </c>
      <c r="AA156" s="1324"/>
      <c r="AB156" s="1325" t="s">
        <v>429</v>
      </c>
      <c r="AC156" s="1324"/>
      <c r="AD156" s="1325" t="s">
        <v>430</v>
      </c>
      <c r="AE156" s="1324"/>
      <c r="AF156" s="1325" t="s">
        <v>431</v>
      </c>
      <c r="AG156" s="1324"/>
      <c r="AH156" s="491" t="s">
        <v>103</v>
      </c>
    </row>
    <row r="157" spans="1:34" ht="16.149999999999999">
      <c r="A157" s="518"/>
      <c r="B157" s="1304"/>
      <c r="C157" s="1307"/>
      <c r="D157" s="1311"/>
      <c r="E157" s="1358" t="s">
        <v>426</v>
      </c>
      <c r="F157" s="1358" t="s">
        <v>436</v>
      </c>
      <c r="G157" s="1360" t="s">
        <v>437</v>
      </c>
      <c r="H157" s="1361"/>
      <c r="I157" s="1356"/>
      <c r="J157" s="1334" t="s">
        <v>57</v>
      </c>
      <c r="K157" s="1336" t="s">
        <v>58</v>
      </c>
      <c r="L157" s="1338" t="s">
        <v>57</v>
      </c>
      <c r="M157" s="1340" t="s">
        <v>58</v>
      </c>
      <c r="N157" s="1338" t="s">
        <v>57</v>
      </c>
      <c r="O157" s="1340" t="s">
        <v>58</v>
      </c>
      <c r="P157" s="1338" t="s">
        <v>57</v>
      </c>
      <c r="Q157" s="1340" t="s">
        <v>58</v>
      </c>
      <c r="R157" s="1338" t="s">
        <v>57</v>
      </c>
      <c r="S157" s="1340" t="s">
        <v>58</v>
      </c>
      <c r="T157" s="1338" t="s">
        <v>57</v>
      </c>
      <c r="U157" s="1340" t="s">
        <v>58</v>
      </c>
      <c r="V157" s="1342" t="s">
        <v>57</v>
      </c>
      <c r="W157" s="1340" t="s">
        <v>58</v>
      </c>
      <c r="X157" s="1338" t="s">
        <v>57</v>
      </c>
      <c r="Y157" s="1340" t="s">
        <v>58</v>
      </c>
      <c r="Z157" s="1338" t="s">
        <v>57</v>
      </c>
      <c r="AA157" s="1340" t="s">
        <v>58</v>
      </c>
      <c r="AB157" s="1338" t="s">
        <v>57</v>
      </c>
      <c r="AC157" s="1340" t="s">
        <v>58</v>
      </c>
      <c r="AD157" s="1338" t="s">
        <v>57</v>
      </c>
      <c r="AE157" s="1340" t="s">
        <v>58</v>
      </c>
      <c r="AF157" s="1338" t="s">
        <v>57</v>
      </c>
      <c r="AG157" s="1340" t="s">
        <v>58</v>
      </c>
      <c r="AH157" s="492"/>
    </row>
    <row r="158" spans="1:34" ht="16.5" thickBot="1">
      <c r="A158" s="518"/>
      <c r="B158" s="1305"/>
      <c r="C158" s="1308"/>
      <c r="D158" s="1313"/>
      <c r="E158" s="1359"/>
      <c r="F158" s="1359"/>
      <c r="G158" s="522" t="s">
        <v>438</v>
      </c>
      <c r="H158" s="523" t="s">
        <v>439</v>
      </c>
      <c r="I158" s="1357"/>
      <c r="J158" s="1335"/>
      <c r="K158" s="1337"/>
      <c r="L158" s="1339"/>
      <c r="M158" s="1341"/>
      <c r="N158" s="1339"/>
      <c r="O158" s="1341"/>
      <c r="P158" s="1339"/>
      <c r="Q158" s="1341"/>
      <c r="R158" s="1339"/>
      <c r="S158" s="1341"/>
      <c r="T158" s="1339"/>
      <c r="U158" s="1341"/>
      <c r="V158" s="1343"/>
      <c r="W158" s="1341"/>
      <c r="X158" s="1339"/>
      <c r="Y158" s="1341"/>
      <c r="Z158" s="1339"/>
      <c r="AA158" s="1341"/>
      <c r="AB158" s="1339"/>
      <c r="AC158" s="1341"/>
      <c r="AD158" s="1339"/>
      <c r="AE158" s="1341"/>
      <c r="AF158" s="1339"/>
      <c r="AG158" s="1341"/>
      <c r="AH158" s="493"/>
    </row>
    <row r="159" spans="1:34" ht="23.25" customHeight="1" thickTop="1">
      <c r="A159" s="518"/>
      <c r="B159" s="759" t="s">
        <v>673</v>
      </c>
      <c r="C159" s="760"/>
      <c r="D159" s="761"/>
      <c r="E159" s="762"/>
      <c r="F159" s="763"/>
      <c r="G159" s="761"/>
      <c r="H159" s="761"/>
      <c r="I159" s="764"/>
      <c r="J159" s="765"/>
      <c r="K159" s="766"/>
      <c r="L159" s="765"/>
      <c r="M159" s="766"/>
      <c r="N159" s="765"/>
      <c r="O159" s="766"/>
      <c r="P159" s="765"/>
      <c r="Q159" s="766"/>
      <c r="R159" s="765"/>
      <c r="S159" s="766"/>
      <c r="T159" s="765"/>
      <c r="U159" s="766"/>
      <c r="V159" s="767"/>
      <c r="W159" s="766"/>
      <c r="X159" s="765"/>
      <c r="Y159" s="766"/>
      <c r="Z159" s="765"/>
      <c r="AA159" s="766"/>
      <c r="AB159" s="765"/>
      <c r="AC159" s="766"/>
      <c r="AD159" s="765"/>
      <c r="AE159" s="766"/>
      <c r="AF159" s="765"/>
      <c r="AG159" s="766"/>
      <c r="AH159" s="768"/>
    </row>
    <row r="160" spans="1:34" ht="23.25" customHeight="1">
      <c r="A160" s="518"/>
      <c r="B160" s="769" t="s">
        <v>674</v>
      </c>
      <c r="C160" s="746"/>
      <c r="D160" s="554"/>
      <c r="E160" s="587"/>
      <c r="F160" s="528"/>
      <c r="G160" s="547"/>
      <c r="H160" s="547"/>
      <c r="I160" s="548"/>
      <c r="J160" s="551"/>
      <c r="K160" s="546"/>
      <c r="L160" s="551"/>
      <c r="M160" s="546"/>
      <c r="N160" s="551"/>
      <c r="O160" s="546"/>
      <c r="P160" s="551"/>
      <c r="Q160" s="546"/>
      <c r="R160" s="551"/>
      <c r="S160" s="546"/>
      <c r="T160" s="551"/>
      <c r="U160" s="546"/>
      <c r="V160" s="550"/>
      <c r="W160" s="546"/>
      <c r="X160" s="551"/>
      <c r="Y160" s="546"/>
      <c r="Z160" s="551"/>
      <c r="AA160" s="546"/>
      <c r="AB160" s="551"/>
      <c r="AC160" s="546"/>
      <c r="AD160" s="551"/>
      <c r="AE160" s="546"/>
      <c r="AF160" s="551"/>
      <c r="AG160" s="546"/>
      <c r="AH160" s="537"/>
    </row>
    <row r="161" spans="1:34" ht="23.25" customHeight="1">
      <c r="A161" s="518"/>
      <c r="B161" s="769"/>
      <c r="C161" s="746"/>
      <c r="D161" s="554"/>
      <c r="E161" s="587"/>
      <c r="F161" s="528"/>
      <c r="G161" s="547"/>
      <c r="H161" s="547"/>
      <c r="I161" s="548"/>
      <c r="J161" s="551"/>
      <c r="K161" s="546"/>
      <c r="L161" s="506"/>
      <c r="M161" s="546"/>
      <c r="N161" s="506"/>
      <c r="O161" s="546"/>
      <c r="P161" s="506"/>
      <c r="Q161" s="546"/>
      <c r="R161" s="506"/>
      <c r="S161" s="546"/>
      <c r="T161" s="506"/>
      <c r="U161" s="546"/>
      <c r="V161" s="550"/>
      <c r="W161" s="546"/>
      <c r="X161" s="506"/>
      <c r="Y161" s="546"/>
      <c r="Z161" s="506"/>
      <c r="AA161" s="546"/>
      <c r="AB161" s="506"/>
      <c r="AC161" s="546"/>
      <c r="AD161" s="506"/>
      <c r="AE161" s="546"/>
      <c r="AF161" s="506"/>
      <c r="AG161" s="546"/>
      <c r="AH161" s="537"/>
    </row>
    <row r="162" spans="1:34" ht="23.25" customHeight="1">
      <c r="A162" s="518"/>
      <c r="B162" s="747"/>
      <c r="C162" s="746"/>
      <c r="D162" s="554"/>
      <c r="E162" s="587"/>
      <c r="F162" s="528"/>
      <c r="G162" s="547"/>
      <c r="H162" s="547"/>
      <c r="I162" s="548"/>
      <c r="J162" s="551"/>
      <c r="K162" s="505"/>
      <c r="L162" s="506"/>
      <c r="M162" s="546"/>
      <c r="N162" s="506"/>
      <c r="O162" s="505"/>
      <c r="P162" s="506"/>
      <c r="Q162" s="505"/>
      <c r="R162" s="506"/>
      <c r="S162" s="546"/>
      <c r="T162" s="506"/>
      <c r="U162" s="505"/>
      <c r="V162" s="550"/>
      <c r="W162" s="505"/>
      <c r="X162" s="506"/>
      <c r="Y162" s="505"/>
      <c r="Z162" s="506"/>
      <c r="AA162" s="505"/>
      <c r="AB162" s="506"/>
      <c r="AC162" s="505"/>
      <c r="AD162" s="506"/>
      <c r="AE162" s="505"/>
      <c r="AF162" s="506"/>
      <c r="AG162" s="505"/>
      <c r="AH162" s="537"/>
    </row>
    <row r="163" spans="1:34" ht="22.9" customHeight="1">
      <c r="A163" s="518"/>
      <c r="B163" s="770"/>
      <c r="C163" s="771"/>
      <c r="D163" s="772"/>
      <c r="E163" s="773"/>
      <c r="F163" s="774"/>
      <c r="G163" s="772"/>
      <c r="H163" s="772"/>
      <c r="I163" s="775"/>
      <c r="J163" s="776"/>
      <c r="K163" s="777"/>
      <c r="L163" s="776"/>
      <c r="M163" s="777"/>
      <c r="N163" s="776"/>
      <c r="O163" s="777"/>
      <c r="P163" s="776"/>
      <c r="Q163" s="777"/>
      <c r="R163" s="776"/>
      <c r="S163" s="777"/>
      <c r="T163" s="776"/>
      <c r="U163" s="777"/>
      <c r="V163" s="778"/>
      <c r="W163" s="777"/>
      <c r="X163" s="776"/>
      <c r="Y163" s="777"/>
      <c r="Z163" s="776"/>
      <c r="AA163" s="777"/>
      <c r="AB163" s="776"/>
      <c r="AC163" s="777"/>
      <c r="AD163" s="776"/>
      <c r="AE163" s="777"/>
      <c r="AF163" s="776"/>
      <c r="AG163" s="777"/>
      <c r="AH163" s="779"/>
    </row>
    <row r="164" spans="1:34" ht="22.9" customHeight="1">
      <c r="A164" s="518"/>
      <c r="B164" s="780" t="s">
        <v>675</v>
      </c>
      <c r="C164" s="781"/>
      <c r="D164" s="782"/>
      <c r="E164" s="783"/>
      <c r="F164" s="784"/>
      <c r="G164" s="782"/>
      <c r="H164" s="782"/>
      <c r="I164" s="785"/>
      <c r="J164" s="499"/>
      <c r="K164" s="497"/>
      <c r="L164" s="498"/>
      <c r="M164" s="497"/>
      <c r="N164" s="498"/>
      <c r="O164" s="497"/>
      <c r="P164" s="498"/>
      <c r="Q164" s="497"/>
      <c r="R164" s="498"/>
      <c r="S164" s="497"/>
      <c r="T164" s="498"/>
      <c r="U164" s="497"/>
      <c r="V164" s="499"/>
      <c r="W164" s="497"/>
      <c r="X164" s="498"/>
      <c r="Y164" s="497"/>
      <c r="Z164" s="498"/>
      <c r="AA164" s="497"/>
      <c r="AB164" s="498"/>
      <c r="AC164" s="497"/>
      <c r="AD164" s="498"/>
      <c r="AE164" s="497"/>
      <c r="AF164" s="498"/>
      <c r="AG164" s="497"/>
      <c r="AH164" s="531"/>
    </row>
    <row r="165" spans="1:34" ht="22.9" customHeight="1">
      <c r="A165" s="518"/>
      <c r="B165" s="747"/>
      <c r="C165" s="786"/>
      <c r="D165" s="554"/>
      <c r="E165" s="634"/>
      <c r="F165" s="528"/>
      <c r="G165" s="554"/>
      <c r="H165" s="554"/>
      <c r="I165" s="555"/>
      <c r="J165" s="550"/>
      <c r="K165" s="546"/>
      <c r="L165" s="551"/>
      <c r="M165" s="546"/>
      <c r="N165" s="551"/>
      <c r="O165" s="546"/>
      <c r="P165" s="551"/>
      <c r="Q165" s="546"/>
      <c r="R165" s="551"/>
      <c r="S165" s="546"/>
      <c r="T165" s="551"/>
      <c r="U165" s="546"/>
      <c r="V165" s="550"/>
      <c r="W165" s="546"/>
      <c r="X165" s="551"/>
      <c r="Y165" s="546"/>
      <c r="Z165" s="551"/>
      <c r="AA165" s="546"/>
      <c r="AB165" s="551"/>
      <c r="AC165" s="546"/>
      <c r="AD165" s="551"/>
      <c r="AE165" s="546"/>
      <c r="AF165" s="551"/>
      <c r="AG165" s="546"/>
      <c r="AH165" s="537"/>
    </row>
    <row r="166" spans="1:34" ht="22.9" customHeight="1">
      <c r="A166" s="518"/>
      <c r="B166" s="747"/>
      <c r="C166" s="786"/>
      <c r="D166" s="554"/>
      <c r="E166" s="634"/>
      <c r="F166" s="528"/>
      <c r="G166" s="554"/>
      <c r="H166" s="554"/>
      <c r="I166" s="555"/>
      <c r="J166" s="550"/>
      <c r="K166" s="546"/>
      <c r="L166" s="551"/>
      <c r="M166" s="546"/>
      <c r="N166" s="551"/>
      <c r="O166" s="546"/>
      <c r="P166" s="551"/>
      <c r="Q166" s="546"/>
      <c r="R166" s="551"/>
      <c r="S166" s="546"/>
      <c r="T166" s="551"/>
      <c r="U166" s="546"/>
      <c r="V166" s="550"/>
      <c r="W166" s="546"/>
      <c r="X166" s="551"/>
      <c r="Y166" s="546"/>
      <c r="Z166" s="551"/>
      <c r="AA166" s="546"/>
      <c r="AB166" s="551"/>
      <c r="AC166" s="546"/>
      <c r="AD166" s="551"/>
      <c r="AE166" s="546"/>
      <c r="AF166" s="551"/>
      <c r="AG166" s="546"/>
      <c r="AH166" s="537"/>
    </row>
    <row r="167" spans="1:34" ht="22.9" customHeight="1">
      <c r="A167" s="518"/>
      <c r="B167" s="747"/>
      <c r="C167" s="786"/>
      <c r="D167" s="554"/>
      <c r="E167" s="634"/>
      <c r="F167" s="528"/>
      <c r="G167" s="554"/>
      <c r="H167" s="554"/>
      <c r="I167" s="555"/>
      <c r="J167" s="550"/>
      <c r="K167" s="546"/>
      <c r="L167" s="551"/>
      <c r="M167" s="546"/>
      <c r="N167" s="551"/>
      <c r="O167" s="546"/>
      <c r="P167" s="551"/>
      <c r="Q167" s="546"/>
      <c r="R167" s="551"/>
      <c r="S167" s="546"/>
      <c r="T167" s="551"/>
      <c r="U167" s="546"/>
      <c r="V167" s="550"/>
      <c r="W167" s="546"/>
      <c r="X167" s="551"/>
      <c r="Y167" s="546"/>
      <c r="Z167" s="551"/>
      <c r="AA167" s="546"/>
      <c r="AB167" s="551"/>
      <c r="AC167" s="546"/>
      <c r="AD167" s="551"/>
      <c r="AE167" s="546"/>
      <c r="AF167" s="551"/>
      <c r="AG167" s="546"/>
      <c r="AH167" s="537"/>
    </row>
    <row r="168" spans="1:34" ht="23.25" customHeight="1">
      <c r="A168" s="518"/>
      <c r="B168" s="770"/>
      <c r="C168" s="771"/>
      <c r="D168" s="772"/>
      <c r="E168" s="773"/>
      <c r="F168" s="774"/>
      <c r="G168" s="772"/>
      <c r="H168" s="787"/>
      <c r="I168" s="775"/>
      <c r="J168" s="788"/>
      <c r="K168" s="789"/>
      <c r="L168" s="790"/>
      <c r="M168" s="789"/>
      <c r="N168" s="791"/>
      <c r="O168" s="789"/>
      <c r="P168" s="791"/>
      <c r="Q168" s="789"/>
      <c r="R168" s="790"/>
      <c r="S168" s="789"/>
      <c r="T168" s="790"/>
      <c r="U168" s="789"/>
      <c r="V168" s="792"/>
      <c r="W168" s="789"/>
      <c r="X168" s="791"/>
      <c r="Y168" s="789"/>
      <c r="Z168" s="790"/>
      <c r="AA168" s="789"/>
      <c r="AB168" s="790"/>
      <c r="AC168" s="789"/>
      <c r="AD168" s="791"/>
      <c r="AE168" s="789"/>
      <c r="AF168" s="791"/>
      <c r="AG168" s="789"/>
      <c r="AH168" s="793"/>
    </row>
    <row r="169" spans="1:34" ht="22.5" customHeight="1">
      <c r="A169" s="577"/>
      <c r="B169" s="747" t="s">
        <v>38</v>
      </c>
      <c r="C169" s="794"/>
      <c r="D169" s="782"/>
      <c r="E169" s="795"/>
      <c r="F169" s="784"/>
      <c r="G169" s="796"/>
      <c r="H169" s="797"/>
      <c r="I169" s="798"/>
      <c r="J169" s="799"/>
      <c r="K169" s="800"/>
      <c r="L169" s="801"/>
      <c r="M169" s="800"/>
      <c r="N169" s="801"/>
      <c r="O169" s="800"/>
      <c r="P169" s="801"/>
      <c r="Q169" s="800"/>
      <c r="R169" s="801"/>
      <c r="S169" s="800"/>
      <c r="T169" s="801"/>
      <c r="U169" s="800"/>
      <c r="V169" s="802"/>
      <c r="W169" s="800"/>
      <c r="X169" s="801"/>
      <c r="Y169" s="800"/>
      <c r="Z169" s="801"/>
      <c r="AA169" s="800"/>
      <c r="AB169" s="801"/>
      <c r="AC169" s="800"/>
      <c r="AD169" s="801"/>
      <c r="AE169" s="800"/>
      <c r="AF169" s="801"/>
      <c r="AG169" s="800"/>
      <c r="AH169" s="803"/>
    </row>
    <row r="170" spans="1:34" ht="22.5" customHeight="1">
      <c r="A170" s="577"/>
      <c r="B170" s="747"/>
      <c r="C170" s="804"/>
      <c r="D170" s="554"/>
      <c r="E170" s="622"/>
      <c r="F170" s="528"/>
      <c r="G170" s="570"/>
      <c r="H170" s="805"/>
      <c r="I170" s="806"/>
      <c r="J170" s="807"/>
      <c r="K170" s="808"/>
      <c r="L170" s="809"/>
      <c r="M170" s="808"/>
      <c r="N170" s="809"/>
      <c r="O170" s="808"/>
      <c r="P170" s="809"/>
      <c r="Q170" s="808"/>
      <c r="R170" s="809"/>
      <c r="S170" s="808"/>
      <c r="T170" s="809"/>
      <c r="U170" s="808"/>
      <c r="V170" s="810"/>
      <c r="W170" s="808"/>
      <c r="X170" s="809"/>
      <c r="Y170" s="808"/>
      <c r="Z170" s="809"/>
      <c r="AA170" s="808"/>
      <c r="AB170" s="809"/>
      <c r="AC170" s="808"/>
      <c r="AD170" s="809"/>
      <c r="AE170" s="808"/>
      <c r="AF170" s="809"/>
      <c r="AG170" s="808"/>
      <c r="AH170" s="811"/>
    </row>
    <row r="171" spans="1:34" ht="22.5" customHeight="1">
      <c r="A171" s="577"/>
      <c r="B171" s="747"/>
      <c r="C171" s="804"/>
      <c r="D171" s="554"/>
      <c r="E171" s="622"/>
      <c r="F171" s="528"/>
      <c r="G171" s="570"/>
      <c r="H171" s="805"/>
      <c r="I171" s="806"/>
      <c r="J171" s="807"/>
      <c r="K171" s="808"/>
      <c r="L171" s="809"/>
      <c r="M171" s="808"/>
      <c r="N171" s="809"/>
      <c r="O171" s="808"/>
      <c r="P171" s="809"/>
      <c r="Q171" s="808"/>
      <c r="R171" s="809"/>
      <c r="S171" s="808"/>
      <c r="T171" s="809"/>
      <c r="U171" s="808"/>
      <c r="V171" s="810"/>
      <c r="W171" s="808"/>
      <c r="X171" s="809"/>
      <c r="Y171" s="808"/>
      <c r="Z171" s="809"/>
      <c r="AA171" s="808"/>
      <c r="AB171" s="809"/>
      <c r="AC171" s="808"/>
      <c r="AD171" s="809"/>
      <c r="AE171" s="808"/>
      <c r="AF171" s="809"/>
      <c r="AG171" s="808"/>
      <c r="AH171" s="811"/>
    </row>
    <row r="172" spans="1:34" ht="22.5" customHeight="1">
      <c r="A172" s="577"/>
      <c r="B172" s="747"/>
      <c r="C172" s="804"/>
      <c r="D172" s="554"/>
      <c r="E172" s="622"/>
      <c r="F172" s="528"/>
      <c r="G172" s="570"/>
      <c r="H172" s="805"/>
      <c r="I172" s="806"/>
      <c r="J172" s="807"/>
      <c r="K172" s="808"/>
      <c r="L172" s="809"/>
      <c r="M172" s="808"/>
      <c r="N172" s="809"/>
      <c r="O172" s="808"/>
      <c r="P172" s="809"/>
      <c r="Q172" s="808"/>
      <c r="R172" s="809"/>
      <c r="S172" s="808"/>
      <c r="T172" s="809"/>
      <c r="U172" s="808"/>
      <c r="V172" s="810"/>
      <c r="W172" s="808"/>
      <c r="X172" s="809"/>
      <c r="Y172" s="808"/>
      <c r="Z172" s="809"/>
      <c r="AA172" s="808"/>
      <c r="AB172" s="809"/>
      <c r="AC172" s="808"/>
      <c r="AD172" s="809"/>
      <c r="AE172" s="808"/>
      <c r="AF172" s="809"/>
      <c r="AG172" s="808"/>
      <c r="AH172" s="811"/>
    </row>
    <row r="173" spans="1:34" ht="22.15" customHeight="1">
      <c r="A173" s="577"/>
      <c r="B173" s="812"/>
      <c r="C173" s="813"/>
      <c r="D173" s="772"/>
      <c r="E173" s="814"/>
      <c r="F173" s="774"/>
      <c r="G173" s="815"/>
      <c r="H173" s="816"/>
      <c r="I173" s="817"/>
      <c r="J173" s="818"/>
      <c r="K173" s="819"/>
      <c r="L173" s="820"/>
      <c r="M173" s="819"/>
      <c r="N173" s="820"/>
      <c r="O173" s="819"/>
      <c r="P173" s="820"/>
      <c r="Q173" s="819"/>
      <c r="R173" s="820"/>
      <c r="S173" s="819"/>
      <c r="T173" s="820"/>
      <c r="U173" s="819"/>
      <c r="V173" s="821"/>
      <c r="W173" s="819"/>
      <c r="X173" s="820"/>
      <c r="Y173" s="819"/>
      <c r="Z173" s="820"/>
      <c r="AA173" s="819"/>
      <c r="AB173" s="820"/>
      <c r="AC173" s="819"/>
      <c r="AD173" s="820"/>
      <c r="AE173" s="819"/>
      <c r="AF173" s="820"/>
      <c r="AG173" s="819"/>
      <c r="AH173" s="822"/>
    </row>
    <row r="174" spans="1:34" ht="23.25" customHeight="1">
      <c r="A174" s="518"/>
      <c r="B174" s="747" t="s">
        <v>22</v>
      </c>
      <c r="C174" s="746"/>
      <c r="D174" s="547"/>
      <c r="E174" s="587"/>
      <c r="F174" s="565"/>
      <c r="G174" s="547"/>
      <c r="H174" s="547"/>
      <c r="I174" s="548"/>
      <c r="J174" s="823"/>
      <c r="K174" s="505"/>
      <c r="L174" s="824"/>
      <c r="M174" s="505"/>
      <c r="N174" s="506"/>
      <c r="O174" s="505"/>
      <c r="P174" s="824"/>
      <c r="Q174" s="505"/>
      <c r="R174" s="824"/>
      <c r="S174" s="505"/>
      <c r="T174" s="824"/>
      <c r="U174" s="505"/>
      <c r="V174" s="825"/>
      <c r="W174" s="505"/>
      <c r="X174" s="824"/>
      <c r="Y174" s="505"/>
      <c r="Z174" s="506"/>
      <c r="AA174" s="505"/>
      <c r="AB174" s="824"/>
      <c r="AC174" s="505"/>
      <c r="AD174" s="824"/>
      <c r="AE174" s="505"/>
      <c r="AF174" s="824"/>
      <c r="AG174" s="505"/>
      <c r="AH174" s="567"/>
    </row>
    <row r="175" spans="1:34" ht="23.25" customHeight="1">
      <c r="A175" s="518"/>
      <c r="B175" s="747"/>
      <c r="C175" s="746"/>
      <c r="D175" s="554"/>
      <c r="E175" s="587"/>
      <c r="F175" s="528"/>
      <c r="G175" s="547"/>
      <c r="H175" s="547"/>
      <c r="I175" s="548"/>
      <c r="J175" s="506"/>
      <c r="K175" s="505"/>
      <c r="L175" s="506"/>
      <c r="M175" s="546"/>
      <c r="N175" s="824"/>
      <c r="O175" s="505"/>
      <c r="P175" s="506"/>
      <c r="Q175" s="505"/>
      <c r="R175" s="506"/>
      <c r="S175" s="505"/>
      <c r="T175" s="824"/>
      <c r="U175" s="505"/>
      <c r="V175" s="507"/>
      <c r="W175" s="505"/>
      <c r="X175" s="506"/>
      <c r="Y175" s="505"/>
      <c r="Z175" s="506"/>
      <c r="AA175" s="505"/>
      <c r="AB175" s="824"/>
      <c r="AC175" s="505"/>
      <c r="AD175" s="506"/>
      <c r="AE175" s="505"/>
      <c r="AF175" s="506"/>
      <c r="AG175" s="505"/>
      <c r="AH175" s="537"/>
    </row>
    <row r="176" spans="1:34" ht="23.25" customHeight="1">
      <c r="A176" s="518"/>
      <c r="B176" s="747"/>
      <c r="C176" s="746"/>
      <c r="D176" s="554"/>
      <c r="E176" s="587"/>
      <c r="F176" s="528"/>
      <c r="G176" s="547"/>
      <c r="H176" s="547"/>
      <c r="I176" s="548"/>
      <c r="J176" s="507"/>
      <c r="K176" s="505"/>
      <c r="L176" s="506"/>
      <c r="M176" s="546"/>
      <c r="N176" s="824"/>
      <c r="O176" s="505"/>
      <c r="P176" s="506"/>
      <c r="Q176" s="505"/>
      <c r="R176" s="506"/>
      <c r="S176" s="505"/>
      <c r="T176" s="824"/>
      <c r="U176" s="505"/>
      <c r="V176" s="507"/>
      <c r="W176" s="505"/>
      <c r="X176" s="506"/>
      <c r="Y176" s="505"/>
      <c r="Z176" s="506"/>
      <c r="AA176" s="505"/>
      <c r="AB176" s="824"/>
      <c r="AC176" s="505"/>
      <c r="AD176" s="506"/>
      <c r="AE176" s="505"/>
      <c r="AF176" s="506"/>
      <c r="AG176" s="505"/>
      <c r="AH176" s="537"/>
    </row>
    <row r="177" spans="1:34" ht="23.25" customHeight="1">
      <c r="A177" s="518"/>
      <c r="B177" s="747"/>
      <c r="C177" s="746"/>
      <c r="D177" s="554"/>
      <c r="E177" s="587"/>
      <c r="F177" s="528"/>
      <c r="G177" s="547"/>
      <c r="H177" s="547"/>
      <c r="I177" s="548"/>
      <c r="J177" s="507"/>
      <c r="K177" s="505"/>
      <c r="L177" s="506"/>
      <c r="M177" s="546"/>
      <c r="N177" s="824"/>
      <c r="O177" s="505"/>
      <c r="P177" s="506"/>
      <c r="Q177" s="505"/>
      <c r="R177" s="506"/>
      <c r="S177" s="505"/>
      <c r="T177" s="824"/>
      <c r="U177" s="505"/>
      <c r="V177" s="507"/>
      <c r="W177" s="505"/>
      <c r="X177" s="506"/>
      <c r="Y177" s="505"/>
      <c r="Z177" s="506"/>
      <c r="AA177" s="505"/>
      <c r="AB177" s="824"/>
      <c r="AC177" s="505"/>
      <c r="AD177" s="506"/>
      <c r="AE177" s="505"/>
      <c r="AF177" s="506"/>
      <c r="AG177" s="505"/>
      <c r="AH177" s="537"/>
    </row>
    <row r="178" spans="1:34" ht="23.25" customHeight="1">
      <c r="A178" s="518"/>
      <c r="B178" s="770"/>
      <c r="C178" s="771"/>
      <c r="D178" s="772"/>
      <c r="E178" s="826"/>
      <c r="F178" s="774"/>
      <c r="G178" s="827"/>
      <c r="H178" s="772"/>
      <c r="I178" s="775"/>
      <c r="J178" s="828"/>
      <c r="K178" s="829"/>
      <c r="L178" s="828"/>
      <c r="M178" s="829"/>
      <c r="N178" s="828"/>
      <c r="O178" s="829"/>
      <c r="P178" s="828"/>
      <c r="Q178" s="829"/>
      <c r="R178" s="828"/>
      <c r="S178" s="829"/>
      <c r="T178" s="828"/>
      <c r="U178" s="829"/>
      <c r="V178" s="830"/>
      <c r="W178" s="829"/>
      <c r="X178" s="828"/>
      <c r="Y178" s="829"/>
      <c r="Z178" s="828"/>
      <c r="AA178" s="829"/>
      <c r="AB178" s="828"/>
      <c r="AC178" s="829"/>
      <c r="AD178" s="828"/>
      <c r="AE178" s="829"/>
      <c r="AF178" s="828"/>
      <c r="AG178" s="829"/>
      <c r="AH178" s="779"/>
    </row>
    <row r="179" spans="1:34" ht="23.25" customHeight="1">
      <c r="A179" s="518"/>
      <c r="B179" s="747" t="s">
        <v>676</v>
      </c>
      <c r="C179" s="746"/>
      <c r="D179" s="547"/>
      <c r="E179" s="587"/>
      <c r="F179" s="565"/>
      <c r="G179" s="547"/>
      <c r="H179" s="547"/>
      <c r="I179" s="548"/>
      <c r="J179" s="825"/>
      <c r="K179" s="505"/>
      <c r="L179" s="824"/>
      <c r="M179" s="505"/>
      <c r="N179" s="506"/>
      <c r="O179" s="505"/>
      <c r="P179" s="824"/>
      <c r="Q179" s="505"/>
      <c r="R179" s="824"/>
      <c r="S179" s="505"/>
      <c r="T179" s="824"/>
      <c r="U179" s="505"/>
      <c r="V179" s="507"/>
      <c r="W179" s="505"/>
      <c r="X179" s="824"/>
      <c r="Y179" s="505"/>
      <c r="Z179" s="824"/>
      <c r="AA179" s="505"/>
      <c r="AB179" s="824"/>
      <c r="AC179" s="505"/>
      <c r="AD179" s="506"/>
      <c r="AE179" s="505"/>
      <c r="AF179" s="824"/>
      <c r="AG179" s="505"/>
      <c r="AH179" s="567"/>
    </row>
    <row r="180" spans="1:34" ht="23.25" customHeight="1">
      <c r="A180" s="518"/>
      <c r="B180" s="747"/>
      <c r="C180" s="746"/>
      <c r="D180" s="554"/>
      <c r="E180" s="587"/>
      <c r="F180" s="528"/>
      <c r="G180" s="547"/>
      <c r="H180" s="547"/>
      <c r="I180" s="555"/>
      <c r="J180" s="823"/>
      <c r="K180" s="505"/>
      <c r="L180" s="506"/>
      <c r="M180" s="505"/>
      <c r="N180" s="506"/>
      <c r="O180" s="505"/>
      <c r="P180" s="824"/>
      <c r="Q180" s="505"/>
      <c r="R180" s="824"/>
      <c r="S180" s="505"/>
      <c r="T180" s="824"/>
      <c r="U180" s="505"/>
      <c r="V180" s="825"/>
      <c r="W180" s="505"/>
      <c r="X180" s="506"/>
      <c r="Y180" s="505"/>
      <c r="Z180" s="824"/>
      <c r="AA180" s="505"/>
      <c r="AB180" s="824"/>
      <c r="AC180" s="505"/>
      <c r="AD180" s="824"/>
      <c r="AE180" s="505"/>
      <c r="AF180" s="824"/>
      <c r="AG180" s="505"/>
      <c r="AH180" s="537"/>
    </row>
    <row r="181" spans="1:34" ht="23.25" customHeight="1">
      <c r="A181" s="518"/>
      <c r="B181" s="747"/>
      <c r="C181" s="746"/>
      <c r="D181" s="554"/>
      <c r="E181" s="587"/>
      <c r="F181" s="528"/>
      <c r="G181" s="547"/>
      <c r="H181" s="547"/>
      <c r="I181" s="555"/>
      <c r="J181" s="823"/>
      <c r="K181" s="505"/>
      <c r="L181" s="506"/>
      <c r="M181" s="505"/>
      <c r="N181" s="506"/>
      <c r="O181" s="505"/>
      <c r="P181" s="824"/>
      <c r="Q181" s="505"/>
      <c r="R181" s="824"/>
      <c r="S181" s="505"/>
      <c r="T181" s="824"/>
      <c r="U181" s="505"/>
      <c r="V181" s="825"/>
      <c r="W181" s="505"/>
      <c r="X181" s="506"/>
      <c r="Y181" s="505"/>
      <c r="Z181" s="824"/>
      <c r="AA181" s="505"/>
      <c r="AB181" s="824"/>
      <c r="AC181" s="505"/>
      <c r="AD181" s="824"/>
      <c r="AE181" s="505"/>
      <c r="AF181" s="824"/>
      <c r="AG181" s="505"/>
      <c r="AH181" s="537"/>
    </row>
    <row r="182" spans="1:34" ht="23.25" customHeight="1">
      <c r="A182" s="518"/>
      <c r="B182" s="747"/>
      <c r="C182" s="786"/>
      <c r="D182" s="554"/>
      <c r="E182" s="587"/>
      <c r="F182" s="528"/>
      <c r="G182" s="547"/>
      <c r="H182" s="554"/>
      <c r="I182" s="555"/>
      <c r="J182" s="831"/>
      <c r="K182" s="546"/>
      <c r="L182" s="832"/>
      <c r="M182" s="546"/>
      <c r="N182" s="832"/>
      <c r="O182" s="546"/>
      <c r="P182" s="832"/>
      <c r="Q182" s="546"/>
      <c r="R182" s="832"/>
      <c r="S182" s="546"/>
      <c r="T182" s="506"/>
      <c r="U182" s="546"/>
      <c r="V182" s="833"/>
      <c r="W182" s="546"/>
      <c r="X182" s="832"/>
      <c r="Y182" s="546"/>
      <c r="Z182" s="832"/>
      <c r="AA182" s="546"/>
      <c r="AB182" s="832"/>
      <c r="AC182" s="546"/>
      <c r="AD182" s="832"/>
      <c r="AE182" s="546"/>
      <c r="AF182" s="506"/>
      <c r="AG182" s="546"/>
      <c r="AH182" s="537"/>
    </row>
    <row r="183" spans="1:34" ht="23.25" customHeight="1">
      <c r="A183" s="518"/>
      <c r="B183" s="770"/>
      <c r="C183" s="834"/>
      <c r="D183" s="772"/>
      <c r="E183" s="826"/>
      <c r="F183" s="774"/>
      <c r="G183" s="827"/>
      <c r="H183" s="827"/>
      <c r="I183" s="835"/>
      <c r="J183" s="836"/>
      <c r="K183" s="777"/>
      <c r="L183" s="837"/>
      <c r="M183" s="777"/>
      <c r="N183" s="837"/>
      <c r="O183" s="777"/>
      <c r="P183" s="837"/>
      <c r="Q183" s="777"/>
      <c r="R183" s="837"/>
      <c r="S183" s="777"/>
      <c r="T183" s="776"/>
      <c r="U183" s="777"/>
      <c r="V183" s="838"/>
      <c r="W183" s="777"/>
      <c r="X183" s="837"/>
      <c r="Y183" s="777"/>
      <c r="Z183" s="837"/>
      <c r="AA183" s="777"/>
      <c r="AB183" s="837"/>
      <c r="AC183" s="777"/>
      <c r="AD183" s="837"/>
      <c r="AE183" s="777"/>
      <c r="AF183" s="839"/>
      <c r="AG183" s="777"/>
      <c r="AH183" s="840"/>
    </row>
    <row r="184" spans="1:34" ht="22.5" customHeight="1">
      <c r="A184" s="577"/>
      <c r="B184" s="747" t="s">
        <v>23</v>
      </c>
      <c r="C184" s="841"/>
      <c r="D184" s="554"/>
      <c r="E184" s="592"/>
      <c r="F184" s="528"/>
      <c r="G184" s="592"/>
      <c r="H184" s="592"/>
      <c r="I184" s="609"/>
      <c r="J184" s="842"/>
      <c r="K184" s="843"/>
      <c r="L184" s="844"/>
      <c r="M184" s="843"/>
      <c r="N184" s="844"/>
      <c r="O184" s="843"/>
      <c r="P184" s="844"/>
      <c r="Q184" s="843"/>
      <c r="R184" s="844"/>
      <c r="S184" s="843"/>
      <c r="T184" s="844"/>
      <c r="U184" s="845"/>
      <c r="V184" s="615"/>
      <c r="W184" s="604"/>
      <c r="X184" s="844"/>
      <c r="Y184" s="604"/>
      <c r="Z184" s="844"/>
      <c r="AA184" s="604"/>
      <c r="AB184" s="844"/>
      <c r="AC184" s="843"/>
      <c r="AD184" s="844"/>
      <c r="AE184" s="604"/>
      <c r="AF184" s="844"/>
      <c r="AG184" s="604"/>
      <c r="AH184" s="606"/>
    </row>
    <row r="185" spans="1:34" ht="23.25" customHeight="1">
      <c r="A185" s="518"/>
      <c r="B185" s="747"/>
      <c r="C185" s="786"/>
      <c r="D185" s="554"/>
      <c r="E185" s="634"/>
      <c r="F185" s="528"/>
      <c r="G185" s="554"/>
      <c r="H185" s="554"/>
      <c r="I185" s="555"/>
      <c r="J185" s="551"/>
      <c r="K185" s="843"/>
      <c r="L185" s="551"/>
      <c r="M185" s="843"/>
      <c r="N185" s="551"/>
      <c r="O185" s="843"/>
      <c r="P185" s="551"/>
      <c r="Q185" s="843"/>
      <c r="R185" s="551"/>
      <c r="S185" s="843"/>
      <c r="T185" s="551"/>
      <c r="U185" s="546"/>
      <c r="V185" s="550"/>
      <c r="W185" s="546"/>
      <c r="X185" s="551"/>
      <c r="Y185" s="546"/>
      <c r="Z185" s="551"/>
      <c r="AA185" s="546"/>
      <c r="AB185" s="551"/>
      <c r="AC185" s="546"/>
      <c r="AD185" s="551"/>
      <c r="AE185" s="546"/>
      <c r="AF185" s="551"/>
      <c r="AG185" s="546"/>
      <c r="AH185" s="537"/>
    </row>
    <row r="186" spans="1:34" ht="23.25" customHeight="1">
      <c r="A186" s="518"/>
      <c r="B186" s="747"/>
      <c r="C186" s="786"/>
      <c r="D186" s="554"/>
      <c r="E186" s="634"/>
      <c r="F186" s="528"/>
      <c r="G186" s="554"/>
      <c r="H186" s="554"/>
      <c r="I186" s="555"/>
      <c r="J186" s="831"/>
      <c r="K186" s="546"/>
      <c r="L186" s="832"/>
      <c r="M186" s="546"/>
      <c r="N186" s="832"/>
      <c r="O186" s="546"/>
      <c r="P186" s="551"/>
      <c r="Q186" s="846"/>
      <c r="R186" s="832"/>
      <c r="S186" s="546"/>
      <c r="T186" s="605"/>
      <c r="U186" s="546"/>
      <c r="V186" s="550"/>
      <c r="W186" s="546"/>
      <c r="X186" s="551"/>
      <c r="Y186" s="546"/>
      <c r="Z186" s="551"/>
      <c r="AA186" s="546"/>
      <c r="AB186" s="832"/>
      <c r="AC186" s="546"/>
      <c r="AD186" s="832"/>
      <c r="AE186" s="546"/>
      <c r="AF186" s="832"/>
      <c r="AG186" s="546"/>
      <c r="AH186" s="537"/>
    </row>
    <row r="187" spans="1:34" ht="23.25" customHeight="1">
      <c r="A187" s="665"/>
      <c r="B187" s="747"/>
      <c r="C187" s="786"/>
      <c r="D187" s="554"/>
      <c r="E187" s="634"/>
      <c r="F187" s="528"/>
      <c r="G187" s="554"/>
      <c r="H187" s="554"/>
      <c r="I187" s="555"/>
      <c r="J187" s="551"/>
      <c r="K187" s="546"/>
      <c r="L187" s="551"/>
      <c r="M187" s="546"/>
      <c r="N187" s="551"/>
      <c r="O187" s="546"/>
      <c r="P187" s="551"/>
      <c r="Q187" s="546"/>
      <c r="R187" s="551"/>
      <c r="S187" s="546"/>
      <c r="T187" s="551"/>
      <c r="U187" s="546"/>
      <c r="V187" s="550"/>
      <c r="W187" s="546"/>
      <c r="X187" s="551"/>
      <c r="Y187" s="546"/>
      <c r="Z187" s="551"/>
      <c r="AA187" s="546"/>
      <c r="AB187" s="551"/>
      <c r="AC187" s="546"/>
      <c r="AD187" s="551"/>
      <c r="AE187" s="546"/>
      <c r="AF187" s="551"/>
      <c r="AG187" s="546"/>
      <c r="AH187" s="537"/>
    </row>
    <row r="188" spans="1:34" ht="23.25" customHeight="1" thickBot="1">
      <c r="A188" s="665"/>
      <c r="B188" s="754"/>
      <c r="C188" s="847"/>
      <c r="D188" s="562"/>
      <c r="E188" s="756"/>
      <c r="F188" s="848"/>
      <c r="G188" s="562"/>
      <c r="H188" s="849"/>
      <c r="I188" s="850"/>
      <c r="J188" s="851"/>
      <c r="K188" s="852"/>
      <c r="L188" s="851"/>
      <c r="M188" s="852"/>
      <c r="N188" s="851"/>
      <c r="O188" s="852"/>
      <c r="P188" s="851"/>
      <c r="Q188" s="852"/>
      <c r="R188" s="851"/>
      <c r="S188" s="852"/>
      <c r="T188" s="851"/>
      <c r="U188" s="852"/>
      <c r="V188" s="853"/>
      <c r="W188" s="852"/>
      <c r="X188" s="851"/>
      <c r="Y188" s="852"/>
      <c r="Z188" s="851"/>
      <c r="AA188" s="852"/>
      <c r="AB188" s="851"/>
      <c r="AC188" s="852"/>
      <c r="AD188" s="851"/>
      <c r="AE188" s="852"/>
      <c r="AF188" s="851"/>
      <c r="AG188" s="852"/>
      <c r="AH188" s="854"/>
    </row>
    <row r="189" spans="1:34" ht="18.75">
      <c r="B189" s="856"/>
    </row>
  </sheetData>
  <sheetProtection formatCells="0" formatColumns="0" formatRows="0" insertColumns="0" insertRows="0" deleteColumns="0" deleteRows="0" selectLockedCells="1" autoFilter="0"/>
  <mergeCells count="146">
    <mergeCell ref="AB157:AB158"/>
    <mergeCell ref="AC157:AC158"/>
    <mergeCell ref="AD157:AD158"/>
    <mergeCell ref="AE157:AE158"/>
    <mergeCell ref="AF157:AF158"/>
    <mergeCell ref="U157:U158"/>
    <mergeCell ref="V157:V158"/>
    <mergeCell ref="W157:W158"/>
    <mergeCell ref="X157:X158"/>
    <mergeCell ref="Y157:Y158"/>
    <mergeCell ref="Z157:Z158"/>
    <mergeCell ref="O157:O158"/>
    <mergeCell ref="P157:P158"/>
    <mergeCell ref="Q157:Q158"/>
    <mergeCell ref="R157:R158"/>
    <mergeCell ref="S157:S158"/>
    <mergeCell ref="T157:T158"/>
    <mergeCell ref="AD156:AE156"/>
    <mergeCell ref="AF156:AG156"/>
    <mergeCell ref="E157:E158"/>
    <mergeCell ref="F157:F158"/>
    <mergeCell ref="G157:H157"/>
    <mergeCell ref="J157:J158"/>
    <mergeCell ref="K157:K158"/>
    <mergeCell ref="L157:L158"/>
    <mergeCell ref="M157:M158"/>
    <mergeCell ref="N157:N158"/>
    <mergeCell ref="R156:S156"/>
    <mergeCell ref="T156:U156"/>
    <mergeCell ref="V156:W156"/>
    <mergeCell ref="X156:Y156"/>
    <mergeCell ref="Z156:AA156"/>
    <mergeCell ref="AB156:AC156"/>
    <mergeCell ref="AG157:AG158"/>
    <mergeCell ref="AA157:AA158"/>
    <mergeCell ref="AF26:AF27"/>
    <mergeCell ref="AG26:AG27"/>
    <mergeCell ref="B156:B158"/>
    <mergeCell ref="C156:C158"/>
    <mergeCell ref="D156:D158"/>
    <mergeCell ref="I156:I158"/>
    <mergeCell ref="J156:K156"/>
    <mergeCell ref="L156:M156"/>
    <mergeCell ref="N156:O156"/>
    <mergeCell ref="P156:Q156"/>
    <mergeCell ref="Z26:Z27"/>
    <mergeCell ref="AA26:AA27"/>
    <mergeCell ref="AB26:AB27"/>
    <mergeCell ref="AC26:AC27"/>
    <mergeCell ref="AD26:AD27"/>
    <mergeCell ref="AE26:AE27"/>
    <mergeCell ref="T26:T27"/>
    <mergeCell ref="U26:U27"/>
    <mergeCell ref="V26:V27"/>
    <mergeCell ref="W26:W27"/>
    <mergeCell ref="X26:X27"/>
    <mergeCell ref="Y26:Y27"/>
    <mergeCell ref="N26:N27"/>
    <mergeCell ref="O26:O27"/>
    <mergeCell ref="P26:P27"/>
    <mergeCell ref="Q26:Q27"/>
    <mergeCell ref="R26:R27"/>
    <mergeCell ref="S26:S27"/>
    <mergeCell ref="F26:F27"/>
    <mergeCell ref="G26:H26"/>
    <mergeCell ref="J26:J27"/>
    <mergeCell ref="K26:K27"/>
    <mergeCell ref="L26:L27"/>
    <mergeCell ref="M26:M27"/>
    <mergeCell ref="V25:W25"/>
    <mergeCell ref="X25:Y25"/>
    <mergeCell ref="Z25:AA25"/>
    <mergeCell ref="AB25:AC25"/>
    <mergeCell ref="AD25:AE25"/>
    <mergeCell ref="AF25:AG25"/>
    <mergeCell ref="J25:K25"/>
    <mergeCell ref="L25:M25"/>
    <mergeCell ref="N25:O25"/>
    <mergeCell ref="P25:Q25"/>
    <mergeCell ref="R25:S25"/>
    <mergeCell ref="T25:U25"/>
    <mergeCell ref="D20:E20"/>
    <mergeCell ref="F20:I20"/>
    <mergeCell ref="D21:E21"/>
    <mergeCell ref="D22:E22"/>
    <mergeCell ref="F22:I22"/>
    <mergeCell ref="B25:B27"/>
    <mergeCell ref="C25:C27"/>
    <mergeCell ref="D25:D27"/>
    <mergeCell ref="I25:I27"/>
    <mergeCell ref="E26:E27"/>
    <mergeCell ref="AD18:AD19"/>
    <mergeCell ref="AE18:AE19"/>
    <mergeCell ref="AF18:AF19"/>
    <mergeCell ref="AG18:AG19"/>
    <mergeCell ref="V18:V19"/>
    <mergeCell ref="W18:W19"/>
    <mergeCell ref="X18:X19"/>
    <mergeCell ref="Y18:Y19"/>
    <mergeCell ref="Z18:Z19"/>
    <mergeCell ref="AA18:AA19"/>
    <mergeCell ref="AF17:AG17"/>
    <mergeCell ref="J18:J19"/>
    <mergeCell ref="K18:K19"/>
    <mergeCell ref="L18:L19"/>
    <mergeCell ref="M18:M19"/>
    <mergeCell ref="N18:N19"/>
    <mergeCell ref="O18:O19"/>
    <mergeCell ref="N17:O17"/>
    <mergeCell ref="P17:Q17"/>
    <mergeCell ref="R17:S17"/>
    <mergeCell ref="T17:U17"/>
    <mergeCell ref="V17:W17"/>
    <mergeCell ref="X17:Y17"/>
    <mergeCell ref="P18:P19"/>
    <mergeCell ref="Q18:Q19"/>
    <mergeCell ref="R18:R19"/>
    <mergeCell ref="S18:S19"/>
    <mergeCell ref="T18:T19"/>
    <mergeCell ref="U18:U19"/>
    <mergeCell ref="Z17:AA17"/>
    <mergeCell ref="AB17:AC17"/>
    <mergeCell ref="AD17:AE17"/>
    <mergeCell ref="AB18:AB19"/>
    <mergeCell ref="AC18:AC19"/>
    <mergeCell ref="B5:I5"/>
    <mergeCell ref="J5:T5"/>
    <mergeCell ref="U5:W5"/>
    <mergeCell ref="F6:I6"/>
    <mergeCell ref="J6:L6"/>
    <mergeCell ref="M6:P6"/>
    <mergeCell ref="Q6:T6"/>
    <mergeCell ref="B17:B19"/>
    <mergeCell ref="C17:C19"/>
    <mergeCell ref="D17:E19"/>
    <mergeCell ref="F17:I19"/>
    <mergeCell ref="J17:K17"/>
    <mergeCell ref="L17:M17"/>
    <mergeCell ref="B11:G11"/>
    <mergeCell ref="I11:O11"/>
    <mergeCell ref="J12:K12"/>
    <mergeCell ref="L12:M12"/>
    <mergeCell ref="N12:O12"/>
    <mergeCell ref="J13:K13"/>
    <mergeCell ref="L13:M13"/>
    <mergeCell ref="N13:O13"/>
  </mergeCells>
  <phoneticPr fontId="8"/>
  <conditionalFormatting sqref="F28:F146">
    <cfRule type="expression" dxfId="335" priority="335">
      <formula>$F28="▼ 選択"</formula>
    </cfRule>
  </conditionalFormatting>
  <conditionalFormatting sqref="C32:AH35 C28:G31 C36:H36 J36:AH36 C37:AH42 C45:AH45 J43:AH44 C43:H44 C47:AH48 C46:H46 J46:AH46 C50:AH58 C49:H49 J49:AH49 C61:AH64 C68:AH68 J65:AH67 C65:H67 J69:AH70 C69:H70 C73:G73 J73:AH73 C74:AH85 C89:AH93 C86:H86 C87:G88 I87:AH88 C94:G95 J94:AH95 C96:AH128 C141:AH145 C138:G140 J138:AH140 C146:G146 J146:AH146 C71:AH72 J59:AH60 C59:H60 J86:AH86 C134:AH137 C130:G130 C131:H133 C129:H129 J129:AH133 J28:AH31">
    <cfRule type="expression" dxfId="334" priority="331">
      <formula>$F28="無"</formula>
    </cfRule>
  </conditionalFormatting>
  <conditionalFormatting sqref="G28:G146">
    <cfRule type="expression" dxfId="333" priority="336">
      <formula>$G28="▼ 選択"</formula>
    </cfRule>
  </conditionalFormatting>
  <conditionalFormatting sqref="J8:W8">
    <cfRule type="expression" dxfId="332" priority="332">
      <formula>J$8="▼ 選択"</formula>
    </cfRule>
  </conditionalFormatting>
  <conditionalFormatting sqref="D13:H13">
    <cfRule type="expression" dxfId="331" priority="333">
      <formula>D$13="▼ 選択"</formula>
    </cfRule>
  </conditionalFormatting>
  <conditionalFormatting sqref="I13">
    <cfRule type="expression" dxfId="330" priority="334">
      <formula>I$13="▼ 選択"</formula>
    </cfRule>
  </conditionalFormatting>
  <conditionalFormatting sqref="H28:H31">
    <cfRule type="expression" dxfId="329" priority="328">
      <formula>$F28="無"</formula>
    </cfRule>
  </conditionalFormatting>
  <conditionalFormatting sqref="H28:H31">
    <cfRule type="expression" dxfId="328" priority="330">
      <formula>$G28="▼ 選択"</formula>
    </cfRule>
  </conditionalFormatting>
  <conditionalFormatting sqref="H28:H31">
    <cfRule type="expression" dxfId="327" priority="329">
      <formula>$H28="▼ 選択"</formula>
    </cfRule>
  </conditionalFormatting>
  <conditionalFormatting sqref="H44">
    <cfRule type="expression" dxfId="326" priority="327">
      <formula>$G44="▼ 選択"</formula>
    </cfRule>
  </conditionalFormatting>
  <conditionalFormatting sqref="H65">
    <cfRule type="expression" dxfId="325" priority="326">
      <formula>$G65="▼ 選択"</formula>
    </cfRule>
  </conditionalFormatting>
  <conditionalFormatting sqref="H66:H67">
    <cfRule type="expression" dxfId="324" priority="325">
      <formula>$G66="▼ 選択"</formula>
    </cfRule>
  </conditionalFormatting>
  <conditionalFormatting sqref="H69">
    <cfRule type="expression" dxfId="323" priority="324">
      <formula>$G69="▼ 選択"</formula>
    </cfRule>
  </conditionalFormatting>
  <conditionalFormatting sqref="H70">
    <cfRule type="expression" dxfId="322" priority="323">
      <formula>$G70="▼ 選択"</formula>
    </cfRule>
  </conditionalFormatting>
  <conditionalFormatting sqref="H73">
    <cfRule type="expression" dxfId="321" priority="322" stopIfTrue="1">
      <formula>$F73="無"</formula>
    </cfRule>
  </conditionalFormatting>
  <conditionalFormatting sqref="I73">
    <cfRule type="expression" dxfId="320" priority="321" stopIfTrue="1">
      <formula>$F73="無"</formula>
    </cfRule>
  </conditionalFormatting>
  <conditionalFormatting sqref="H84">
    <cfRule type="expression" dxfId="319" priority="320">
      <formula>$G84="▼ 選択"</formula>
    </cfRule>
  </conditionalFormatting>
  <conditionalFormatting sqref="I94">
    <cfRule type="expression" dxfId="318" priority="319" stopIfTrue="1">
      <formula>$F94="無"</formula>
    </cfRule>
  </conditionalFormatting>
  <conditionalFormatting sqref="I94">
    <cfRule type="expression" dxfId="317" priority="318" stopIfTrue="1">
      <formula>$F94="無"</formula>
    </cfRule>
  </conditionalFormatting>
  <conditionalFormatting sqref="I94">
    <cfRule type="expression" dxfId="316" priority="317" stopIfTrue="1">
      <formula>$F94="無"</formula>
    </cfRule>
  </conditionalFormatting>
  <conditionalFormatting sqref="I94">
    <cfRule type="expression" dxfId="315" priority="316" stopIfTrue="1">
      <formula>$F94="無"</formula>
    </cfRule>
  </conditionalFormatting>
  <conditionalFormatting sqref="I94">
    <cfRule type="expression" dxfId="314" priority="315" stopIfTrue="1">
      <formula>$F94="無"</formula>
    </cfRule>
  </conditionalFormatting>
  <conditionalFormatting sqref="I94">
    <cfRule type="expression" dxfId="313" priority="314" stopIfTrue="1">
      <formula>$F94="無"</formula>
    </cfRule>
  </conditionalFormatting>
  <conditionalFormatting sqref="I94">
    <cfRule type="expression" dxfId="312" priority="313" stopIfTrue="1">
      <formula>$F94="無"</formula>
    </cfRule>
  </conditionalFormatting>
  <conditionalFormatting sqref="I94">
    <cfRule type="expression" dxfId="311" priority="312" stopIfTrue="1">
      <formula>$F94="無"</formula>
    </cfRule>
  </conditionalFormatting>
  <conditionalFormatting sqref="I94">
    <cfRule type="expression" dxfId="310" priority="311" stopIfTrue="1">
      <formula>$F94="無"</formula>
    </cfRule>
  </conditionalFormatting>
  <conditionalFormatting sqref="I94">
    <cfRule type="expression" dxfId="309" priority="310" stopIfTrue="1">
      <formula>$F94="無"</formula>
    </cfRule>
  </conditionalFormatting>
  <conditionalFormatting sqref="I94">
    <cfRule type="expression" dxfId="308" priority="309" stopIfTrue="1">
      <formula>$F94="無"</formula>
    </cfRule>
  </conditionalFormatting>
  <conditionalFormatting sqref="I94">
    <cfRule type="expression" dxfId="307" priority="308" stopIfTrue="1">
      <formula>$F94="無"</formula>
    </cfRule>
  </conditionalFormatting>
  <conditionalFormatting sqref="I94">
    <cfRule type="expression" dxfId="306" priority="307" stopIfTrue="1">
      <formula>$F94="無"</formula>
    </cfRule>
  </conditionalFormatting>
  <conditionalFormatting sqref="I94">
    <cfRule type="expression" dxfId="305" priority="306" stopIfTrue="1">
      <formula>$F94="無"</formula>
    </cfRule>
  </conditionalFormatting>
  <conditionalFormatting sqref="I94">
    <cfRule type="expression" dxfId="304" priority="305" stopIfTrue="1">
      <formula>$F94="無"</formula>
    </cfRule>
  </conditionalFormatting>
  <conditionalFormatting sqref="I94">
    <cfRule type="expression" dxfId="303" priority="304" stopIfTrue="1">
      <formula>$F94="無"</formula>
    </cfRule>
  </conditionalFormatting>
  <conditionalFormatting sqref="I94">
    <cfRule type="expression" dxfId="302" priority="303" stopIfTrue="1">
      <formula>$F94="無"</formula>
    </cfRule>
  </conditionalFormatting>
  <conditionalFormatting sqref="I94">
    <cfRule type="expression" dxfId="301" priority="302" stopIfTrue="1">
      <formula>$F94="無"</formula>
    </cfRule>
  </conditionalFormatting>
  <conditionalFormatting sqref="I94">
    <cfRule type="expression" dxfId="300" priority="301" stopIfTrue="1">
      <formula>$F94="無"</formula>
    </cfRule>
  </conditionalFormatting>
  <conditionalFormatting sqref="I94">
    <cfRule type="expression" dxfId="299" priority="300" stopIfTrue="1">
      <formula>$F94="無"</formula>
    </cfRule>
  </conditionalFormatting>
  <conditionalFormatting sqref="I94">
    <cfRule type="expression" dxfId="298" priority="299" stopIfTrue="1">
      <formula>$F94="無"</formula>
    </cfRule>
  </conditionalFormatting>
  <conditionalFormatting sqref="I94">
    <cfRule type="expression" dxfId="297" priority="298" stopIfTrue="1">
      <formula>$F94="無"</formula>
    </cfRule>
  </conditionalFormatting>
  <conditionalFormatting sqref="I94">
    <cfRule type="expression" dxfId="296" priority="297" stopIfTrue="1">
      <formula>$F94="無"</formula>
    </cfRule>
  </conditionalFormatting>
  <conditionalFormatting sqref="I94">
    <cfRule type="expression" dxfId="295" priority="296" stopIfTrue="1">
      <formula>$F94="無"</formula>
    </cfRule>
  </conditionalFormatting>
  <conditionalFormatting sqref="I94">
    <cfRule type="expression" dxfId="294" priority="295" stopIfTrue="1">
      <formula>$F94="無"</formula>
    </cfRule>
  </conditionalFormatting>
  <conditionalFormatting sqref="I94">
    <cfRule type="expression" dxfId="293" priority="294" stopIfTrue="1">
      <formula>$F94="無"</formula>
    </cfRule>
  </conditionalFormatting>
  <conditionalFormatting sqref="I94">
    <cfRule type="expression" dxfId="292" priority="293" stopIfTrue="1">
      <formula>$F94="無"</formula>
    </cfRule>
  </conditionalFormatting>
  <conditionalFormatting sqref="I94">
    <cfRule type="expression" dxfId="291" priority="292" stopIfTrue="1">
      <formula>$F94="無"</formula>
    </cfRule>
  </conditionalFormatting>
  <conditionalFormatting sqref="I94">
    <cfRule type="expression" dxfId="290" priority="291" stopIfTrue="1">
      <formula>$F94="無"</formula>
    </cfRule>
  </conditionalFormatting>
  <conditionalFormatting sqref="I94">
    <cfRule type="expression" dxfId="289" priority="290" stopIfTrue="1">
      <formula>$F94="無"</formula>
    </cfRule>
  </conditionalFormatting>
  <conditionalFormatting sqref="H94">
    <cfRule type="expression" dxfId="288" priority="289" stopIfTrue="1">
      <formula>$F94="無"</formula>
    </cfRule>
  </conditionalFormatting>
  <conditionalFormatting sqref="H94">
    <cfRule type="expression" dxfId="287" priority="288" stopIfTrue="1">
      <formula>$F94="無"</formula>
    </cfRule>
  </conditionalFormatting>
  <conditionalFormatting sqref="H94">
    <cfRule type="expression" dxfId="286" priority="287" stopIfTrue="1">
      <formula>$F94="無"</formula>
    </cfRule>
  </conditionalFormatting>
  <conditionalFormatting sqref="H94">
    <cfRule type="expression" dxfId="285" priority="286" stopIfTrue="1">
      <formula>$F94="無"</formula>
    </cfRule>
  </conditionalFormatting>
  <conditionalFormatting sqref="H94">
    <cfRule type="expression" dxfId="284" priority="285" stopIfTrue="1">
      <formula>$F94="無"</formula>
    </cfRule>
  </conditionalFormatting>
  <conditionalFormatting sqref="H94">
    <cfRule type="expression" dxfId="283" priority="284" stopIfTrue="1">
      <formula>$F94="無"</formula>
    </cfRule>
  </conditionalFormatting>
  <conditionalFormatting sqref="H94">
    <cfRule type="expression" dxfId="282" priority="283" stopIfTrue="1">
      <formula>$F94="無"</formula>
    </cfRule>
  </conditionalFormatting>
  <conditionalFormatting sqref="H94">
    <cfRule type="expression" dxfId="281" priority="282" stopIfTrue="1">
      <formula>$F94="無"</formula>
    </cfRule>
  </conditionalFormatting>
  <conditionalFormatting sqref="H94">
    <cfRule type="expression" dxfId="280" priority="281" stopIfTrue="1">
      <formula>$F94="無"</formula>
    </cfRule>
  </conditionalFormatting>
  <conditionalFormatting sqref="H94">
    <cfRule type="expression" dxfId="279" priority="280" stopIfTrue="1">
      <formula>$F94="無"</formula>
    </cfRule>
  </conditionalFormatting>
  <conditionalFormatting sqref="H94">
    <cfRule type="expression" dxfId="278" priority="279" stopIfTrue="1">
      <formula>$F94="無"</formula>
    </cfRule>
  </conditionalFormatting>
  <conditionalFormatting sqref="H94">
    <cfRule type="expression" dxfId="277" priority="278" stopIfTrue="1">
      <formula>$F94="無"</formula>
    </cfRule>
  </conditionalFormatting>
  <conditionalFormatting sqref="H95">
    <cfRule type="expression" dxfId="276" priority="277" stopIfTrue="1">
      <formula>$F95="無"</formula>
    </cfRule>
  </conditionalFormatting>
  <conditionalFormatting sqref="H95">
    <cfRule type="expression" dxfId="275" priority="276" stopIfTrue="1">
      <formula>$F95="無"</formula>
    </cfRule>
  </conditionalFormatting>
  <conditionalFormatting sqref="H95">
    <cfRule type="expression" dxfId="274" priority="275" stopIfTrue="1">
      <formula>$F95="無"</formula>
    </cfRule>
  </conditionalFormatting>
  <conditionalFormatting sqref="H95">
    <cfRule type="expression" dxfId="273" priority="274" stopIfTrue="1">
      <formula>$F95="無"</formula>
    </cfRule>
  </conditionalFormatting>
  <conditionalFormatting sqref="H95">
    <cfRule type="expression" dxfId="272" priority="273" stopIfTrue="1">
      <formula>$F95="無"</formula>
    </cfRule>
  </conditionalFormatting>
  <conditionalFormatting sqref="H95">
    <cfRule type="expression" dxfId="271" priority="272" stopIfTrue="1">
      <formula>$F95="無"</formula>
    </cfRule>
  </conditionalFormatting>
  <conditionalFormatting sqref="H95">
    <cfRule type="expression" dxfId="270" priority="271" stopIfTrue="1">
      <formula>$F95="無"</formula>
    </cfRule>
  </conditionalFormatting>
  <conditionalFormatting sqref="H95">
    <cfRule type="expression" dxfId="269" priority="270" stopIfTrue="1">
      <formula>$F95="無"</formula>
    </cfRule>
  </conditionalFormatting>
  <conditionalFormatting sqref="H95">
    <cfRule type="expression" dxfId="268" priority="269" stopIfTrue="1">
      <formula>$F95="無"</formula>
    </cfRule>
  </conditionalFormatting>
  <conditionalFormatting sqref="H95">
    <cfRule type="expression" dxfId="267" priority="268" stopIfTrue="1">
      <formula>$F95="無"</formula>
    </cfRule>
  </conditionalFormatting>
  <conditionalFormatting sqref="H95">
    <cfRule type="expression" dxfId="266" priority="267" stopIfTrue="1">
      <formula>$F95="無"</formula>
    </cfRule>
  </conditionalFormatting>
  <conditionalFormatting sqref="H95">
    <cfRule type="expression" dxfId="265" priority="266" stopIfTrue="1">
      <formula>$F95="無"</formula>
    </cfRule>
  </conditionalFormatting>
  <conditionalFormatting sqref="H95">
    <cfRule type="expression" dxfId="264" priority="265" stopIfTrue="1">
      <formula>$F95="無"</formula>
    </cfRule>
  </conditionalFormatting>
  <conditionalFormatting sqref="H95">
    <cfRule type="expression" dxfId="263" priority="264" stopIfTrue="1">
      <formula>$F95="無"</formula>
    </cfRule>
  </conditionalFormatting>
  <conditionalFormatting sqref="H95">
    <cfRule type="expression" dxfId="262" priority="263" stopIfTrue="1">
      <formula>$F95="無"</formula>
    </cfRule>
  </conditionalFormatting>
  <conditionalFormatting sqref="H95">
    <cfRule type="expression" dxfId="261" priority="262" stopIfTrue="1">
      <formula>$F95="無"</formula>
    </cfRule>
  </conditionalFormatting>
  <conditionalFormatting sqref="H95">
    <cfRule type="expression" dxfId="260" priority="261" stopIfTrue="1">
      <formula>$F95="無"</formula>
    </cfRule>
  </conditionalFormatting>
  <conditionalFormatting sqref="H95">
    <cfRule type="expression" dxfId="259" priority="260" stopIfTrue="1">
      <formula>$F95="無"</formula>
    </cfRule>
  </conditionalFormatting>
  <conditionalFormatting sqref="H95">
    <cfRule type="expression" dxfId="258" priority="259" stopIfTrue="1">
      <formula>$F95="無"</formula>
    </cfRule>
  </conditionalFormatting>
  <conditionalFormatting sqref="H95">
    <cfRule type="expression" dxfId="257" priority="258" stopIfTrue="1">
      <formula>$F95="無"</formula>
    </cfRule>
  </conditionalFormatting>
  <conditionalFormatting sqref="H95">
    <cfRule type="expression" dxfId="256" priority="257" stopIfTrue="1">
      <formula>$F95="無"</formula>
    </cfRule>
  </conditionalFormatting>
  <conditionalFormatting sqref="H95">
    <cfRule type="expression" dxfId="255" priority="256" stopIfTrue="1">
      <formula>$F95="無"</formula>
    </cfRule>
  </conditionalFormatting>
  <conditionalFormatting sqref="H95">
    <cfRule type="expression" dxfId="254" priority="255" stopIfTrue="1">
      <formula>$F95="無"</formula>
    </cfRule>
  </conditionalFormatting>
  <conditionalFormatting sqref="H95">
    <cfRule type="expression" dxfId="253" priority="254" stopIfTrue="1">
      <formula>$F95="無"</formula>
    </cfRule>
  </conditionalFormatting>
  <conditionalFormatting sqref="H95">
    <cfRule type="expression" dxfId="252" priority="253" stopIfTrue="1">
      <formula>$F95="無"</formula>
    </cfRule>
  </conditionalFormatting>
  <conditionalFormatting sqref="H95">
    <cfRule type="expression" dxfId="251" priority="252" stopIfTrue="1">
      <formula>$F95="無"</formula>
    </cfRule>
  </conditionalFormatting>
  <conditionalFormatting sqref="H95">
    <cfRule type="expression" dxfId="250" priority="251" stopIfTrue="1">
      <formula>$F95="無"</formula>
    </cfRule>
  </conditionalFormatting>
  <conditionalFormatting sqref="H95">
    <cfRule type="expression" dxfId="249" priority="250" stopIfTrue="1">
      <formula>$F95="無"</formula>
    </cfRule>
  </conditionalFormatting>
  <conditionalFormatting sqref="H95">
    <cfRule type="expression" dxfId="248" priority="249" stopIfTrue="1">
      <formula>$F95="無"</formula>
    </cfRule>
  </conditionalFormatting>
  <conditionalFormatting sqref="H95">
    <cfRule type="expression" dxfId="247" priority="248" stopIfTrue="1">
      <formula>$F95="無"</formula>
    </cfRule>
  </conditionalFormatting>
  <conditionalFormatting sqref="I95">
    <cfRule type="expression" dxfId="246" priority="247" stopIfTrue="1">
      <formula>$F95="無"</formula>
    </cfRule>
  </conditionalFormatting>
  <conditionalFormatting sqref="I95">
    <cfRule type="expression" dxfId="245" priority="246" stopIfTrue="1">
      <formula>$F95="無"</formula>
    </cfRule>
  </conditionalFormatting>
  <conditionalFormatting sqref="I95">
    <cfRule type="expression" dxfId="244" priority="245" stopIfTrue="1">
      <formula>$F95="無"</formula>
    </cfRule>
  </conditionalFormatting>
  <conditionalFormatting sqref="I95">
    <cfRule type="expression" dxfId="243" priority="244" stopIfTrue="1">
      <formula>$F95="無"</formula>
    </cfRule>
  </conditionalFormatting>
  <conditionalFormatting sqref="I95">
    <cfRule type="expression" dxfId="242" priority="243" stopIfTrue="1">
      <formula>$F95="無"</formula>
    </cfRule>
  </conditionalFormatting>
  <conditionalFormatting sqref="I95">
    <cfRule type="expression" dxfId="241" priority="242" stopIfTrue="1">
      <formula>$F95="無"</formula>
    </cfRule>
  </conditionalFormatting>
  <conditionalFormatting sqref="I95">
    <cfRule type="expression" dxfId="240" priority="241" stopIfTrue="1">
      <formula>$F95="無"</formula>
    </cfRule>
  </conditionalFormatting>
  <conditionalFormatting sqref="I95">
    <cfRule type="expression" dxfId="239" priority="240" stopIfTrue="1">
      <formula>$F95="無"</formula>
    </cfRule>
  </conditionalFormatting>
  <conditionalFormatting sqref="I95">
    <cfRule type="expression" dxfId="238" priority="239" stopIfTrue="1">
      <formula>$F95="無"</formula>
    </cfRule>
  </conditionalFormatting>
  <conditionalFormatting sqref="I95">
    <cfRule type="expression" dxfId="237" priority="238" stopIfTrue="1">
      <formula>$F95="無"</formula>
    </cfRule>
  </conditionalFormatting>
  <conditionalFormatting sqref="I95">
    <cfRule type="expression" dxfId="236" priority="237" stopIfTrue="1">
      <formula>$F95="無"</formula>
    </cfRule>
  </conditionalFormatting>
  <conditionalFormatting sqref="I95">
    <cfRule type="expression" dxfId="235" priority="236" stopIfTrue="1">
      <formula>$F95="無"</formula>
    </cfRule>
  </conditionalFormatting>
  <conditionalFormatting sqref="I95">
    <cfRule type="expression" dxfId="234" priority="235" stopIfTrue="1">
      <formula>$F95="無"</formula>
    </cfRule>
  </conditionalFormatting>
  <conditionalFormatting sqref="I95">
    <cfRule type="expression" dxfId="233" priority="234" stopIfTrue="1">
      <formula>$F95="無"</formula>
    </cfRule>
  </conditionalFormatting>
  <conditionalFormatting sqref="I95">
    <cfRule type="expression" dxfId="232" priority="233" stopIfTrue="1">
      <formula>$F95="無"</formula>
    </cfRule>
  </conditionalFormatting>
  <conditionalFormatting sqref="I95">
    <cfRule type="expression" dxfId="231" priority="232" stopIfTrue="1">
      <formula>$F95="無"</formula>
    </cfRule>
  </conditionalFormatting>
  <conditionalFormatting sqref="I95">
    <cfRule type="expression" dxfId="230" priority="231" stopIfTrue="1">
      <formula>$F95="無"</formula>
    </cfRule>
  </conditionalFormatting>
  <conditionalFormatting sqref="I95">
    <cfRule type="expression" dxfId="229" priority="230" stopIfTrue="1">
      <formula>$F95="無"</formula>
    </cfRule>
  </conditionalFormatting>
  <conditionalFormatting sqref="I95">
    <cfRule type="expression" dxfId="228" priority="229" stopIfTrue="1">
      <formula>$F95="無"</formula>
    </cfRule>
  </conditionalFormatting>
  <conditionalFormatting sqref="I95">
    <cfRule type="expression" dxfId="227" priority="228" stopIfTrue="1">
      <formula>$F95="無"</formula>
    </cfRule>
  </conditionalFormatting>
  <conditionalFormatting sqref="I95">
    <cfRule type="expression" dxfId="226" priority="227" stopIfTrue="1">
      <formula>$F95="無"</formula>
    </cfRule>
  </conditionalFormatting>
  <conditionalFormatting sqref="I95">
    <cfRule type="expression" dxfId="225" priority="226" stopIfTrue="1">
      <formula>$F95="無"</formula>
    </cfRule>
  </conditionalFormatting>
  <conditionalFormatting sqref="I95">
    <cfRule type="expression" dxfId="224" priority="225" stopIfTrue="1">
      <formula>$F95="無"</formula>
    </cfRule>
  </conditionalFormatting>
  <conditionalFormatting sqref="I95">
    <cfRule type="expression" dxfId="223" priority="224" stopIfTrue="1">
      <formula>$F95="無"</formula>
    </cfRule>
  </conditionalFormatting>
  <conditionalFormatting sqref="I95">
    <cfRule type="expression" dxfId="222" priority="223" stopIfTrue="1">
      <formula>$F95="無"</formula>
    </cfRule>
  </conditionalFormatting>
  <conditionalFormatting sqref="I95">
    <cfRule type="expression" dxfId="221" priority="222" stopIfTrue="1">
      <formula>$F95="無"</formula>
    </cfRule>
  </conditionalFormatting>
  <conditionalFormatting sqref="I95">
    <cfRule type="expression" dxfId="220" priority="221" stopIfTrue="1">
      <formula>$F95="無"</formula>
    </cfRule>
  </conditionalFormatting>
  <conditionalFormatting sqref="I95">
    <cfRule type="expression" dxfId="219" priority="220" stopIfTrue="1">
      <formula>$F95="無"</formula>
    </cfRule>
  </conditionalFormatting>
  <conditionalFormatting sqref="I95">
    <cfRule type="expression" dxfId="218" priority="219" stopIfTrue="1">
      <formula>$F95="無"</formula>
    </cfRule>
  </conditionalFormatting>
  <conditionalFormatting sqref="I95">
    <cfRule type="expression" dxfId="217" priority="218" stopIfTrue="1">
      <formula>$F95="無"</formula>
    </cfRule>
  </conditionalFormatting>
  <conditionalFormatting sqref="I95">
    <cfRule type="expression" dxfId="216" priority="217" stopIfTrue="1">
      <formula>$F95="無"</formula>
    </cfRule>
  </conditionalFormatting>
  <conditionalFormatting sqref="I95">
    <cfRule type="expression" dxfId="215" priority="216" stopIfTrue="1">
      <formula>$F95="無"</formula>
    </cfRule>
  </conditionalFormatting>
  <conditionalFormatting sqref="I95">
    <cfRule type="expression" dxfId="214" priority="215" stopIfTrue="1">
      <formula>$F95="無"</formula>
    </cfRule>
  </conditionalFormatting>
  <conditionalFormatting sqref="I95">
    <cfRule type="expression" dxfId="213" priority="214" stopIfTrue="1">
      <formula>$F95="無"</formula>
    </cfRule>
  </conditionalFormatting>
  <conditionalFormatting sqref="I95">
    <cfRule type="expression" dxfId="212" priority="213" stopIfTrue="1">
      <formula>$F95="無"</formula>
    </cfRule>
  </conditionalFormatting>
  <conditionalFormatting sqref="I95">
    <cfRule type="expression" dxfId="211" priority="212" stopIfTrue="1">
      <formula>$F95="無"</formula>
    </cfRule>
  </conditionalFormatting>
  <conditionalFormatting sqref="I95">
    <cfRule type="expression" dxfId="210" priority="211" stopIfTrue="1">
      <formula>$F95="無"</formula>
    </cfRule>
  </conditionalFormatting>
  <conditionalFormatting sqref="I95">
    <cfRule type="expression" dxfId="209" priority="210" stopIfTrue="1">
      <formula>$F95="無"</formula>
    </cfRule>
  </conditionalFormatting>
  <conditionalFormatting sqref="I95">
    <cfRule type="expression" dxfId="208" priority="209" stopIfTrue="1">
      <formula>$F95="無"</formula>
    </cfRule>
  </conditionalFormatting>
  <conditionalFormatting sqref="I95">
    <cfRule type="expression" dxfId="207" priority="208" stopIfTrue="1">
      <formula>$F95="無"</formula>
    </cfRule>
  </conditionalFormatting>
  <conditionalFormatting sqref="I95">
    <cfRule type="expression" dxfId="206" priority="207" stopIfTrue="1">
      <formula>$F95="無"</formula>
    </cfRule>
  </conditionalFormatting>
  <conditionalFormatting sqref="I95">
    <cfRule type="expression" dxfId="205" priority="206" stopIfTrue="1">
      <formula>$F95="無"</formula>
    </cfRule>
  </conditionalFormatting>
  <conditionalFormatting sqref="I95">
    <cfRule type="expression" dxfId="204" priority="205" stopIfTrue="1">
      <formula>$F95="無"</formula>
    </cfRule>
  </conditionalFormatting>
  <conditionalFormatting sqref="I95">
    <cfRule type="expression" dxfId="203" priority="204" stopIfTrue="1">
      <formula>$F95="無"</formula>
    </cfRule>
  </conditionalFormatting>
  <conditionalFormatting sqref="I95">
    <cfRule type="expression" dxfId="202" priority="203" stopIfTrue="1">
      <formula>$F95="無"</formula>
    </cfRule>
  </conditionalFormatting>
  <conditionalFormatting sqref="I95">
    <cfRule type="expression" dxfId="201" priority="202" stopIfTrue="1">
      <formula>$F95="無"</formula>
    </cfRule>
  </conditionalFormatting>
  <conditionalFormatting sqref="I95">
    <cfRule type="expression" dxfId="200" priority="201" stopIfTrue="1">
      <formula>$F95="無"</formula>
    </cfRule>
  </conditionalFormatting>
  <conditionalFormatting sqref="I95">
    <cfRule type="expression" dxfId="199" priority="200" stopIfTrue="1">
      <formula>$F95="無"</formula>
    </cfRule>
  </conditionalFormatting>
  <conditionalFormatting sqref="I95">
    <cfRule type="expression" dxfId="198" priority="199" stopIfTrue="1">
      <formula>$F95="無"</formula>
    </cfRule>
  </conditionalFormatting>
  <conditionalFormatting sqref="H113">
    <cfRule type="expression" dxfId="197" priority="198">
      <formula>$G113="▼ 選択"</formula>
    </cfRule>
  </conditionalFormatting>
  <conditionalFormatting sqref="H138:I140">
    <cfRule type="expression" dxfId="196" priority="197" stopIfTrue="1">
      <formula>$F138="無"</formula>
    </cfRule>
  </conditionalFormatting>
  <conditionalFormatting sqref="I138:I140">
    <cfRule type="expression" dxfId="195" priority="196" stopIfTrue="1">
      <formula>$F138="無"</formula>
    </cfRule>
  </conditionalFormatting>
  <conditionalFormatting sqref="I138:I140">
    <cfRule type="expression" dxfId="194" priority="195" stopIfTrue="1">
      <formula>$F138="無"</formula>
    </cfRule>
  </conditionalFormatting>
  <conditionalFormatting sqref="I138:I140">
    <cfRule type="expression" dxfId="193" priority="194" stopIfTrue="1">
      <formula>$F138="無"</formula>
    </cfRule>
  </conditionalFormatting>
  <conditionalFormatting sqref="H138:H140">
    <cfRule type="expression" dxfId="192" priority="193" stopIfTrue="1">
      <formula>$F138="無"</formula>
    </cfRule>
  </conditionalFormatting>
  <conditionalFormatting sqref="H138:H140">
    <cfRule type="expression" dxfId="191" priority="192" stopIfTrue="1">
      <formula>$F138="無"</formula>
    </cfRule>
  </conditionalFormatting>
  <conditionalFormatting sqref="H138:H140">
    <cfRule type="expression" dxfId="190" priority="191" stopIfTrue="1">
      <formula>$F138="無"</formula>
    </cfRule>
  </conditionalFormatting>
  <conditionalFormatting sqref="H146">
    <cfRule type="expression" dxfId="189" priority="190" stopIfTrue="1">
      <formula>$F146="無"</formula>
    </cfRule>
  </conditionalFormatting>
  <conditionalFormatting sqref="H146">
    <cfRule type="expression" dxfId="188" priority="189" stopIfTrue="1">
      <formula>$F146="無"</formula>
    </cfRule>
  </conditionalFormatting>
  <conditionalFormatting sqref="H146">
    <cfRule type="expression" dxfId="187" priority="188" stopIfTrue="1">
      <formula>$F146="無"</formula>
    </cfRule>
  </conditionalFormatting>
  <conditionalFormatting sqref="H146">
    <cfRule type="expression" dxfId="186" priority="187" stopIfTrue="1">
      <formula>$F146="無"</formula>
    </cfRule>
  </conditionalFormatting>
  <conditionalFormatting sqref="H71">
    <cfRule type="expression" dxfId="185" priority="186">
      <formula>$G71="▼ 選択"</formula>
    </cfRule>
  </conditionalFormatting>
  <conditionalFormatting sqref="H60">
    <cfRule type="expression" dxfId="184" priority="185">
      <formula>$G60="▼ 選択"</formula>
    </cfRule>
  </conditionalFormatting>
  <conditionalFormatting sqref="H130:H133">
    <cfRule type="expression" dxfId="183" priority="184" stopIfTrue="1">
      <formula>$F130="無"</formula>
    </cfRule>
  </conditionalFormatting>
  <conditionalFormatting sqref="H130:H133">
    <cfRule type="expression" dxfId="182" priority="183" stopIfTrue="1">
      <formula>$F130="無"</formula>
    </cfRule>
  </conditionalFormatting>
  <conditionalFormatting sqref="H130:H133">
    <cfRule type="expression" dxfId="181" priority="182" stopIfTrue="1">
      <formula>$F130="無"</formula>
    </cfRule>
  </conditionalFormatting>
  <conditionalFormatting sqref="H130:H133">
    <cfRule type="expression" dxfId="180" priority="181" stopIfTrue="1">
      <formula>$F130="無"</formula>
    </cfRule>
  </conditionalFormatting>
  <conditionalFormatting sqref="I146">
    <cfRule type="expression" dxfId="179" priority="180" stopIfTrue="1">
      <formula>$F146="無"</formula>
    </cfRule>
  </conditionalFormatting>
  <conditionalFormatting sqref="I146">
    <cfRule type="expression" dxfId="178" priority="179" stopIfTrue="1">
      <formula>$F146="無"</formula>
    </cfRule>
  </conditionalFormatting>
  <conditionalFormatting sqref="I146">
    <cfRule type="expression" dxfId="177" priority="178" stopIfTrue="1">
      <formula>$F146="無"</formula>
    </cfRule>
  </conditionalFormatting>
  <conditionalFormatting sqref="I146">
    <cfRule type="expression" dxfId="176" priority="177" stopIfTrue="1">
      <formula>$F146="無"</formula>
    </cfRule>
  </conditionalFormatting>
  <conditionalFormatting sqref="I146">
    <cfRule type="expression" dxfId="175" priority="176" stopIfTrue="1">
      <formula>$F146="無"</formula>
    </cfRule>
  </conditionalFormatting>
  <conditionalFormatting sqref="I146">
    <cfRule type="expression" dxfId="174" priority="175" stopIfTrue="1">
      <formula>$F146="無"</formula>
    </cfRule>
  </conditionalFormatting>
  <conditionalFormatting sqref="I146">
    <cfRule type="expression" dxfId="173" priority="174" stopIfTrue="1">
      <formula>$F146="無"</formula>
    </cfRule>
  </conditionalFormatting>
  <conditionalFormatting sqref="I146">
    <cfRule type="expression" dxfId="172" priority="173" stopIfTrue="1">
      <formula>$F146="無"</formula>
    </cfRule>
  </conditionalFormatting>
  <conditionalFormatting sqref="I146">
    <cfRule type="expression" dxfId="171" priority="172" stopIfTrue="1">
      <formula>$F146="無"</formula>
    </cfRule>
  </conditionalFormatting>
  <conditionalFormatting sqref="I146">
    <cfRule type="expression" dxfId="170" priority="171" stopIfTrue="1">
      <formula>$F146="無"</formula>
    </cfRule>
  </conditionalFormatting>
  <conditionalFormatting sqref="I146">
    <cfRule type="expression" dxfId="169" priority="170" stopIfTrue="1">
      <formula>$F146="無"</formula>
    </cfRule>
  </conditionalFormatting>
  <conditionalFormatting sqref="I146">
    <cfRule type="expression" dxfId="168" priority="169" stopIfTrue="1">
      <formula>$F146="無"</formula>
    </cfRule>
  </conditionalFormatting>
  <conditionalFormatting sqref="I146">
    <cfRule type="expression" dxfId="167" priority="168" stopIfTrue="1">
      <formula>$F146="無"</formula>
    </cfRule>
  </conditionalFormatting>
  <conditionalFormatting sqref="I146">
    <cfRule type="expression" dxfId="166" priority="167" stopIfTrue="1">
      <formula>$F146="無"</formula>
    </cfRule>
  </conditionalFormatting>
  <conditionalFormatting sqref="I146">
    <cfRule type="expression" dxfId="165" priority="166" stopIfTrue="1">
      <formula>$F146="無"</formula>
    </cfRule>
  </conditionalFormatting>
  <conditionalFormatting sqref="I146">
    <cfRule type="expression" dxfId="164" priority="165" stopIfTrue="1">
      <formula>$F146="無"</formula>
    </cfRule>
  </conditionalFormatting>
  <conditionalFormatting sqref="I146">
    <cfRule type="expression" dxfId="163" priority="164" stopIfTrue="1">
      <formula>$F146="無"</formula>
    </cfRule>
  </conditionalFormatting>
  <conditionalFormatting sqref="I146">
    <cfRule type="expression" dxfId="162" priority="163" stopIfTrue="1">
      <formula>$F146="無"</formula>
    </cfRule>
  </conditionalFormatting>
  <conditionalFormatting sqref="I146">
    <cfRule type="expression" dxfId="161" priority="162" stopIfTrue="1">
      <formula>$F146="無"</formula>
    </cfRule>
  </conditionalFormatting>
  <conditionalFormatting sqref="I146">
    <cfRule type="expression" dxfId="160" priority="161" stopIfTrue="1">
      <formula>$F146="無"</formula>
    </cfRule>
  </conditionalFormatting>
  <conditionalFormatting sqref="I146">
    <cfRule type="expression" dxfId="159" priority="160" stopIfTrue="1">
      <formula>$F146="無"</formula>
    </cfRule>
  </conditionalFormatting>
  <conditionalFormatting sqref="I146">
    <cfRule type="expression" dxfId="158" priority="159" stopIfTrue="1">
      <formula>$F146="無"</formula>
    </cfRule>
  </conditionalFormatting>
  <conditionalFormatting sqref="I146">
    <cfRule type="expression" dxfId="157" priority="158" stopIfTrue="1">
      <formula>$F146="無"</formula>
    </cfRule>
  </conditionalFormatting>
  <conditionalFormatting sqref="I146">
    <cfRule type="expression" dxfId="156" priority="157" stopIfTrue="1">
      <formula>$F146="無"</formula>
    </cfRule>
  </conditionalFormatting>
  <conditionalFormatting sqref="I146">
    <cfRule type="expression" dxfId="155" priority="156" stopIfTrue="1">
      <formula>$F146="無"</formula>
    </cfRule>
  </conditionalFormatting>
  <conditionalFormatting sqref="I146">
    <cfRule type="expression" dxfId="154" priority="155" stopIfTrue="1">
      <formula>$F146="無"</formula>
    </cfRule>
  </conditionalFormatting>
  <conditionalFormatting sqref="I146">
    <cfRule type="expression" dxfId="153" priority="154" stopIfTrue="1">
      <formula>$F146="無"</formula>
    </cfRule>
  </conditionalFormatting>
  <conditionalFormatting sqref="I146">
    <cfRule type="expression" dxfId="152" priority="153" stopIfTrue="1">
      <formula>$F146="無"</formula>
    </cfRule>
  </conditionalFormatting>
  <conditionalFormatting sqref="I146">
    <cfRule type="expression" dxfId="151" priority="152" stopIfTrue="1">
      <formula>$F146="無"</formula>
    </cfRule>
  </conditionalFormatting>
  <conditionalFormatting sqref="I146">
    <cfRule type="expression" dxfId="150" priority="151" stopIfTrue="1">
      <formula>$F146="無"</formula>
    </cfRule>
  </conditionalFormatting>
  <conditionalFormatting sqref="I130">
    <cfRule type="expression" dxfId="149" priority="150" stopIfTrue="1">
      <formula>$F130="無"</formula>
    </cfRule>
  </conditionalFormatting>
  <conditionalFormatting sqref="I130">
    <cfRule type="expression" dxfId="148" priority="149" stopIfTrue="1">
      <formula>$F130="無"</formula>
    </cfRule>
  </conditionalFormatting>
  <conditionalFormatting sqref="I130">
    <cfRule type="expression" dxfId="147" priority="148" stopIfTrue="1">
      <formula>$F130="無"</formula>
    </cfRule>
  </conditionalFormatting>
  <conditionalFormatting sqref="I130">
    <cfRule type="expression" dxfId="146" priority="147" stopIfTrue="1">
      <formula>$F130="無"</formula>
    </cfRule>
  </conditionalFormatting>
  <conditionalFormatting sqref="I130">
    <cfRule type="expression" dxfId="145" priority="146" stopIfTrue="1">
      <formula>$F130="無"</formula>
    </cfRule>
  </conditionalFormatting>
  <conditionalFormatting sqref="I130">
    <cfRule type="expression" dxfId="144" priority="145" stopIfTrue="1">
      <formula>$F130="無"</formula>
    </cfRule>
  </conditionalFormatting>
  <conditionalFormatting sqref="I130">
    <cfRule type="expression" dxfId="143" priority="144" stopIfTrue="1">
      <formula>$F130="無"</formula>
    </cfRule>
  </conditionalFormatting>
  <conditionalFormatting sqref="I130">
    <cfRule type="expression" dxfId="142" priority="143" stopIfTrue="1">
      <formula>$F130="無"</formula>
    </cfRule>
  </conditionalFormatting>
  <conditionalFormatting sqref="I130">
    <cfRule type="expression" dxfId="141" priority="142" stopIfTrue="1">
      <formula>$F130="無"</formula>
    </cfRule>
  </conditionalFormatting>
  <conditionalFormatting sqref="I130">
    <cfRule type="expression" dxfId="140" priority="141" stopIfTrue="1">
      <formula>$F130="無"</formula>
    </cfRule>
  </conditionalFormatting>
  <conditionalFormatting sqref="I130">
    <cfRule type="expression" dxfId="139" priority="140" stopIfTrue="1">
      <formula>$F130="無"</formula>
    </cfRule>
  </conditionalFormatting>
  <conditionalFormatting sqref="I130">
    <cfRule type="expression" dxfId="138" priority="139" stopIfTrue="1">
      <formula>$F130="無"</formula>
    </cfRule>
  </conditionalFormatting>
  <conditionalFormatting sqref="I130">
    <cfRule type="expression" dxfId="137" priority="138" stopIfTrue="1">
      <formula>$F130="無"</formula>
    </cfRule>
  </conditionalFormatting>
  <conditionalFormatting sqref="I130">
    <cfRule type="expression" dxfId="136" priority="137" stopIfTrue="1">
      <formula>$F130="無"</formula>
    </cfRule>
  </conditionalFormatting>
  <conditionalFormatting sqref="I130">
    <cfRule type="expression" dxfId="135" priority="136" stopIfTrue="1">
      <formula>$F130="無"</formula>
    </cfRule>
  </conditionalFormatting>
  <conditionalFormatting sqref="I130">
    <cfRule type="expression" dxfId="134" priority="135" stopIfTrue="1">
      <formula>$F130="無"</formula>
    </cfRule>
  </conditionalFormatting>
  <conditionalFormatting sqref="I130">
    <cfRule type="expression" dxfId="133" priority="134" stopIfTrue="1">
      <formula>$F130="無"</formula>
    </cfRule>
  </conditionalFormatting>
  <conditionalFormatting sqref="I130">
    <cfRule type="expression" dxfId="132" priority="133" stopIfTrue="1">
      <formula>$F130="無"</formula>
    </cfRule>
  </conditionalFormatting>
  <conditionalFormatting sqref="I130">
    <cfRule type="expression" dxfId="131" priority="132" stopIfTrue="1">
      <formula>$F130="無"</formula>
    </cfRule>
  </conditionalFormatting>
  <conditionalFormatting sqref="I130">
    <cfRule type="expression" dxfId="130" priority="131" stopIfTrue="1">
      <formula>$F130="無"</formula>
    </cfRule>
  </conditionalFormatting>
  <conditionalFormatting sqref="I130">
    <cfRule type="expression" dxfId="129" priority="130" stopIfTrue="1">
      <formula>$F130="無"</formula>
    </cfRule>
  </conditionalFormatting>
  <conditionalFormatting sqref="I130">
    <cfRule type="expression" dxfId="128" priority="129" stopIfTrue="1">
      <formula>$F130="無"</formula>
    </cfRule>
  </conditionalFormatting>
  <conditionalFormatting sqref="I130">
    <cfRule type="expression" dxfId="127" priority="128" stopIfTrue="1">
      <formula>$F130="無"</formula>
    </cfRule>
  </conditionalFormatting>
  <conditionalFormatting sqref="I130">
    <cfRule type="expression" dxfId="126" priority="127" stopIfTrue="1">
      <formula>$F130="無"</formula>
    </cfRule>
  </conditionalFormatting>
  <conditionalFormatting sqref="I130">
    <cfRule type="expression" dxfId="125" priority="126" stopIfTrue="1">
      <formula>$F130="無"</formula>
    </cfRule>
  </conditionalFormatting>
  <conditionalFormatting sqref="I130">
    <cfRule type="expression" dxfId="124" priority="125" stopIfTrue="1">
      <formula>$F130="無"</formula>
    </cfRule>
  </conditionalFormatting>
  <conditionalFormatting sqref="I130">
    <cfRule type="expression" dxfId="123" priority="124" stopIfTrue="1">
      <formula>$F130="無"</formula>
    </cfRule>
  </conditionalFormatting>
  <conditionalFormatting sqref="I130">
    <cfRule type="expression" dxfId="122" priority="123" stopIfTrue="1">
      <formula>$F130="無"</formula>
    </cfRule>
  </conditionalFormatting>
  <conditionalFormatting sqref="I130">
    <cfRule type="expression" dxfId="121" priority="122" stopIfTrue="1">
      <formula>$F130="無"</formula>
    </cfRule>
  </conditionalFormatting>
  <conditionalFormatting sqref="I130">
    <cfRule type="expression" dxfId="120" priority="121" stopIfTrue="1">
      <formula>$F130="無"</formula>
    </cfRule>
  </conditionalFormatting>
  <conditionalFormatting sqref="I131">
    <cfRule type="expression" dxfId="119" priority="120" stopIfTrue="1">
      <formula>$F131="無"</formula>
    </cfRule>
  </conditionalFormatting>
  <conditionalFormatting sqref="I131">
    <cfRule type="expression" dxfId="118" priority="119" stopIfTrue="1">
      <formula>$F131="無"</formula>
    </cfRule>
  </conditionalFormatting>
  <conditionalFormatting sqref="I131">
    <cfRule type="expression" dxfId="117" priority="118" stopIfTrue="1">
      <formula>$F131="無"</formula>
    </cfRule>
  </conditionalFormatting>
  <conditionalFormatting sqref="I131">
    <cfRule type="expression" dxfId="116" priority="117" stopIfTrue="1">
      <formula>$F131="無"</formula>
    </cfRule>
  </conditionalFormatting>
  <conditionalFormatting sqref="I131">
    <cfRule type="expression" dxfId="115" priority="116" stopIfTrue="1">
      <formula>$F131="無"</formula>
    </cfRule>
  </conditionalFormatting>
  <conditionalFormatting sqref="I131">
    <cfRule type="expression" dxfId="114" priority="115" stopIfTrue="1">
      <formula>$F131="無"</formula>
    </cfRule>
  </conditionalFormatting>
  <conditionalFormatting sqref="I131">
    <cfRule type="expression" dxfId="113" priority="114" stopIfTrue="1">
      <formula>$F131="無"</formula>
    </cfRule>
  </conditionalFormatting>
  <conditionalFormatting sqref="I131">
    <cfRule type="expression" dxfId="112" priority="113" stopIfTrue="1">
      <formula>$F131="無"</formula>
    </cfRule>
  </conditionalFormatting>
  <conditionalFormatting sqref="I131">
    <cfRule type="expression" dxfId="111" priority="112" stopIfTrue="1">
      <formula>$F131="無"</formula>
    </cfRule>
  </conditionalFormatting>
  <conditionalFormatting sqref="I131">
    <cfRule type="expression" dxfId="110" priority="111" stopIfTrue="1">
      <formula>$F131="無"</formula>
    </cfRule>
  </conditionalFormatting>
  <conditionalFormatting sqref="I131">
    <cfRule type="expression" dxfId="109" priority="110" stopIfTrue="1">
      <formula>$F131="無"</formula>
    </cfRule>
  </conditionalFormatting>
  <conditionalFormatting sqref="I131">
    <cfRule type="expression" dxfId="108" priority="109" stopIfTrue="1">
      <formula>$F131="無"</formula>
    </cfRule>
  </conditionalFormatting>
  <conditionalFormatting sqref="I131">
    <cfRule type="expression" dxfId="107" priority="108" stopIfTrue="1">
      <formula>$F131="無"</formula>
    </cfRule>
  </conditionalFormatting>
  <conditionalFormatting sqref="I131">
    <cfRule type="expression" dxfId="106" priority="107" stopIfTrue="1">
      <formula>$F131="無"</formula>
    </cfRule>
  </conditionalFormatting>
  <conditionalFormatting sqref="I131">
    <cfRule type="expression" dxfId="105" priority="106" stopIfTrue="1">
      <formula>$F131="無"</formula>
    </cfRule>
  </conditionalFormatting>
  <conditionalFormatting sqref="I131">
    <cfRule type="expression" dxfId="104" priority="105" stopIfTrue="1">
      <formula>$F131="無"</formula>
    </cfRule>
  </conditionalFormatting>
  <conditionalFormatting sqref="I131">
    <cfRule type="expression" dxfId="103" priority="104" stopIfTrue="1">
      <formula>$F131="無"</formula>
    </cfRule>
  </conditionalFormatting>
  <conditionalFormatting sqref="I131">
    <cfRule type="expression" dxfId="102" priority="103" stopIfTrue="1">
      <formula>$F131="無"</formula>
    </cfRule>
  </conditionalFormatting>
  <conditionalFormatting sqref="I131">
    <cfRule type="expression" dxfId="101" priority="102" stopIfTrue="1">
      <formula>$F131="無"</formula>
    </cfRule>
  </conditionalFormatting>
  <conditionalFormatting sqref="I131">
    <cfRule type="expression" dxfId="100" priority="101" stopIfTrue="1">
      <formula>$F131="無"</formula>
    </cfRule>
  </conditionalFormatting>
  <conditionalFormatting sqref="I131">
    <cfRule type="expression" dxfId="99" priority="100" stopIfTrue="1">
      <formula>$F131="無"</formula>
    </cfRule>
  </conditionalFormatting>
  <conditionalFormatting sqref="I131">
    <cfRule type="expression" dxfId="98" priority="99" stopIfTrue="1">
      <formula>$F131="無"</formula>
    </cfRule>
  </conditionalFormatting>
  <conditionalFormatting sqref="I131">
    <cfRule type="expression" dxfId="97" priority="98" stopIfTrue="1">
      <formula>$F131="無"</formula>
    </cfRule>
  </conditionalFormatting>
  <conditionalFormatting sqref="I131">
    <cfRule type="expression" dxfId="96" priority="97" stopIfTrue="1">
      <formula>$F131="無"</formula>
    </cfRule>
  </conditionalFormatting>
  <conditionalFormatting sqref="I131">
    <cfRule type="expression" dxfId="95" priority="96" stopIfTrue="1">
      <formula>$F131="無"</formula>
    </cfRule>
  </conditionalFormatting>
  <conditionalFormatting sqref="I131">
    <cfRule type="expression" dxfId="94" priority="95" stopIfTrue="1">
      <formula>$F131="無"</formula>
    </cfRule>
  </conditionalFormatting>
  <conditionalFormatting sqref="I131">
    <cfRule type="expression" dxfId="93" priority="94" stopIfTrue="1">
      <formula>$F131="無"</formula>
    </cfRule>
  </conditionalFormatting>
  <conditionalFormatting sqref="I131">
    <cfRule type="expression" dxfId="92" priority="93" stopIfTrue="1">
      <formula>$F131="無"</formula>
    </cfRule>
  </conditionalFormatting>
  <conditionalFormatting sqref="I131">
    <cfRule type="expression" dxfId="91" priority="92" stopIfTrue="1">
      <formula>$F131="無"</formula>
    </cfRule>
  </conditionalFormatting>
  <conditionalFormatting sqref="I131">
    <cfRule type="expression" dxfId="90" priority="91" stopIfTrue="1">
      <formula>$F131="無"</formula>
    </cfRule>
  </conditionalFormatting>
  <conditionalFormatting sqref="I132">
    <cfRule type="expression" dxfId="89" priority="90" stopIfTrue="1">
      <formula>$F132="無"</formula>
    </cfRule>
  </conditionalFormatting>
  <conditionalFormatting sqref="I132">
    <cfRule type="expression" dxfId="88" priority="89" stopIfTrue="1">
      <formula>$F132="無"</formula>
    </cfRule>
  </conditionalFormatting>
  <conditionalFormatting sqref="I132">
    <cfRule type="expression" dxfId="87" priority="88" stopIfTrue="1">
      <formula>$F132="無"</formula>
    </cfRule>
  </conditionalFormatting>
  <conditionalFormatting sqref="I132">
    <cfRule type="expression" dxfId="86" priority="87" stopIfTrue="1">
      <formula>$F132="無"</formula>
    </cfRule>
  </conditionalFormatting>
  <conditionalFormatting sqref="I132">
    <cfRule type="expression" dxfId="85" priority="86" stopIfTrue="1">
      <formula>$F132="無"</formula>
    </cfRule>
  </conditionalFormatting>
  <conditionalFormatting sqref="I132">
    <cfRule type="expression" dxfId="84" priority="85" stopIfTrue="1">
      <formula>$F132="無"</formula>
    </cfRule>
  </conditionalFormatting>
  <conditionalFormatting sqref="I132">
    <cfRule type="expression" dxfId="83" priority="84" stopIfTrue="1">
      <formula>$F132="無"</formula>
    </cfRule>
  </conditionalFormatting>
  <conditionalFormatting sqref="I132">
    <cfRule type="expression" dxfId="82" priority="83" stopIfTrue="1">
      <formula>$F132="無"</formula>
    </cfRule>
  </conditionalFormatting>
  <conditionalFormatting sqref="I132">
    <cfRule type="expression" dxfId="81" priority="82" stopIfTrue="1">
      <formula>$F132="無"</formula>
    </cfRule>
  </conditionalFormatting>
  <conditionalFormatting sqref="I132">
    <cfRule type="expression" dxfId="80" priority="81" stopIfTrue="1">
      <formula>$F132="無"</formula>
    </cfRule>
  </conditionalFormatting>
  <conditionalFormatting sqref="I132">
    <cfRule type="expression" dxfId="79" priority="80" stopIfTrue="1">
      <formula>$F132="無"</formula>
    </cfRule>
  </conditionalFormatting>
  <conditionalFormatting sqref="I132">
    <cfRule type="expression" dxfId="78" priority="79" stopIfTrue="1">
      <formula>$F132="無"</formula>
    </cfRule>
  </conditionalFormatting>
  <conditionalFormatting sqref="I132">
    <cfRule type="expression" dxfId="77" priority="78" stopIfTrue="1">
      <formula>$F132="無"</formula>
    </cfRule>
  </conditionalFormatting>
  <conditionalFormatting sqref="I132">
    <cfRule type="expression" dxfId="76" priority="77" stopIfTrue="1">
      <formula>$F132="無"</formula>
    </cfRule>
  </conditionalFormatting>
  <conditionalFormatting sqref="I132">
    <cfRule type="expression" dxfId="75" priority="76" stopIfTrue="1">
      <formula>$F132="無"</formula>
    </cfRule>
  </conditionalFormatting>
  <conditionalFormatting sqref="I132">
    <cfRule type="expression" dxfId="74" priority="75" stopIfTrue="1">
      <formula>$F132="無"</formula>
    </cfRule>
  </conditionalFormatting>
  <conditionalFormatting sqref="I132">
    <cfRule type="expression" dxfId="73" priority="74" stopIfTrue="1">
      <formula>$F132="無"</formula>
    </cfRule>
  </conditionalFormatting>
  <conditionalFormatting sqref="I132">
    <cfRule type="expression" dxfId="72" priority="73" stopIfTrue="1">
      <formula>$F132="無"</formula>
    </cfRule>
  </conditionalFormatting>
  <conditionalFormatting sqref="I132">
    <cfRule type="expression" dxfId="71" priority="72" stopIfTrue="1">
      <formula>$F132="無"</formula>
    </cfRule>
  </conditionalFormatting>
  <conditionalFormatting sqref="I132">
    <cfRule type="expression" dxfId="70" priority="71" stopIfTrue="1">
      <formula>$F132="無"</formula>
    </cfRule>
  </conditionalFormatting>
  <conditionalFormatting sqref="I132">
    <cfRule type="expression" dxfId="69" priority="70" stopIfTrue="1">
      <formula>$F132="無"</formula>
    </cfRule>
  </conditionalFormatting>
  <conditionalFormatting sqref="I132">
    <cfRule type="expression" dxfId="68" priority="69" stopIfTrue="1">
      <formula>$F132="無"</formula>
    </cfRule>
  </conditionalFormatting>
  <conditionalFormatting sqref="I132">
    <cfRule type="expression" dxfId="67" priority="68" stopIfTrue="1">
      <formula>$F132="無"</formula>
    </cfRule>
  </conditionalFormatting>
  <conditionalFormatting sqref="I132">
    <cfRule type="expression" dxfId="66" priority="67" stopIfTrue="1">
      <formula>$F132="無"</formula>
    </cfRule>
  </conditionalFormatting>
  <conditionalFormatting sqref="I132">
    <cfRule type="expression" dxfId="65" priority="66" stopIfTrue="1">
      <formula>$F132="無"</formula>
    </cfRule>
  </conditionalFormatting>
  <conditionalFormatting sqref="I132">
    <cfRule type="expression" dxfId="64" priority="65" stopIfTrue="1">
      <formula>$F132="無"</formula>
    </cfRule>
  </conditionalFormatting>
  <conditionalFormatting sqref="I132">
    <cfRule type="expression" dxfId="63" priority="64" stopIfTrue="1">
      <formula>$F132="無"</formula>
    </cfRule>
  </conditionalFormatting>
  <conditionalFormatting sqref="I132">
    <cfRule type="expression" dxfId="62" priority="63" stopIfTrue="1">
      <formula>$F132="無"</formula>
    </cfRule>
  </conditionalFormatting>
  <conditionalFormatting sqref="I132">
    <cfRule type="expression" dxfId="61" priority="62" stopIfTrue="1">
      <formula>$F132="無"</formula>
    </cfRule>
  </conditionalFormatting>
  <conditionalFormatting sqref="I132">
    <cfRule type="expression" dxfId="60" priority="61" stopIfTrue="1">
      <formula>$F132="無"</formula>
    </cfRule>
  </conditionalFormatting>
  <conditionalFormatting sqref="I133">
    <cfRule type="expression" dxfId="59" priority="60" stopIfTrue="1">
      <formula>$F133="無"</formula>
    </cfRule>
  </conditionalFormatting>
  <conditionalFormatting sqref="I133">
    <cfRule type="expression" dxfId="58" priority="59" stopIfTrue="1">
      <formula>$F133="無"</formula>
    </cfRule>
  </conditionalFormatting>
  <conditionalFormatting sqref="I133">
    <cfRule type="expression" dxfId="57" priority="58" stopIfTrue="1">
      <formula>$F133="無"</formula>
    </cfRule>
  </conditionalFormatting>
  <conditionalFormatting sqref="I133">
    <cfRule type="expression" dxfId="56" priority="57" stopIfTrue="1">
      <formula>$F133="無"</formula>
    </cfRule>
  </conditionalFormatting>
  <conditionalFormatting sqref="I133">
    <cfRule type="expression" dxfId="55" priority="56" stopIfTrue="1">
      <formula>$F133="無"</formula>
    </cfRule>
  </conditionalFormatting>
  <conditionalFormatting sqref="I133">
    <cfRule type="expression" dxfId="54" priority="55" stopIfTrue="1">
      <formula>$F133="無"</formula>
    </cfRule>
  </conditionalFormatting>
  <conditionalFormatting sqref="I133">
    <cfRule type="expression" dxfId="53" priority="54" stopIfTrue="1">
      <formula>$F133="無"</formula>
    </cfRule>
  </conditionalFormatting>
  <conditionalFormatting sqref="I133">
    <cfRule type="expression" dxfId="52" priority="53" stopIfTrue="1">
      <formula>$F133="無"</formula>
    </cfRule>
  </conditionalFormatting>
  <conditionalFormatting sqref="I133">
    <cfRule type="expression" dxfId="51" priority="52" stopIfTrue="1">
      <formula>$F133="無"</formula>
    </cfRule>
  </conditionalFormatting>
  <conditionalFormatting sqref="I133">
    <cfRule type="expression" dxfId="50" priority="51" stopIfTrue="1">
      <formula>$F133="無"</formula>
    </cfRule>
  </conditionalFormatting>
  <conditionalFormatting sqref="I133">
    <cfRule type="expression" dxfId="49" priority="50" stopIfTrue="1">
      <formula>$F133="無"</formula>
    </cfRule>
  </conditionalFormatting>
  <conditionalFormatting sqref="I133">
    <cfRule type="expression" dxfId="48" priority="49" stopIfTrue="1">
      <formula>$F133="無"</formula>
    </cfRule>
  </conditionalFormatting>
  <conditionalFormatting sqref="I133">
    <cfRule type="expression" dxfId="47" priority="48" stopIfTrue="1">
      <formula>$F133="無"</formula>
    </cfRule>
  </conditionalFormatting>
  <conditionalFormatting sqref="I133">
    <cfRule type="expression" dxfId="46" priority="47" stopIfTrue="1">
      <formula>$F133="無"</formula>
    </cfRule>
  </conditionalFormatting>
  <conditionalFormatting sqref="I133">
    <cfRule type="expression" dxfId="45" priority="46" stopIfTrue="1">
      <formula>$F133="無"</formula>
    </cfRule>
  </conditionalFormatting>
  <conditionalFormatting sqref="I133">
    <cfRule type="expression" dxfId="44" priority="45" stopIfTrue="1">
      <formula>$F133="無"</formula>
    </cfRule>
  </conditionalFormatting>
  <conditionalFormatting sqref="I133">
    <cfRule type="expression" dxfId="43" priority="44" stopIfTrue="1">
      <formula>$F133="無"</formula>
    </cfRule>
  </conditionalFormatting>
  <conditionalFormatting sqref="I133">
    <cfRule type="expression" dxfId="42" priority="43" stopIfTrue="1">
      <formula>$F133="無"</formula>
    </cfRule>
  </conditionalFormatting>
  <conditionalFormatting sqref="I133">
    <cfRule type="expression" dxfId="41" priority="42" stopIfTrue="1">
      <formula>$F133="無"</formula>
    </cfRule>
  </conditionalFormatting>
  <conditionalFormatting sqref="I133">
    <cfRule type="expression" dxfId="40" priority="41" stopIfTrue="1">
      <formula>$F133="無"</formula>
    </cfRule>
  </conditionalFormatting>
  <conditionalFormatting sqref="I133">
    <cfRule type="expression" dxfId="39" priority="40" stopIfTrue="1">
      <formula>$F133="無"</formula>
    </cfRule>
  </conditionalFormatting>
  <conditionalFormatting sqref="I133">
    <cfRule type="expression" dxfId="38" priority="39" stopIfTrue="1">
      <formula>$F133="無"</formula>
    </cfRule>
  </conditionalFormatting>
  <conditionalFormatting sqref="I133">
    <cfRule type="expression" dxfId="37" priority="38" stopIfTrue="1">
      <formula>$F133="無"</formula>
    </cfRule>
  </conditionalFormatting>
  <conditionalFormatting sqref="I133">
    <cfRule type="expression" dxfId="36" priority="37" stopIfTrue="1">
      <formula>$F133="無"</formula>
    </cfRule>
  </conditionalFormatting>
  <conditionalFormatting sqref="I133">
    <cfRule type="expression" dxfId="35" priority="36" stopIfTrue="1">
      <formula>$F133="無"</formula>
    </cfRule>
  </conditionalFormatting>
  <conditionalFormatting sqref="I133">
    <cfRule type="expression" dxfId="34" priority="35" stopIfTrue="1">
      <formula>$F133="無"</formula>
    </cfRule>
  </conditionalFormatting>
  <conditionalFormatting sqref="I133">
    <cfRule type="expression" dxfId="33" priority="34" stopIfTrue="1">
      <formula>$F133="無"</formula>
    </cfRule>
  </conditionalFormatting>
  <conditionalFormatting sqref="I133">
    <cfRule type="expression" dxfId="32" priority="33" stopIfTrue="1">
      <formula>$F133="無"</formula>
    </cfRule>
  </conditionalFormatting>
  <conditionalFormatting sqref="I133">
    <cfRule type="expression" dxfId="31" priority="32" stopIfTrue="1">
      <formula>$F133="無"</formula>
    </cfRule>
  </conditionalFormatting>
  <conditionalFormatting sqref="I133">
    <cfRule type="expression" dxfId="30" priority="31" stopIfTrue="1">
      <formula>$F133="無"</formula>
    </cfRule>
  </conditionalFormatting>
  <conditionalFormatting sqref="I129">
    <cfRule type="expression" dxfId="29" priority="30" stopIfTrue="1">
      <formula>$F129="無"</formula>
    </cfRule>
  </conditionalFormatting>
  <conditionalFormatting sqref="I129">
    <cfRule type="expression" dxfId="28" priority="29" stopIfTrue="1">
      <formula>$F129="無"</formula>
    </cfRule>
  </conditionalFormatting>
  <conditionalFormatting sqref="I129">
    <cfRule type="expression" dxfId="27" priority="28" stopIfTrue="1">
      <formula>$F129="無"</formula>
    </cfRule>
  </conditionalFormatting>
  <conditionalFormatting sqref="I129">
    <cfRule type="expression" dxfId="26" priority="27" stopIfTrue="1">
      <formula>$F129="無"</formula>
    </cfRule>
  </conditionalFormatting>
  <conditionalFormatting sqref="I129">
    <cfRule type="expression" dxfId="25" priority="26" stopIfTrue="1">
      <formula>$F129="無"</formula>
    </cfRule>
  </conditionalFormatting>
  <conditionalFormatting sqref="I129">
    <cfRule type="expression" dxfId="24" priority="25" stopIfTrue="1">
      <formula>$F129="無"</formula>
    </cfRule>
  </conditionalFormatting>
  <conditionalFormatting sqref="I129">
    <cfRule type="expression" dxfId="23" priority="24" stopIfTrue="1">
      <formula>$F129="無"</formula>
    </cfRule>
  </conditionalFormatting>
  <conditionalFormatting sqref="I129">
    <cfRule type="expression" dxfId="22" priority="23" stopIfTrue="1">
      <formula>$F129="無"</formula>
    </cfRule>
  </conditionalFormatting>
  <conditionalFormatting sqref="I129">
    <cfRule type="expression" dxfId="21" priority="22" stopIfTrue="1">
      <formula>$F129="無"</formula>
    </cfRule>
  </conditionalFormatting>
  <conditionalFormatting sqref="I129">
    <cfRule type="expression" dxfId="20" priority="21" stopIfTrue="1">
      <formula>$F129="無"</formula>
    </cfRule>
  </conditionalFormatting>
  <conditionalFormatting sqref="I129">
    <cfRule type="expression" dxfId="19" priority="20" stopIfTrue="1">
      <formula>$F129="無"</formula>
    </cfRule>
  </conditionalFormatting>
  <conditionalFormatting sqref="I129">
    <cfRule type="expression" dxfId="18" priority="19" stopIfTrue="1">
      <formula>$F129="無"</formula>
    </cfRule>
  </conditionalFormatting>
  <conditionalFormatting sqref="I129">
    <cfRule type="expression" dxfId="17" priority="18" stopIfTrue="1">
      <formula>$F129="無"</formula>
    </cfRule>
  </conditionalFormatting>
  <conditionalFormatting sqref="I129">
    <cfRule type="expression" dxfId="16" priority="17" stopIfTrue="1">
      <formula>$F129="無"</formula>
    </cfRule>
  </conditionalFormatting>
  <conditionalFormatting sqref="I129">
    <cfRule type="expression" dxfId="15" priority="16" stopIfTrue="1">
      <formula>$F129="無"</formula>
    </cfRule>
  </conditionalFormatting>
  <conditionalFormatting sqref="I129">
    <cfRule type="expression" dxfId="14" priority="15" stopIfTrue="1">
      <formula>$F129="無"</formula>
    </cfRule>
  </conditionalFormatting>
  <conditionalFormatting sqref="I129">
    <cfRule type="expression" dxfId="13" priority="14" stopIfTrue="1">
      <formula>$F129="無"</formula>
    </cfRule>
  </conditionalFormatting>
  <conditionalFormatting sqref="I129">
    <cfRule type="expression" dxfId="12" priority="13" stopIfTrue="1">
      <formula>$F129="無"</formula>
    </cfRule>
  </conditionalFormatting>
  <conditionalFormatting sqref="I129">
    <cfRule type="expression" dxfId="11" priority="12" stopIfTrue="1">
      <formula>$F129="無"</formula>
    </cfRule>
  </conditionalFormatting>
  <conditionalFormatting sqref="I129">
    <cfRule type="expression" dxfId="10" priority="11" stopIfTrue="1">
      <formula>$F129="無"</formula>
    </cfRule>
  </conditionalFormatting>
  <conditionalFormatting sqref="I129">
    <cfRule type="expression" dxfId="9" priority="10" stopIfTrue="1">
      <formula>$F129="無"</formula>
    </cfRule>
  </conditionalFormatting>
  <conditionalFormatting sqref="I129">
    <cfRule type="expression" dxfId="8" priority="9" stopIfTrue="1">
      <formula>$F129="無"</formula>
    </cfRule>
  </conditionalFormatting>
  <conditionalFormatting sqref="I129">
    <cfRule type="expression" dxfId="7" priority="8" stopIfTrue="1">
      <formula>$F129="無"</formula>
    </cfRule>
  </conditionalFormatting>
  <conditionalFormatting sqref="I129">
    <cfRule type="expression" dxfId="6" priority="7" stopIfTrue="1">
      <formula>$F129="無"</formula>
    </cfRule>
  </conditionalFormatting>
  <conditionalFormatting sqref="I129">
    <cfRule type="expression" dxfId="5" priority="6" stopIfTrue="1">
      <formula>$F129="無"</formula>
    </cfRule>
  </conditionalFormatting>
  <conditionalFormatting sqref="I129">
    <cfRule type="expression" dxfId="4" priority="5" stopIfTrue="1">
      <formula>$F129="無"</formula>
    </cfRule>
  </conditionalFormatting>
  <conditionalFormatting sqref="I129">
    <cfRule type="expression" dxfId="3" priority="4" stopIfTrue="1">
      <formula>$F129="無"</formula>
    </cfRule>
  </conditionalFormatting>
  <conditionalFormatting sqref="I129">
    <cfRule type="expression" dxfId="2" priority="3" stopIfTrue="1">
      <formula>$F129="無"</formula>
    </cfRule>
  </conditionalFormatting>
  <conditionalFormatting sqref="I129">
    <cfRule type="expression" dxfId="1" priority="2" stopIfTrue="1">
      <formula>$F129="無"</formula>
    </cfRule>
  </conditionalFormatting>
  <conditionalFormatting sqref="I129">
    <cfRule type="expression" dxfId="0" priority="1" stopIfTrue="1">
      <formula>$F129="無"</formula>
    </cfRule>
  </conditionalFormatting>
  <dataValidations count="15">
    <dataValidation type="list" allowBlank="1" showInputMessage="1" showErrorMessage="1" sqref="E13" xr:uid="{00000000-0002-0000-0C00-000000000000}">
      <formula1>"▼ 選択,有(防火・防災),有(防火),無"</formula1>
    </dataValidation>
    <dataValidation type="list" allowBlank="1" showInputMessage="1" showErrorMessage="1" sqref="R8:W8 J8:P8 F13:I13 F159:F188 F28:F153" xr:uid="{00000000-0002-0000-0C00-000001000000}">
      <formula1>"▼ 選択,有,無"</formula1>
    </dataValidation>
    <dataValidation type="list" allowBlank="1" showInputMessage="1" showErrorMessage="1" sqref="D13" xr:uid="{00000000-0002-0000-0C00-000002000000}">
      <formula1>"▼ 選択,特定,非特定"</formula1>
    </dataValidation>
    <dataValidation type="list" allowBlank="1" showInputMessage="1" showErrorMessage="1" sqref="Q8" xr:uid="{00000000-0002-0000-0C00-000003000000}">
      <formula1>"▼ 選択,簡易専用水道方式,直結増圧送水方式"</formula1>
    </dataValidation>
    <dataValidation type="list" allowBlank="1" showInputMessage="1" showErrorMessage="1" sqref="G75" xr:uid="{00000000-0002-0000-0C00-000004000000}">
      <formula1>"▼ 選択,1回/25年,1回/30年"</formula1>
    </dataValidation>
    <dataValidation type="list" allowBlank="1" showInputMessage="1" showErrorMessage="1" sqref="G66 G41 G69:H69 H70" xr:uid="{00000000-0002-0000-0C00-000005000000}">
      <formula1>"▼ 選択,1回/年,2回/年"</formula1>
    </dataValidation>
    <dataValidation type="list" allowBlank="1" showInputMessage="1" showErrorMessage="1" sqref="G82" xr:uid="{00000000-0002-0000-0C00-000006000000}">
      <formula1>"▼ 選択,1回/年,1回/2年,1回/3年,1回/4年"</formula1>
    </dataValidation>
    <dataValidation type="list" allowBlank="1" showInputMessage="1" showErrorMessage="1" sqref="G108" xr:uid="{00000000-0002-0000-0C00-000007000000}">
      <formula1>"▼ 選択,1回/年,1回/4年"</formula1>
    </dataValidation>
    <dataValidation type="list" allowBlank="1" showInputMessage="1" showErrorMessage="1" sqref="D147:D153" xr:uid="{00000000-0002-0000-0C00-000008000000}">
      <formula1>"法定,-,SC統一基準,SBM管理基準"</formula1>
    </dataValidation>
    <dataValidation type="list" allowBlank="1" showInputMessage="1" showErrorMessage="1" sqref="B8" xr:uid="{00000000-0002-0000-0C00-000009000000}">
      <formula1>"▼選択,東京,大阪,札幌,横浜,名古屋,福岡"</formula1>
    </dataValidation>
    <dataValidation type="list" allowBlank="1" showInputMessage="1" showErrorMessage="1" sqref="B13" xr:uid="{00000000-0002-0000-0C00-00000A000000}">
      <formula1>"▼選択,14項,15項,16項のイ"</formula1>
    </dataValidation>
    <dataValidation type="list" allowBlank="1" showInputMessage="1" showErrorMessage="1" sqref="G40" xr:uid="{00000000-0002-0000-0C00-00000B000000}">
      <formula1>"▼ 選択,1回/月,1回/年"</formula1>
    </dataValidation>
    <dataValidation type="list" allowBlank="1" showInputMessage="1" showErrorMessage="1" sqref="G59" xr:uid="{00000000-0002-0000-0C00-00000C000000}">
      <formula1>"▼ 選択,6回/年,2回/年"</formula1>
    </dataValidation>
    <dataValidation type="list" allowBlank="1" showInputMessage="1" showErrorMessage="1" sqref="G76 G63:G64" xr:uid="{00000000-0002-0000-0C00-00000D000000}">
      <formula1>"▼ 選択,1回/年,1回/3年"</formula1>
    </dataValidation>
    <dataValidation type="list" allowBlank="1" showInputMessage="1" showErrorMessage="1" sqref="G79" xr:uid="{00000000-0002-0000-0C00-00000E000000}">
      <formula1>"▼ 選択,1回/2年,1回/3年"</formula1>
    </dataValidation>
  </dataValidations>
  <pageMargins left="0.70866141732283472" right="0.31496062992125984" top="0.55118110236220474" bottom="0.35433070866141736" header="0.31496062992125984" footer="0.11811023622047245"/>
  <pageSetup paperSize="8" scale="31" fitToHeight="0" orientation="landscape" cellComments="asDisplayed" r:id="rId1"/>
  <rowBreaks count="1" manualBreakCount="1">
    <brk id="111"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DDFC5-DAE6-4F5C-B72B-B6418ED16BAE}">
  <sheetPr codeName="Sheet14"/>
  <dimension ref="B6:D79"/>
  <sheetViews>
    <sheetView topLeftCell="A13" workbookViewId="0">
      <selection activeCell="E23" sqref="E23"/>
    </sheetView>
  </sheetViews>
  <sheetFormatPr defaultRowHeight="12.75"/>
  <cols>
    <col min="2" max="2" width="15.796875" customWidth="1"/>
    <col min="4" max="4" width="17.796875" customWidth="1"/>
  </cols>
  <sheetData>
    <row r="6" spans="2:4">
      <c r="B6" t="s">
        <v>779</v>
      </c>
      <c r="D6" t="s">
        <v>780</v>
      </c>
    </row>
    <row r="7" spans="2:4">
      <c r="B7" s="913">
        <v>45316</v>
      </c>
      <c r="D7" s="914" t="s">
        <v>781</v>
      </c>
    </row>
    <row r="8" spans="2:4">
      <c r="B8" s="915" t="s">
        <v>782</v>
      </c>
      <c r="D8" s="916" t="s">
        <v>783</v>
      </c>
    </row>
    <row r="9" spans="2:4">
      <c r="B9" s="915">
        <v>45333</v>
      </c>
      <c r="D9" s="916" t="s">
        <v>784</v>
      </c>
    </row>
    <row r="10" spans="2:4">
      <c r="B10" s="915">
        <v>45334</v>
      </c>
      <c r="D10" s="916" t="s">
        <v>785</v>
      </c>
    </row>
    <row r="11" spans="2:4">
      <c r="B11" s="915">
        <v>45345</v>
      </c>
      <c r="D11" s="916" t="s">
        <v>786</v>
      </c>
    </row>
    <row r="12" spans="2:4">
      <c r="B12" s="915">
        <v>45371</v>
      </c>
      <c r="D12" s="916" t="s">
        <v>787</v>
      </c>
    </row>
    <row r="13" spans="2:4">
      <c r="B13" s="915">
        <v>45411</v>
      </c>
      <c r="D13" s="916" t="s">
        <v>788</v>
      </c>
    </row>
    <row r="14" spans="2:4">
      <c r="B14" s="915">
        <v>45415</v>
      </c>
      <c r="D14" s="916" t="s">
        <v>789</v>
      </c>
    </row>
    <row r="15" spans="2:4">
      <c r="B15" s="915">
        <v>45416</v>
      </c>
      <c r="D15" s="916" t="s">
        <v>675</v>
      </c>
    </row>
    <row r="16" spans="2:4">
      <c r="B16" s="915">
        <v>45417</v>
      </c>
      <c r="D16" s="916" t="s">
        <v>790</v>
      </c>
    </row>
    <row r="17" spans="2:4">
      <c r="B17" s="915">
        <v>45418</v>
      </c>
      <c r="D17" s="916" t="s">
        <v>791</v>
      </c>
    </row>
    <row r="18" spans="2:4">
      <c r="B18" s="915">
        <v>45488</v>
      </c>
      <c r="D18" s="916" t="s">
        <v>792</v>
      </c>
    </row>
    <row r="19" spans="2:4">
      <c r="B19" s="915">
        <v>45515</v>
      </c>
      <c r="D19" s="916" t="s">
        <v>793</v>
      </c>
    </row>
    <row r="20" spans="2:4">
      <c r="B20" s="915">
        <v>45516</v>
      </c>
      <c r="D20" s="916"/>
    </row>
    <row r="21" spans="2:4">
      <c r="B21" s="915">
        <v>45551</v>
      </c>
      <c r="D21" s="916"/>
    </row>
    <row r="22" spans="2:4">
      <c r="B22" s="915">
        <v>45557</v>
      </c>
      <c r="D22" s="916"/>
    </row>
    <row r="23" spans="2:4">
      <c r="B23" s="917">
        <v>45558</v>
      </c>
      <c r="D23" s="916"/>
    </row>
    <row r="24" spans="2:4">
      <c r="B24" s="917">
        <v>45579</v>
      </c>
      <c r="D24" s="916"/>
    </row>
    <row r="25" spans="2:4">
      <c r="B25" s="917">
        <v>45599</v>
      </c>
      <c r="D25" s="916"/>
    </row>
    <row r="26" spans="2:4">
      <c r="B26" s="917">
        <v>45600</v>
      </c>
      <c r="D26" s="916"/>
    </row>
    <row r="27" spans="2:4">
      <c r="B27" s="917">
        <v>45619</v>
      </c>
      <c r="D27" s="916"/>
    </row>
    <row r="28" spans="2:4">
      <c r="B28" s="917">
        <v>44927</v>
      </c>
      <c r="D28" s="916"/>
    </row>
    <row r="29" spans="2:4">
      <c r="B29" s="917">
        <v>44928</v>
      </c>
      <c r="D29" s="916"/>
    </row>
    <row r="30" spans="2:4">
      <c r="B30" s="917">
        <v>44935</v>
      </c>
      <c r="D30" s="916"/>
    </row>
    <row r="31" spans="2:4">
      <c r="B31" s="917">
        <v>44968</v>
      </c>
      <c r="D31" s="916"/>
    </row>
    <row r="32" spans="2:4">
      <c r="B32" s="917">
        <v>44980</v>
      </c>
      <c r="D32" s="916"/>
    </row>
    <row r="33" spans="2:4">
      <c r="B33" s="917">
        <v>45006</v>
      </c>
      <c r="D33" s="916"/>
    </row>
    <row r="34" spans="2:4">
      <c r="B34" s="917">
        <v>45045</v>
      </c>
      <c r="D34" s="916"/>
    </row>
    <row r="35" spans="2:4">
      <c r="B35" s="917">
        <v>45049</v>
      </c>
      <c r="D35" s="918"/>
    </row>
    <row r="36" spans="2:4">
      <c r="B36" s="917">
        <v>45050</v>
      </c>
      <c r="D36" s="919"/>
    </row>
    <row r="37" spans="2:4">
      <c r="B37" s="917">
        <v>45051</v>
      </c>
      <c r="D37" s="920"/>
    </row>
    <row r="38" spans="2:4">
      <c r="B38" s="917">
        <v>45124</v>
      </c>
      <c r="D38" s="920"/>
    </row>
    <row r="39" spans="2:4">
      <c r="B39" s="917">
        <v>45149</v>
      </c>
      <c r="D39" s="920"/>
    </row>
    <row r="40" spans="2:4">
      <c r="B40" s="917">
        <v>45187</v>
      </c>
      <c r="D40" s="920"/>
    </row>
    <row r="41" spans="2:4">
      <c r="B41" s="917">
        <v>45192</v>
      </c>
      <c r="D41" s="920"/>
    </row>
    <row r="42" spans="2:4">
      <c r="B42" s="917">
        <v>45208</v>
      </c>
      <c r="D42" s="920"/>
    </row>
    <row r="43" spans="2:4">
      <c r="B43" s="917" t="s">
        <v>794</v>
      </c>
      <c r="D43" s="920"/>
    </row>
    <row r="44" spans="2:4">
      <c r="B44" s="917">
        <v>45253</v>
      </c>
      <c r="D44" s="920"/>
    </row>
    <row r="45" spans="2:4">
      <c r="B45" s="921">
        <v>45404</v>
      </c>
      <c r="D45" s="920"/>
    </row>
    <row r="46" spans="2:4">
      <c r="B46" s="921">
        <v>45293</v>
      </c>
      <c r="D46" s="405"/>
    </row>
    <row r="47" spans="2:4">
      <c r="B47" s="921">
        <v>45292</v>
      </c>
      <c r="D47" s="405"/>
    </row>
    <row r="48" spans="2:4">
      <c r="B48" s="921">
        <v>45782</v>
      </c>
      <c r="D48" s="405"/>
    </row>
    <row r="49" spans="2:4">
      <c r="B49" s="921"/>
      <c r="D49" s="405"/>
    </row>
    <row r="50" spans="2:4">
      <c r="B50" s="921"/>
      <c r="D50" s="405"/>
    </row>
    <row r="51" spans="2:4">
      <c r="B51" s="921"/>
      <c r="D51" s="405"/>
    </row>
    <row r="52" spans="2:4">
      <c r="B52" s="922"/>
      <c r="D52" s="405"/>
    </row>
    <row r="53" spans="2:4">
      <c r="D53" s="405"/>
    </row>
    <row r="54" spans="2:4">
      <c r="D54" s="405"/>
    </row>
    <row r="55" spans="2:4">
      <c r="D55" s="405"/>
    </row>
    <row r="56" spans="2:4">
      <c r="D56" s="405"/>
    </row>
    <row r="57" spans="2:4">
      <c r="D57" s="405"/>
    </row>
    <row r="58" spans="2:4">
      <c r="D58" s="405"/>
    </row>
    <row r="59" spans="2:4">
      <c r="D59" s="405"/>
    </row>
    <row r="60" spans="2:4">
      <c r="D60" s="405"/>
    </row>
    <row r="61" spans="2:4">
      <c r="D61" s="405"/>
    </row>
    <row r="62" spans="2:4">
      <c r="D62" s="405"/>
    </row>
    <row r="63" spans="2:4">
      <c r="D63" s="405"/>
    </row>
    <row r="64" spans="2:4">
      <c r="D64" s="405"/>
    </row>
    <row r="65" spans="4:4">
      <c r="D65" s="405"/>
    </row>
    <row r="66" spans="4:4">
      <c r="D66" s="405"/>
    </row>
    <row r="67" spans="4:4">
      <c r="D67" s="405"/>
    </row>
    <row r="68" spans="4:4">
      <c r="D68" s="405"/>
    </row>
    <row r="69" spans="4:4">
      <c r="D69" s="405"/>
    </row>
    <row r="70" spans="4:4">
      <c r="D70" s="405"/>
    </row>
    <row r="71" spans="4:4">
      <c r="D71" s="405"/>
    </row>
    <row r="72" spans="4:4">
      <c r="D72" s="405"/>
    </row>
    <row r="73" spans="4:4">
      <c r="D73" s="405"/>
    </row>
    <row r="74" spans="4:4">
      <c r="D74" s="405"/>
    </row>
    <row r="75" spans="4:4">
      <c r="D75" s="405"/>
    </row>
    <row r="76" spans="4:4">
      <c r="D76" s="405"/>
    </row>
    <row r="77" spans="4:4">
      <c r="D77" s="405"/>
    </row>
    <row r="78" spans="4:4">
      <c r="D78" s="405"/>
    </row>
    <row r="79" spans="4:4">
      <c r="D79" s="405"/>
    </row>
  </sheetData>
  <phoneticPr fontId="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1.表紙</vt:lpstr>
      <vt:lpstr>2.目次</vt:lpstr>
      <vt:lpstr>3.所見</vt:lpstr>
      <vt:lpstr>①業者定期</vt:lpstr>
      <vt:lpstr>②定期外</vt:lpstr>
      <vt:lpstr>③設備</vt:lpstr>
      <vt:lpstr>④清掃</vt:lpstr>
      <vt:lpstr>⑤事故等</vt:lpstr>
      <vt:lpstr>⑥光熱</vt:lpstr>
      <vt:lpstr>4.来月</vt:lpstr>
      <vt:lpstr>2023年度管理計画（設備）(月報と一緒に出す)</vt:lpstr>
      <vt:lpstr>2023年度管理計画（業者）(月報と一諸に出す)</vt:lpstr>
      <vt:lpstr>最新版(2022年度統一フォーム_清書版)(月報と一緒にだす</vt:lpstr>
      <vt:lpstr>各種データ</vt:lpstr>
      <vt:lpstr>'1.表紙'!Print_Area</vt:lpstr>
      <vt:lpstr>①業者定期!Print_Area</vt:lpstr>
      <vt:lpstr>'2.目次'!Print_Area</vt:lpstr>
      <vt:lpstr>'3.所見'!Print_Area</vt:lpstr>
      <vt:lpstr>③設備!Print_Area</vt:lpstr>
      <vt:lpstr>'4.来月'!Print_Area</vt:lpstr>
      <vt:lpstr>⑤事故等!Print_Area</vt:lpstr>
      <vt:lpstr>⑥光熱!Print_Area</vt:lpstr>
    </vt:vector>
  </TitlesOfParts>
  <Company>エス・シー・ビルサービス㈱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エリアセンター設備にて作成</dc:subject>
  <dc:creator>エリアセンター設備</dc:creator>
  <cp:lastModifiedBy>satoshi fukutomi</cp:lastModifiedBy>
  <cp:revision>1</cp:revision>
  <cp:lastPrinted>2023-05-16T23:02:08Z</cp:lastPrinted>
  <dcterms:created xsi:type="dcterms:W3CDTF">2000-05-15T09:23:30Z</dcterms:created>
  <dcterms:modified xsi:type="dcterms:W3CDTF">2023-06-02T21:50:38Z</dcterms:modified>
</cp:coreProperties>
</file>